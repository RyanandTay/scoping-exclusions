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8" codeName="{E5D1E7B1-6628-F0F0-D09B-76B25B5F3CD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ryanneilson/repos/vba-project/"/>
    </mc:Choice>
  </mc:AlternateContent>
  <xr:revisionPtr revIDLastSave="0" documentId="13_ncr:1_{5BF513C7-1DB5-FE47-95DA-2E612D88D7CA}" xr6:coauthVersionLast="47" xr6:coauthVersionMax="47" xr10:uidLastSave="{00000000-0000-0000-0000-000000000000}"/>
  <bookViews>
    <workbookView xWindow="0" yWindow="760" windowWidth="30240" windowHeight="18880" xr2:uid="{5F5EA6C7-60FE-4B6A-84F3-BB433BC034AE}"/>
  </bookViews>
  <sheets>
    <sheet name="Scoping" sheetId="3" r:id="rId1"/>
    <sheet name="Original Data" sheetId="1" r:id="rId2"/>
    <sheet name="Input" sheetId="2" r:id="rId3"/>
  </sheets>
  <definedNames>
    <definedName name="_xlnm._FilterDatabase" localSheetId="1" hidden="1">'Original Data'!$A$1:$E$3036</definedName>
    <definedName name="_xleta.COUNTIFS" hidden="1" xlm="1">#NAME?</definedName>
    <definedName name="_xleta.LEN" hidden="1" xlm="1">#NAME?</definedName>
    <definedName name="_xleta.RIGHT" hidden="1" xlm="1">#NAME?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13" i="2" l="1"/>
  <c r="C1012" i="2"/>
  <c r="C1011" i="2"/>
  <c r="C1010" i="2"/>
  <c r="C1009" i="2"/>
  <c r="C1008" i="2"/>
  <c r="C1007" i="2"/>
  <c r="C1006" i="2"/>
  <c r="C1005" i="2"/>
  <c r="C1004" i="2"/>
  <c r="C1003" i="2"/>
  <c r="C1002" i="2"/>
  <c r="C1001" i="2"/>
  <c r="C1000" i="2"/>
  <c r="C999" i="2"/>
  <c r="C998" i="2"/>
  <c r="C997" i="2"/>
  <c r="C996" i="2"/>
  <c r="C995" i="2"/>
  <c r="C994" i="2"/>
  <c r="C993" i="2"/>
  <c r="C992" i="2"/>
  <c r="C991" i="2"/>
  <c r="C990" i="2"/>
  <c r="C989" i="2"/>
  <c r="C988" i="2"/>
  <c r="C987" i="2"/>
  <c r="C986" i="2"/>
  <c r="C985" i="2"/>
  <c r="C984" i="2"/>
  <c r="C983" i="2"/>
  <c r="C982" i="2"/>
  <c r="C981" i="2"/>
  <c r="C980" i="2"/>
  <c r="C979" i="2"/>
  <c r="C978" i="2"/>
  <c r="C977" i="2"/>
  <c r="C976" i="2"/>
  <c r="C975" i="2"/>
  <c r="C974" i="2"/>
  <c r="C973" i="2"/>
  <c r="C972" i="2"/>
  <c r="C971" i="2"/>
  <c r="C970" i="2"/>
  <c r="C969" i="2"/>
  <c r="C968" i="2"/>
  <c r="C967" i="2"/>
  <c r="C966" i="2"/>
  <c r="C965" i="2"/>
  <c r="C964" i="2"/>
  <c r="C963" i="2"/>
  <c r="C962" i="2"/>
  <c r="C961" i="2"/>
  <c r="C960" i="2"/>
  <c r="C959" i="2"/>
  <c r="C958" i="2"/>
  <c r="C957" i="2"/>
  <c r="C956" i="2"/>
  <c r="C955" i="2"/>
  <c r="C954" i="2"/>
  <c r="C953" i="2"/>
  <c r="C952" i="2"/>
  <c r="C951" i="2"/>
  <c r="C950" i="2"/>
  <c r="C949" i="2"/>
  <c r="C948" i="2"/>
  <c r="C947" i="2"/>
  <c r="C946" i="2"/>
  <c r="C945" i="2"/>
  <c r="C944" i="2"/>
  <c r="C943" i="2"/>
  <c r="C942" i="2"/>
  <c r="C941" i="2"/>
  <c r="C940" i="2"/>
  <c r="C939" i="2"/>
  <c r="C938" i="2"/>
  <c r="C937" i="2"/>
  <c r="C936" i="2"/>
  <c r="C935" i="2"/>
  <c r="C934" i="2"/>
  <c r="C933" i="2"/>
  <c r="C932" i="2"/>
  <c r="C931" i="2"/>
  <c r="C930" i="2"/>
  <c r="C929" i="2"/>
  <c r="C928" i="2"/>
  <c r="C927" i="2"/>
  <c r="C926" i="2"/>
  <c r="C925" i="2"/>
  <c r="C924" i="2"/>
  <c r="C923" i="2"/>
  <c r="C922" i="2"/>
  <c r="C921" i="2"/>
  <c r="C920" i="2"/>
  <c r="C919" i="2"/>
  <c r="C918" i="2"/>
  <c r="C917" i="2"/>
  <c r="C916" i="2"/>
  <c r="C915" i="2"/>
  <c r="C914" i="2"/>
  <c r="C913" i="2"/>
  <c r="C912" i="2"/>
  <c r="C911" i="2"/>
  <c r="C910" i="2"/>
  <c r="C909" i="2"/>
  <c r="C908" i="2"/>
  <c r="C907" i="2"/>
  <c r="C906" i="2"/>
  <c r="C905" i="2"/>
  <c r="C904" i="2"/>
  <c r="C903" i="2"/>
  <c r="C902" i="2"/>
  <c r="C901" i="2"/>
  <c r="C900" i="2"/>
  <c r="C899" i="2"/>
  <c r="C898" i="2"/>
  <c r="C897" i="2"/>
  <c r="C896" i="2"/>
  <c r="C895" i="2"/>
  <c r="C894" i="2"/>
  <c r="C893" i="2"/>
  <c r="C892" i="2"/>
  <c r="C891" i="2"/>
  <c r="C890" i="2"/>
  <c r="C889" i="2"/>
  <c r="C888" i="2"/>
  <c r="C887" i="2"/>
  <c r="C886" i="2"/>
  <c r="C885" i="2"/>
  <c r="C884" i="2"/>
  <c r="C883" i="2"/>
  <c r="C882" i="2"/>
  <c r="C881" i="2"/>
  <c r="C880" i="2"/>
  <c r="C879" i="2"/>
  <c r="C878" i="2"/>
  <c r="C877" i="2"/>
  <c r="C876" i="2"/>
  <c r="C875" i="2"/>
  <c r="C874" i="2"/>
  <c r="C873" i="2"/>
  <c r="C872" i="2"/>
  <c r="C871" i="2"/>
  <c r="C870" i="2"/>
  <c r="C869" i="2"/>
  <c r="C868" i="2"/>
  <c r="C867" i="2"/>
  <c r="C866" i="2"/>
  <c r="C865" i="2"/>
  <c r="C864" i="2"/>
  <c r="C863" i="2"/>
  <c r="C862" i="2"/>
  <c r="C861" i="2"/>
  <c r="C860" i="2"/>
  <c r="C859" i="2"/>
  <c r="C858" i="2"/>
  <c r="C857" i="2"/>
  <c r="C856" i="2"/>
  <c r="C855" i="2"/>
  <c r="C854" i="2"/>
  <c r="C853" i="2"/>
  <c r="C852" i="2"/>
  <c r="C851" i="2"/>
  <c r="C850" i="2"/>
  <c r="C849" i="2"/>
  <c r="C848" i="2"/>
  <c r="C847" i="2"/>
  <c r="C846" i="2"/>
  <c r="C845" i="2"/>
  <c r="C844" i="2"/>
  <c r="C843" i="2"/>
  <c r="C842" i="2"/>
  <c r="C841" i="2"/>
  <c r="C840" i="2"/>
  <c r="C839" i="2"/>
  <c r="C838" i="2"/>
  <c r="C837" i="2"/>
  <c r="C836" i="2"/>
  <c r="C835" i="2"/>
  <c r="C834" i="2"/>
  <c r="C833" i="2"/>
  <c r="C832" i="2"/>
  <c r="C831" i="2"/>
  <c r="C830" i="2"/>
  <c r="C829" i="2"/>
  <c r="C828" i="2"/>
  <c r="C827" i="2"/>
  <c r="C826" i="2"/>
  <c r="C825" i="2"/>
  <c r="C824" i="2"/>
  <c r="C823" i="2"/>
  <c r="C822" i="2"/>
  <c r="C821" i="2"/>
  <c r="C820" i="2"/>
  <c r="C819" i="2"/>
  <c r="C818" i="2"/>
  <c r="C817" i="2"/>
  <c r="C816" i="2"/>
  <c r="C815" i="2"/>
  <c r="C814" i="2"/>
  <c r="C813" i="2"/>
  <c r="C812" i="2"/>
  <c r="C811" i="2"/>
  <c r="C810" i="2"/>
  <c r="C809" i="2"/>
  <c r="C808" i="2"/>
  <c r="C807" i="2"/>
  <c r="C806" i="2"/>
  <c r="C805" i="2"/>
  <c r="C804" i="2"/>
  <c r="C803" i="2"/>
  <c r="C802" i="2"/>
  <c r="C801" i="2"/>
  <c r="C800" i="2"/>
  <c r="C799" i="2"/>
  <c r="C798" i="2"/>
  <c r="C797" i="2"/>
  <c r="C796" i="2"/>
  <c r="C795" i="2"/>
  <c r="C794" i="2"/>
  <c r="C793" i="2"/>
  <c r="C792" i="2"/>
  <c r="C791" i="2"/>
  <c r="C790" i="2"/>
  <c r="C789" i="2"/>
  <c r="C788" i="2"/>
  <c r="C787" i="2"/>
  <c r="C786" i="2"/>
  <c r="C785" i="2"/>
  <c r="C784" i="2"/>
  <c r="C783" i="2"/>
  <c r="C782" i="2"/>
  <c r="C781" i="2"/>
  <c r="C780" i="2"/>
  <c r="C779" i="2"/>
  <c r="C778" i="2"/>
  <c r="C777" i="2"/>
  <c r="C776" i="2"/>
  <c r="C775" i="2"/>
  <c r="C774" i="2"/>
  <c r="C773" i="2"/>
  <c r="C772" i="2"/>
  <c r="C771" i="2"/>
  <c r="C770" i="2"/>
  <c r="C769" i="2"/>
  <c r="C768" i="2"/>
  <c r="C767" i="2"/>
  <c r="C766" i="2"/>
  <c r="C765" i="2"/>
  <c r="C764" i="2"/>
  <c r="C763" i="2"/>
  <c r="C762" i="2"/>
  <c r="C761" i="2"/>
  <c r="C760" i="2"/>
  <c r="C759" i="2"/>
  <c r="C758" i="2"/>
  <c r="C757" i="2"/>
  <c r="C756" i="2"/>
  <c r="C755" i="2"/>
  <c r="C754" i="2"/>
  <c r="C753" i="2"/>
  <c r="C752" i="2"/>
  <c r="C751" i="2"/>
  <c r="C750" i="2"/>
  <c r="C749" i="2"/>
  <c r="C748" i="2"/>
  <c r="C747" i="2"/>
  <c r="C746" i="2"/>
  <c r="C745" i="2"/>
  <c r="C744" i="2"/>
  <c r="C743" i="2"/>
  <c r="C742" i="2"/>
  <c r="C741" i="2"/>
  <c r="C740" i="2"/>
  <c r="C739" i="2"/>
  <c r="C738" i="2"/>
  <c r="C737" i="2"/>
  <c r="C736" i="2"/>
  <c r="C735" i="2"/>
  <c r="C734" i="2"/>
  <c r="C733" i="2"/>
  <c r="C732" i="2"/>
  <c r="C731" i="2"/>
  <c r="C730" i="2"/>
  <c r="C729" i="2"/>
  <c r="C728" i="2"/>
  <c r="C727" i="2"/>
  <c r="C726" i="2"/>
  <c r="C725" i="2"/>
  <c r="C724" i="2"/>
  <c r="C723" i="2"/>
  <c r="C722" i="2"/>
  <c r="C721" i="2"/>
  <c r="C720" i="2"/>
  <c r="C719" i="2"/>
  <c r="C718" i="2"/>
  <c r="C717" i="2"/>
  <c r="C716" i="2"/>
  <c r="C715" i="2"/>
  <c r="C714" i="2"/>
  <c r="C713" i="2"/>
  <c r="C712" i="2"/>
  <c r="C711" i="2"/>
  <c r="C710" i="2"/>
  <c r="C709" i="2"/>
  <c r="C708" i="2"/>
  <c r="C707" i="2"/>
  <c r="C706" i="2"/>
  <c r="C705" i="2"/>
  <c r="C704" i="2"/>
  <c r="C703" i="2"/>
  <c r="C702" i="2"/>
  <c r="C701" i="2"/>
  <c r="C700" i="2"/>
  <c r="C699" i="2"/>
  <c r="C698" i="2"/>
  <c r="C697" i="2"/>
  <c r="C696" i="2"/>
  <c r="C695" i="2"/>
  <c r="C694" i="2"/>
  <c r="C693" i="2"/>
  <c r="C692" i="2"/>
  <c r="C691" i="2"/>
  <c r="C690" i="2"/>
  <c r="C689" i="2"/>
  <c r="C688" i="2"/>
  <c r="C687" i="2"/>
  <c r="C686" i="2"/>
  <c r="C685" i="2"/>
  <c r="C684" i="2"/>
  <c r="C683" i="2"/>
  <c r="C682" i="2"/>
  <c r="C681" i="2"/>
  <c r="C680" i="2"/>
  <c r="C679" i="2"/>
  <c r="C678" i="2"/>
  <c r="C677" i="2"/>
  <c r="C676" i="2"/>
  <c r="C675" i="2"/>
  <c r="C674" i="2"/>
  <c r="C673" i="2"/>
  <c r="C672" i="2"/>
  <c r="C671" i="2"/>
  <c r="C670" i="2"/>
  <c r="C669" i="2"/>
  <c r="C668" i="2"/>
  <c r="C667" i="2"/>
  <c r="C666" i="2"/>
  <c r="C665" i="2"/>
  <c r="C664" i="2"/>
  <c r="C663" i="2"/>
  <c r="C662" i="2"/>
  <c r="C661" i="2"/>
  <c r="C660" i="2"/>
  <c r="C659" i="2"/>
  <c r="C658" i="2"/>
  <c r="C657" i="2"/>
  <c r="C656" i="2"/>
  <c r="C655" i="2"/>
  <c r="C654" i="2"/>
  <c r="C653" i="2"/>
  <c r="C652" i="2"/>
  <c r="C651" i="2"/>
  <c r="C650" i="2"/>
  <c r="C649" i="2"/>
  <c r="C648" i="2"/>
  <c r="C647" i="2"/>
  <c r="C646" i="2"/>
  <c r="C645" i="2"/>
  <c r="C644" i="2"/>
  <c r="C643" i="2"/>
  <c r="C642" i="2"/>
  <c r="C641" i="2"/>
  <c r="C640" i="2"/>
  <c r="C639" i="2"/>
  <c r="C638" i="2"/>
  <c r="C637" i="2"/>
  <c r="C636" i="2"/>
  <c r="C635" i="2"/>
  <c r="C634" i="2"/>
  <c r="C633" i="2"/>
  <c r="C632" i="2"/>
  <c r="C631" i="2"/>
  <c r="C630" i="2"/>
  <c r="C629" i="2"/>
  <c r="C628" i="2"/>
  <c r="C627" i="2"/>
  <c r="C626" i="2"/>
  <c r="C625" i="2"/>
  <c r="C624" i="2"/>
  <c r="C623" i="2"/>
  <c r="C622" i="2"/>
  <c r="C621" i="2"/>
  <c r="C620" i="2"/>
  <c r="C619" i="2"/>
  <c r="C618" i="2"/>
  <c r="C617" i="2"/>
  <c r="C616" i="2"/>
  <c r="C615" i="2"/>
  <c r="C614" i="2"/>
  <c r="C613" i="2"/>
  <c r="C612" i="2"/>
  <c r="C611" i="2"/>
  <c r="C610" i="2"/>
  <c r="C609" i="2"/>
  <c r="C608" i="2"/>
  <c r="C607" i="2"/>
  <c r="C606" i="2"/>
  <c r="C605" i="2"/>
  <c r="C604" i="2"/>
  <c r="C603" i="2"/>
  <c r="C602" i="2"/>
  <c r="C601" i="2"/>
  <c r="C600" i="2"/>
  <c r="C599" i="2"/>
  <c r="C598" i="2"/>
  <c r="C597" i="2"/>
  <c r="C596" i="2"/>
  <c r="C595" i="2"/>
  <c r="C594" i="2"/>
  <c r="C593" i="2"/>
  <c r="C592" i="2"/>
  <c r="C591" i="2"/>
  <c r="C590" i="2"/>
  <c r="C589" i="2"/>
  <c r="C588" i="2"/>
  <c r="C587" i="2"/>
  <c r="C586" i="2"/>
  <c r="C585" i="2"/>
  <c r="C584" i="2"/>
  <c r="C583" i="2"/>
  <c r="C582" i="2"/>
  <c r="C581" i="2"/>
  <c r="C580" i="2"/>
  <c r="C579" i="2"/>
  <c r="C578" i="2"/>
  <c r="C577" i="2"/>
  <c r="C576" i="2"/>
  <c r="C575" i="2"/>
  <c r="C574" i="2"/>
  <c r="C573" i="2"/>
  <c r="C572" i="2"/>
  <c r="C571" i="2"/>
  <c r="C570" i="2"/>
  <c r="C569" i="2"/>
  <c r="C568" i="2"/>
  <c r="C567" i="2"/>
  <c r="C566" i="2"/>
  <c r="C565" i="2"/>
  <c r="C564" i="2"/>
  <c r="C563" i="2"/>
  <c r="C562" i="2"/>
  <c r="C561" i="2"/>
  <c r="C560" i="2"/>
  <c r="C559" i="2"/>
  <c r="C558" i="2"/>
  <c r="C557" i="2"/>
  <c r="C556" i="2"/>
  <c r="C555" i="2"/>
  <c r="C554" i="2"/>
  <c r="C553" i="2"/>
  <c r="C552" i="2"/>
  <c r="C551" i="2"/>
  <c r="C550" i="2"/>
  <c r="C549" i="2"/>
  <c r="C548" i="2"/>
  <c r="C547" i="2"/>
  <c r="C546" i="2"/>
  <c r="C545" i="2"/>
  <c r="C544" i="2"/>
  <c r="C543" i="2"/>
  <c r="C542" i="2"/>
  <c r="C541" i="2"/>
  <c r="C540" i="2"/>
  <c r="C539" i="2"/>
  <c r="C538" i="2"/>
  <c r="C537" i="2"/>
  <c r="C536" i="2"/>
  <c r="C535" i="2"/>
  <c r="C534" i="2"/>
  <c r="C533" i="2"/>
  <c r="C532" i="2"/>
  <c r="C531" i="2"/>
  <c r="C530" i="2"/>
  <c r="C529" i="2"/>
  <c r="C528" i="2"/>
  <c r="C527" i="2"/>
  <c r="C526" i="2"/>
  <c r="C525" i="2"/>
  <c r="C524" i="2"/>
  <c r="C523" i="2"/>
  <c r="C522" i="2"/>
  <c r="C521" i="2"/>
  <c r="C520" i="2"/>
  <c r="C519" i="2"/>
  <c r="C518" i="2"/>
  <c r="C517" i="2"/>
  <c r="C516" i="2"/>
  <c r="C515" i="2"/>
  <c r="C514" i="2"/>
  <c r="C513" i="2"/>
  <c r="C512" i="2"/>
  <c r="C511" i="2"/>
  <c r="C510" i="2"/>
  <c r="C509" i="2"/>
  <c r="C508" i="2"/>
  <c r="C507" i="2"/>
  <c r="C506" i="2"/>
  <c r="C505" i="2"/>
  <c r="C504" i="2"/>
  <c r="C503" i="2"/>
  <c r="C502" i="2"/>
  <c r="C501" i="2"/>
  <c r="C500" i="2"/>
  <c r="C499" i="2"/>
  <c r="C498" i="2"/>
  <c r="C497" i="2"/>
  <c r="C496" i="2"/>
  <c r="C495" i="2"/>
  <c r="C494" i="2"/>
  <c r="C493" i="2"/>
  <c r="C492" i="2"/>
  <c r="C491" i="2"/>
  <c r="C490" i="2"/>
  <c r="C489" i="2"/>
  <c r="C488" i="2"/>
  <c r="C487" i="2"/>
  <c r="C486" i="2"/>
  <c r="C485" i="2"/>
  <c r="C484" i="2"/>
  <c r="C483" i="2"/>
  <c r="C482" i="2"/>
  <c r="C481" i="2"/>
  <c r="C480" i="2"/>
  <c r="C479" i="2"/>
  <c r="C478" i="2"/>
  <c r="C477" i="2"/>
  <c r="C476" i="2"/>
  <c r="C475" i="2"/>
  <c r="C474" i="2"/>
  <c r="C473" i="2"/>
  <c r="C472" i="2"/>
  <c r="C471" i="2"/>
  <c r="C470" i="2"/>
  <c r="C469" i="2"/>
  <c r="C468" i="2"/>
  <c r="C467" i="2"/>
  <c r="C466" i="2"/>
  <c r="C465" i="2"/>
  <c r="C464" i="2"/>
  <c r="C463" i="2"/>
  <c r="C462" i="2"/>
  <c r="C461" i="2"/>
  <c r="C460" i="2"/>
  <c r="C459" i="2"/>
  <c r="C458" i="2"/>
  <c r="C457" i="2"/>
  <c r="C456" i="2"/>
  <c r="C455" i="2"/>
  <c r="C454" i="2"/>
  <c r="C453" i="2"/>
  <c r="C452" i="2"/>
  <c r="C451" i="2"/>
  <c r="C450" i="2"/>
  <c r="C449" i="2"/>
  <c r="C448" i="2"/>
  <c r="C447" i="2"/>
  <c r="C446" i="2"/>
  <c r="C445" i="2"/>
  <c r="C444" i="2"/>
  <c r="C443" i="2"/>
  <c r="C442" i="2"/>
  <c r="C441" i="2"/>
  <c r="C440" i="2"/>
  <c r="C439" i="2"/>
  <c r="C438" i="2"/>
  <c r="C437" i="2"/>
  <c r="C436" i="2"/>
  <c r="C435" i="2"/>
  <c r="C434" i="2"/>
  <c r="C433" i="2"/>
  <c r="C432" i="2"/>
  <c r="C431" i="2"/>
  <c r="C430" i="2"/>
  <c r="C429" i="2"/>
  <c r="C428" i="2"/>
  <c r="C427" i="2"/>
  <c r="C426" i="2"/>
  <c r="C425" i="2"/>
  <c r="C424" i="2"/>
  <c r="C423" i="2"/>
  <c r="C422" i="2"/>
  <c r="C421" i="2"/>
  <c r="C420" i="2"/>
  <c r="C419" i="2"/>
  <c r="C418" i="2"/>
  <c r="C417" i="2"/>
  <c r="C416" i="2"/>
  <c r="C415" i="2"/>
  <c r="C414" i="2"/>
  <c r="C413" i="2"/>
  <c r="C412" i="2"/>
  <c r="C411" i="2"/>
  <c r="C410" i="2"/>
  <c r="C409" i="2"/>
  <c r="C408" i="2"/>
  <c r="C407" i="2"/>
  <c r="C406" i="2"/>
  <c r="C405" i="2"/>
  <c r="C404" i="2"/>
  <c r="C403" i="2"/>
  <c r="C402" i="2"/>
  <c r="C401" i="2"/>
  <c r="C400" i="2"/>
  <c r="C399" i="2"/>
  <c r="C398" i="2"/>
  <c r="C397" i="2"/>
  <c r="C396" i="2"/>
  <c r="C395" i="2"/>
  <c r="C394" i="2"/>
  <c r="C393" i="2"/>
  <c r="C392" i="2"/>
  <c r="C391" i="2"/>
  <c r="C390" i="2"/>
  <c r="C389" i="2"/>
  <c r="C388" i="2"/>
  <c r="C387" i="2"/>
  <c r="C386" i="2"/>
  <c r="C385" i="2"/>
  <c r="C384" i="2"/>
  <c r="C383" i="2"/>
  <c r="C382" i="2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66" i="2"/>
  <c r="C365" i="2"/>
  <c r="C364" i="2"/>
  <c r="C363" i="2"/>
  <c r="C362" i="2"/>
  <c r="C361" i="2"/>
  <c r="C360" i="2"/>
  <c r="C359" i="2"/>
  <c r="C358" i="2"/>
  <c r="C357" i="2"/>
  <c r="C356" i="2"/>
  <c r="C355" i="2"/>
  <c r="C354" i="2"/>
  <c r="C353" i="2"/>
  <c r="C352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35" i="2"/>
  <c r="C334" i="2"/>
  <c r="C333" i="2"/>
  <c r="C332" i="2"/>
  <c r="C331" i="2"/>
  <c r="C330" i="2"/>
  <c r="C329" i="2"/>
  <c r="C328" i="2"/>
  <c r="C327" i="2"/>
  <c r="C326" i="2"/>
  <c r="C325" i="2"/>
  <c r="C324" i="2"/>
  <c r="C323" i="2"/>
  <c r="C322" i="2"/>
  <c r="C321" i="2"/>
  <c r="C320" i="2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304" i="2"/>
  <c r="C303" i="2"/>
  <c r="C302" i="2"/>
  <c r="C301" i="2"/>
  <c r="C300" i="2"/>
  <c r="C299" i="2"/>
  <c r="C298" i="2"/>
  <c r="C297" i="2"/>
  <c r="C296" i="2"/>
  <c r="C295" i="2"/>
  <c r="C294" i="2"/>
  <c r="C293" i="2"/>
  <c r="C292" i="2"/>
  <c r="C291" i="2"/>
  <c r="C290" i="2"/>
  <c r="C289" i="2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73" i="2"/>
  <c r="C272" i="2"/>
  <c r="C271" i="2"/>
  <c r="C270" i="2"/>
  <c r="C269" i="2"/>
  <c r="C268" i="2"/>
  <c r="C267" i="2"/>
  <c r="C266" i="2"/>
  <c r="C265" i="2"/>
  <c r="C264" i="2"/>
  <c r="C263" i="2"/>
  <c r="C262" i="2"/>
  <c r="C261" i="2"/>
  <c r="C260" i="2"/>
  <c r="C259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42" i="2"/>
  <c r="C241" i="2"/>
  <c r="C240" i="2"/>
  <c r="C239" i="2"/>
  <c r="C238" i="2"/>
  <c r="C237" i="2"/>
  <c r="C236" i="2"/>
  <c r="C235" i="2"/>
  <c r="C234" i="2"/>
  <c r="C233" i="2"/>
  <c r="C232" i="2"/>
  <c r="C231" i="2"/>
  <c r="C230" i="2"/>
  <c r="C229" i="2"/>
  <c r="C228" i="2"/>
  <c r="C227" i="2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211" i="2"/>
  <c r="C210" i="2"/>
  <c r="C209" i="2"/>
  <c r="C208" i="2"/>
  <c r="C207" i="2"/>
  <c r="C206" i="2"/>
  <c r="C205" i="2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</calcChain>
</file>

<file path=xl/sharedStrings.xml><?xml version="1.0" encoding="utf-8"?>
<sst xmlns="http://schemas.openxmlformats.org/spreadsheetml/2006/main" count="12258" uniqueCount="121">
  <si>
    <t>GROUPING</t>
  </si>
  <si>
    <t>SCOPING_COMPONENT</t>
  </si>
  <si>
    <t>AMOUNT</t>
  </si>
  <si>
    <t>Cash</t>
  </si>
  <si>
    <t>Restricted cash</t>
  </si>
  <si>
    <t>AFDA</t>
  </si>
  <si>
    <t>International trade receivables</t>
  </si>
  <si>
    <t>Sundry receivables</t>
  </si>
  <si>
    <t>Trade A/R</t>
  </si>
  <si>
    <t>Unbilled A/R</t>
  </si>
  <si>
    <t>Due from related party, LT</t>
  </si>
  <si>
    <t>Due from Related party</t>
  </si>
  <si>
    <t>Contract assets</t>
  </si>
  <si>
    <t>Customer loan receivable (gross up)</t>
  </si>
  <si>
    <t>Manual and automatic accruals</t>
  </si>
  <si>
    <t>Unrecorded Liabilities and Other Creditors Payable</t>
  </si>
  <si>
    <t>Contract Liabilities</t>
  </si>
  <si>
    <t>Real Estate Held for Investment</t>
  </si>
  <si>
    <t>Investments in unconsolidated subsidiaries</t>
  </si>
  <si>
    <t>Real estate under development</t>
  </si>
  <si>
    <t>Non-current contract assets</t>
  </si>
  <si>
    <t>Accrued misc preferred vendors</t>
  </si>
  <si>
    <t>Deferred purchase considerations, net</t>
  </si>
  <si>
    <t>Deferred purchase consideration LT, net</t>
  </si>
  <si>
    <t>Compensation and employee benefits payable</t>
  </si>
  <si>
    <t>Accrued bonus</t>
  </si>
  <si>
    <t>Producer bonuses</t>
  </si>
  <si>
    <t>Noncontrolling interests</t>
  </si>
  <si>
    <t>Advisory - Commercial mortgage origination</t>
  </si>
  <si>
    <t>Advisory - Loan servicing</t>
  </si>
  <si>
    <t>Advisory - Property management</t>
  </si>
  <si>
    <t>Advisory - valuation</t>
  </si>
  <si>
    <t>Advisory leasing</t>
  </si>
  <si>
    <t>Advisory sales</t>
  </si>
  <si>
    <t>GWS - Facilities management</t>
  </si>
  <si>
    <t>GWS - Project management</t>
  </si>
  <si>
    <t>REI - Development services</t>
  </si>
  <si>
    <t>REI - Investment Management</t>
  </si>
  <si>
    <t>Cost of Revenue</t>
  </si>
  <si>
    <t>Real estate property, office and other expenses</t>
  </si>
  <si>
    <t>Salaries and benefits</t>
  </si>
  <si>
    <t>Staff bonus</t>
  </si>
  <si>
    <t>Executive bonus</t>
  </si>
  <si>
    <t>Less: Net income attributable to non-controlling interests</t>
  </si>
  <si>
    <t>Equity income from unconsolidated subsidiaries</t>
  </si>
  <si>
    <t>BUSINESS ENTITY</t>
  </si>
  <si>
    <t>Asia-Pacific (Consulting)</t>
  </si>
  <si>
    <t>A/R gross up</t>
  </si>
  <si>
    <t>Africa (Consulting)</t>
  </si>
  <si>
    <t>Africa (Facilities Management)</t>
  </si>
  <si>
    <t>Africa (Investments)</t>
  </si>
  <si>
    <t>Asia-Pacific (Facilities Management)</t>
  </si>
  <si>
    <t>Asia-Pacific (Investments)</t>
  </si>
  <si>
    <t>Europe (Consulting)</t>
  </si>
  <si>
    <t>Europe (Facilities Management)</t>
  </si>
  <si>
    <t>Europe (Investments)</t>
  </si>
  <si>
    <t>Middle-East (Consulting)</t>
  </si>
  <si>
    <t>Middle-East (Facilities Management)</t>
  </si>
  <si>
    <t>Middle-East (Investments)</t>
  </si>
  <si>
    <t>US (Consulting)</t>
  </si>
  <si>
    <t>US (Facilities Management)</t>
  </si>
  <si>
    <t>US (Investments)</t>
  </si>
  <si>
    <t>Grand Total</t>
  </si>
  <si>
    <t>CAT_ID</t>
  </si>
  <si>
    <t>BS_01</t>
  </si>
  <si>
    <t>BS_02</t>
  </si>
  <si>
    <t>BS_03</t>
  </si>
  <si>
    <t>BS_04</t>
  </si>
  <si>
    <t>BS_05</t>
  </si>
  <si>
    <t>BS_06</t>
  </si>
  <si>
    <t>BS_07</t>
  </si>
  <si>
    <t>BS_08</t>
  </si>
  <si>
    <t>BS_09</t>
  </si>
  <si>
    <t>BS_10</t>
  </si>
  <si>
    <t>BS_11</t>
  </si>
  <si>
    <t>BS_12</t>
  </si>
  <si>
    <t>BS_13</t>
  </si>
  <si>
    <t>BS_14</t>
  </si>
  <si>
    <t>BS_15</t>
  </si>
  <si>
    <t>BS_16</t>
  </si>
  <si>
    <t>BS_17</t>
  </si>
  <si>
    <t>BS_18</t>
  </si>
  <si>
    <t>BS_19</t>
  </si>
  <si>
    <t>BS_20</t>
  </si>
  <si>
    <t>BS_21</t>
  </si>
  <si>
    <t>BS_22</t>
  </si>
  <si>
    <t>BS_23</t>
  </si>
  <si>
    <t>BS_24</t>
  </si>
  <si>
    <t>BS_25</t>
  </si>
  <si>
    <t>IS_1</t>
  </si>
  <si>
    <t>IS_2</t>
  </si>
  <si>
    <t>IS_3</t>
  </si>
  <si>
    <t>IS_4</t>
  </si>
  <si>
    <t>IS_5</t>
  </si>
  <si>
    <t>IS_6</t>
  </si>
  <si>
    <t>IS_7</t>
  </si>
  <si>
    <t>IS_8</t>
  </si>
  <si>
    <t>IS_9</t>
  </si>
  <si>
    <t>IS_10</t>
  </si>
  <si>
    <t>IS_11</t>
  </si>
  <si>
    <t>IS_12</t>
  </si>
  <si>
    <t>IS_13</t>
  </si>
  <si>
    <t>IS_14</t>
  </si>
  <si>
    <t>IS_15</t>
  </si>
  <si>
    <t>IS_16</t>
  </si>
  <si>
    <t>IS_17</t>
  </si>
  <si>
    <t>Sum of AMOUNT</t>
  </si>
  <si>
    <t>Scoping Component</t>
  </si>
  <si>
    <t>Out of Scope Business Entity</t>
  </si>
  <si>
    <t>Out of Scope FSLI</t>
  </si>
  <si>
    <t>All FSLIs</t>
  </si>
  <si>
    <t>Segment</t>
  </si>
  <si>
    <t>Country</t>
  </si>
  <si>
    <t>Consulting</t>
  </si>
  <si>
    <t>Africa</t>
  </si>
  <si>
    <t>US</t>
  </si>
  <si>
    <t>Europe</t>
  </si>
  <si>
    <t>Middle-East</t>
  </si>
  <si>
    <t>Asia-Pacific</t>
  </si>
  <si>
    <t>Facilities Management</t>
  </si>
  <si>
    <t>Investments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</si>
</sst>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_);_(* \(#,##0\);_(* &quot;-&quot;??_);_(@_)"/>
    <numFmt numFmtId="165" formatCode="#,##0;\ \(#,##0\)"/>
  </numFmts>
  <fonts count="4" x14ac:knownFonts="1"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sz val="11"/>
      <color rgb="FFFFFFFF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366092"/>
        <bgColor rgb="FF366092"/>
      </patternFill>
    </fill>
    <fill>
      <patternFill patternType="solid">
        <fgColor theme="6" tint="-0.249977111117893"/>
        <bgColor rgb="FF366092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3" fontId="0" fillId="0" borderId="0" xfId="0" applyNumberFormat="1" applyAlignment="1">
      <alignment horizontal="right"/>
    </xf>
    <xf numFmtId="0" fontId="2" fillId="2" borderId="1" xfId="0" applyFont="1" applyFill="1" applyBorder="1" applyAlignment="1">
      <alignment horizontal="center" vertical="center"/>
    </xf>
    <xf numFmtId="0" fontId="0" fillId="0" borderId="0" xfId="0" pivotButton="1"/>
    <xf numFmtId="164" fontId="0" fillId="0" borderId="0" xfId="0" applyNumberFormat="1"/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65" fontId="0" fillId="0" borderId="0" xfId="0" applyNumberFormat="1" applyFill="1"/>
  </cellXfs>
  <cellStyles count="1">
    <cellStyle name="Normal" xfId="0" builtinId="0"/>
  </cellStyles>
  <dxfs count="2910">
    <dxf>
      <fill>
        <patternFill patternType="none">
          <bgColor indexed="65"/>
        </patternFill>
      </fill>
    </dxf>
    <dxf>
      <numFmt numFmtId="165" formatCode="#,##0;\ \(#,##0\)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solid">
          <bgColor rgb="FFDCE8E1"/>
        </patternFill>
      </fill>
    </dxf>
    <dxf>
      <fill>
        <patternFill patternType="none">
          <bgColor indexed="65"/>
        </patternFill>
      </fill>
    </dxf>
    <dxf>
      <numFmt numFmtId="165" formatCode="#,##0;\ \(#,##0\)"/>
    </dxf>
    <dxf>
      <fill>
        <patternFill patternType="none">
          <bgColor indexed="65"/>
        </patternFill>
      </fill>
    </dxf>
    <dxf>
      <numFmt numFmtId="165" formatCode="#,##0;\ \(#,##0\)"/>
    </dxf>
    <dxf>
      <fill>
        <patternFill patternType="none">
          <bgColor indexed="65"/>
        </patternFill>
      </fill>
    </dxf>
    <dxf>
      <numFmt numFmtId="165" formatCode="#,##0;\ \(#,##0\)"/>
    </dxf>
    <dxf>
      <fill>
        <patternFill patternType="none">
          <bgColor indexed="65"/>
        </patternFill>
      </fill>
    </dxf>
    <dxf>
      <numFmt numFmtId="165" formatCode="#,##0;\ \(#,##0\)"/>
    </dxf>
    <dxf>
      <fill>
        <patternFill patternType="none">
          <bgColor indexed="65"/>
        </patternFill>
      </fill>
    </dxf>
    <dxf>
      <numFmt numFmtId="165" formatCode="#,##0;\ \(#,##0\)"/>
    </dxf>
    <dxf>
      <fill>
        <patternFill patternType="none"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666750</xdr:colOff>
      <xdr:row>1</xdr:row>
      <xdr:rowOff>285750</xdr:rowOff>
    </xdr:from>
    <xdr:to>
      <xdr:col>2</xdr:col>
      <xdr:colOff>3267075</xdr:colOff>
      <xdr:row>1</xdr:row>
      <xdr:rowOff>1400175</xdr:rowOff>
    </xdr:to>
    <xdr:sp macro="[0]!Scoping_Exclusion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FDB8251-8FFF-439E-3388-A2B6B4AF3391}"/>
            </a:ext>
          </a:extLst>
        </xdr:cNvPr>
        <xdr:cNvSpPr/>
      </xdr:nvSpPr>
      <xdr:spPr>
        <a:xfrm>
          <a:off x="2181225" y="476250"/>
          <a:ext cx="2600325" cy="1114425"/>
        </a:xfrm>
        <a:prstGeom prst="round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400"/>
            <a:t>Click here to run the scoping macro</a:t>
          </a:r>
        </a:p>
      </xdr:txBody>
    </xdr:sp>
    <xdr:clientData/>
  </xdr:twoCellAnchor>
  <xdr:twoCellAnchor>
    <xdr:from>
      <xdr:col>3</xdr:col>
      <xdr:colOff>561975</xdr:colOff>
      <xdr:row>1</xdr:row>
      <xdr:rowOff>514350</xdr:rowOff>
    </xdr:from>
    <xdr:to>
      <xdr:col>4</xdr:col>
      <xdr:colOff>57150</xdr:colOff>
      <xdr:row>1</xdr:row>
      <xdr:rowOff>1266825</xdr:rowOff>
    </xdr:to>
    <xdr:sp macro="[0]!Clean_Scoping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B460469-E0EE-87A8-0479-586F6475126A}"/>
            </a:ext>
          </a:extLst>
        </xdr:cNvPr>
        <xdr:cNvSpPr/>
      </xdr:nvSpPr>
      <xdr:spPr>
        <a:xfrm>
          <a:off x="5562600" y="704850"/>
          <a:ext cx="1924050" cy="7524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800"/>
            <a:t>Click here to reset worksheet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yan and the bois" refreshedDate="45970.598217129627" createdVersion="8" refreshedVersion="8" minRefreshableVersion="3" recordCount="2955" xr:uid="{78750E01-4DA9-4D47-88E4-5623EB043942}">
  <cacheSource type="worksheet">
    <worksheetSource ref="A1:E2956" sheet="Original Data"/>
  </cacheSource>
  <cacheFields count="5">
    <cacheField name="CAT_ID" numFmtId="0">
      <sharedItems count="42">
        <s v="BS_22"/>
        <s v="BS_21"/>
        <s v="BS_17"/>
        <s v="BS_11"/>
        <s v="IS_8"/>
        <s v="IS_9"/>
        <s v="IS_10"/>
        <s v="IS_12"/>
        <s v="BS_15"/>
        <s v="IS_13"/>
        <s v="BS_07"/>
        <s v="BS_04"/>
        <s v="BS_16"/>
        <s v="IS_1"/>
        <s v="IS_7"/>
        <s v="BS_20"/>
        <s v="BS_14"/>
        <s v="BS_24"/>
        <s v="IS_15"/>
        <s v="BS_12"/>
        <s v="IS_6"/>
        <s v="BS_09"/>
        <s v="IS_2"/>
        <s v="IS_4"/>
        <s v="BS_25"/>
        <s v="BS_19"/>
        <s v="IS_3"/>
        <s v="IS_5"/>
        <s v="BS_13"/>
        <s v="BS_10"/>
        <s v="BS_23"/>
        <s v="BS_01"/>
        <s v="BS_05"/>
        <s v="BS_18"/>
        <s v="BS_08"/>
        <s v="BS_03"/>
        <s v="IS_11"/>
        <s v="IS_16"/>
        <s v="BS_02"/>
        <s v="IS_17"/>
        <s v="BS_06"/>
        <s v="IS_14"/>
      </sharedItems>
    </cacheField>
    <cacheField name="GROUPING" numFmtId="0">
      <sharedItems count="43">
        <s v="Compensation and employee benefits payable"/>
        <s v="Contract Liabilities"/>
        <s v="Deferred purchase considerations, net"/>
        <s v="Due from Related party"/>
        <s v="Equity income from unconsolidated subsidiaries"/>
        <s v="Executive bonus"/>
        <s v="GWS - Facilities management"/>
        <s v="Less: Net income attributable to non-controlling interests"/>
        <s v="Non-current contract assets"/>
        <s v="Real estate property, office and other expenses"/>
        <s v="Trade A/R"/>
        <s v="AFDA"/>
        <s v="Accrued misc preferred vendors"/>
        <s v="Advisory - Commercial mortgage origination"/>
        <s v="Cost of Revenue"/>
        <s v="Deferred purchase consideration LT, net"/>
        <s v="Investments in unconsolidated subsidiaries"/>
        <s v="Producer bonuses"/>
        <s v="REI - Investment Management"/>
        <s v="Real estate under development"/>
        <s v="Advisory sales"/>
        <s v="Due from related party, LT"/>
        <s v="Advisory - Loan servicing"/>
        <s v="Advisory - valuation"/>
        <s v="Noncontrolling interests"/>
        <s v="Unrecorded Liabilities and Other Creditors Payable"/>
        <s v="Advisory - Property management"/>
        <s v="Advisory leasing"/>
        <s v="Contract assets"/>
        <s v="Customer loan receivable (gross up)"/>
        <s v="Real Estate Held for Investment"/>
        <s v="Accrued bonus"/>
        <s v="Cash"/>
        <s v="International trade receivables"/>
        <s v="Manual and automatic accruals"/>
        <s v="Unbilled A/R"/>
        <s v="A/R gross up"/>
        <s v="GWS - Project management"/>
        <s v="Salaries and benefits"/>
        <s v="Restricted cash"/>
        <s v="Staff bonus"/>
        <s v="Sundry receivables"/>
        <s v="REI - Development services"/>
      </sharedItems>
    </cacheField>
    <cacheField name="SCOPING_COMPONENT" numFmtId="0">
      <sharedItems count="15">
        <s v="Africa (Consulting)"/>
        <s v="Africa (Facilities Management)"/>
        <s v="Africa (Investments)"/>
        <s v="Asia-Pacific (Consulting)"/>
        <s v="Asia-Pacific (Facilities Management)"/>
        <s v="Asia-Pacific (Investments)"/>
        <s v="Europe (Consulting)"/>
        <s v="Europe (Facilities Management)"/>
        <s v="Europe (Investments)"/>
        <s v="Middle-East (Consulting)"/>
        <s v="Middle-East (Facilities Management)"/>
        <s v="Middle-East (Investments)"/>
        <s v="US (Consulting)"/>
        <s v="US (Facilities Management)"/>
        <s v="US (Investments)"/>
      </sharedItems>
    </cacheField>
    <cacheField name="BUSINESS ENTITY" numFmtId="0">
      <sharedItems containsSemiMixedTypes="0" containsString="0" containsNumber="1" containsInteger="1" minValue="10023" maxValue="89940" count="357">
        <n v="10151"/>
        <n v="11546"/>
        <n v="15285"/>
        <n v="17019"/>
        <n v="21736"/>
        <n v="30776"/>
        <n v="34613"/>
        <n v="42461"/>
        <n v="53027"/>
        <n v="53681"/>
        <n v="56073"/>
        <n v="63220"/>
        <n v="63403"/>
        <n v="72739"/>
        <n v="75250"/>
        <n v="79863"/>
        <n v="81857"/>
        <n v="86272"/>
        <n v="20218"/>
        <n v="23259"/>
        <n v="24905"/>
        <n v="39706"/>
        <n v="46187"/>
        <n v="47097"/>
        <n v="48636"/>
        <n v="50768"/>
        <n v="55481"/>
        <n v="65050"/>
        <n v="75257"/>
        <n v="79177"/>
        <n v="82313"/>
        <n v="23326"/>
        <n v="25937"/>
        <n v="43566"/>
        <n v="46969"/>
        <n v="51457"/>
        <n v="53789"/>
        <n v="72919"/>
        <n v="73889"/>
        <n v="75884"/>
        <n v="77825"/>
        <n v="78221"/>
        <n v="17845"/>
        <n v="24003"/>
        <n v="25382"/>
        <n v="26271"/>
        <n v="26287"/>
        <n v="27528"/>
        <n v="35415"/>
        <n v="36135"/>
        <n v="37424"/>
        <n v="41143"/>
        <n v="46638"/>
        <n v="50240"/>
        <n v="50695"/>
        <n v="51198"/>
        <n v="63405"/>
        <n v="64705"/>
        <n v="66919"/>
        <n v="67103"/>
        <n v="67561"/>
        <n v="72187"/>
        <n v="74713"/>
        <n v="75327"/>
        <n v="80154"/>
        <n v="82602"/>
        <n v="86095"/>
        <n v="88179"/>
        <n v="28350"/>
        <n v="32784"/>
        <n v="37559"/>
        <n v="49282"/>
        <n v="56933"/>
        <n v="57593"/>
        <n v="61502"/>
        <n v="76523"/>
        <n v="78398"/>
        <n v="78601"/>
        <n v="79089"/>
        <n v="87696"/>
        <n v="14686"/>
        <n v="15595"/>
        <n v="28291"/>
        <n v="30310"/>
        <n v="43340"/>
        <n v="50410"/>
        <n v="58876"/>
        <n v="68945"/>
        <n v="88813"/>
        <n v="15777"/>
        <n v="29282"/>
        <n v="32956"/>
        <n v="33170"/>
        <n v="36055"/>
        <n v="36768"/>
        <n v="38696"/>
        <n v="46026"/>
        <n v="47729"/>
        <n v="56917"/>
        <n v="67941"/>
        <n v="77596"/>
        <n v="86385"/>
        <n v="87229"/>
        <n v="87778"/>
        <n v="89472"/>
        <n v="13175"/>
        <n v="20910"/>
        <n v="24014"/>
        <n v="35143"/>
        <n v="38653"/>
        <n v="43342"/>
        <n v="44852"/>
        <n v="45792"/>
        <n v="47193"/>
        <n v="51003"/>
        <n v="61232"/>
        <n v="74336"/>
        <n v="87775"/>
        <n v="34812"/>
        <n v="59738"/>
        <n v="70981"/>
        <n v="78761"/>
        <n v="24588"/>
        <n v="24627"/>
        <n v="35207"/>
        <n v="49899"/>
        <n v="89486"/>
        <n v="14275"/>
        <n v="21575"/>
        <n v="27896"/>
        <n v="61551"/>
        <n v="66384"/>
        <n v="69407"/>
        <n v="74838"/>
        <n v="28128"/>
        <n v="12756"/>
        <n v="28139"/>
        <n v="56869"/>
        <n v="59314"/>
        <n v="67412"/>
        <n v="70173"/>
        <n v="20294"/>
        <n v="22559"/>
        <n v="33328"/>
        <n v="23089"/>
        <n v="12408" u="1"/>
        <n v="15433" u="1"/>
        <n v="15818" u="1"/>
        <n v="16687" u="1"/>
        <n v="18273" u="1"/>
        <n v="18829" u="1"/>
        <n v="21638" u="1"/>
        <n v="23556" u="1"/>
        <n v="31770" u="1"/>
        <n v="32080" u="1"/>
        <n v="33071" u="1"/>
        <n v="33269" u="1"/>
        <n v="34846" u="1"/>
        <n v="37492" u="1"/>
        <n v="41707" u="1"/>
        <n v="42425" u="1"/>
        <n v="45292" u="1"/>
        <n v="60675" u="1"/>
        <n v="60779" u="1"/>
        <n v="62568" u="1"/>
        <n v="65369" u="1"/>
        <n v="71143" u="1"/>
        <n v="72368" u="1"/>
        <n v="73245" u="1"/>
        <n v="76944" u="1"/>
        <n v="78683" u="1"/>
        <n v="83298" u="1"/>
        <n v="85373" u="1"/>
        <n v="13431" u="1"/>
        <n v="15741" u="1"/>
        <n v="26067" u="1"/>
        <n v="27163" u="1"/>
        <n v="32099" u="1"/>
        <n v="38460" u="1"/>
        <n v="41651" u="1"/>
        <n v="44188" u="1"/>
        <n v="45662" u="1"/>
        <n v="63433" u="1"/>
        <n v="65465" u="1"/>
        <n v="71415" u="1"/>
        <n v="73731" u="1"/>
        <n v="78402" u="1"/>
        <n v="83800" u="1"/>
        <n v="87025" u="1"/>
        <n v="89940" u="1"/>
        <n v="10432" u="1"/>
        <n v="14579" u="1"/>
        <n v="22660" u="1"/>
        <n v="26800" u="1"/>
        <n v="27542" u="1"/>
        <n v="28854" u="1"/>
        <n v="31875" u="1"/>
        <n v="39130" u="1"/>
        <n v="39906" u="1"/>
        <n v="40755" u="1"/>
        <n v="44542" u="1"/>
        <n v="49164" u="1"/>
        <n v="64501" u="1"/>
        <n v="71453" u="1"/>
        <n v="76996" u="1"/>
        <n v="77910" u="1"/>
        <n v="80562" u="1"/>
        <n v="81916" u="1"/>
        <n v="85311" u="1"/>
        <n v="85432" u="1"/>
        <n v="10109" u="1"/>
        <n v="10840" u="1"/>
        <n v="11391" u="1"/>
        <n v="17118" u="1"/>
        <n v="29123" u="1"/>
        <n v="33823" u="1"/>
        <n v="34544" u="1"/>
        <n v="35637" u="1"/>
        <n v="36589" u="1"/>
        <n v="38390" u="1"/>
        <n v="40231" u="1"/>
        <n v="42834" u="1"/>
        <n v="45152" u="1"/>
        <n v="46763" u="1"/>
        <n v="47015" u="1"/>
        <n v="61872" u="1"/>
        <n v="62033" u="1"/>
        <n v="64788" u="1"/>
        <n v="65196" u="1"/>
        <n v="70566" u="1"/>
        <n v="71258" u="1"/>
        <n v="72074" u="1"/>
        <n v="72755" u="1"/>
        <n v="74736" u="1"/>
        <n v="76866" u="1"/>
        <n v="80942" u="1"/>
        <n v="83518" u="1"/>
        <n v="84197" u="1"/>
        <n v="84602" u="1"/>
        <n v="84840" u="1"/>
        <n v="87383" u="1"/>
        <n v="88800" u="1"/>
        <n v="11376" u="1"/>
        <n v="15713" u="1"/>
        <n v="20076" u="1"/>
        <n v="21149" u="1"/>
        <n v="22390" u="1"/>
        <n v="25016" u="1"/>
        <n v="29994" u="1"/>
        <n v="31948" u="1"/>
        <n v="34746" u="1"/>
        <n v="34811" u="1"/>
        <n v="37548" u="1"/>
        <n v="45114" u="1"/>
        <n v="48417" u="1"/>
        <n v="49905" u="1"/>
        <n v="60925" u="1"/>
        <n v="62407" u="1"/>
        <n v="64718" u="1"/>
        <n v="67369" u="1"/>
        <n v="69541" u="1"/>
        <n v="69955" u="1"/>
        <n v="72193" u="1"/>
        <n v="72656" u="1"/>
        <n v="73568" u="1"/>
        <n v="74783" u="1"/>
        <n v="76935" u="1"/>
        <n v="77528" u="1"/>
        <n v="80631" u="1"/>
        <n v="80810" u="1"/>
        <n v="83597" u="1"/>
        <n v="16079" u="1"/>
        <n v="17058" u="1"/>
        <n v="25294" u="1"/>
        <n v="27388" u="1"/>
        <n v="36688" u="1"/>
        <n v="44864" u="1"/>
        <n v="64144" u="1"/>
        <n v="67699" u="1"/>
        <n v="68602" u="1"/>
        <n v="70644" u="1"/>
        <n v="72091" u="1"/>
        <n v="82251" u="1"/>
        <n v="84292" u="1"/>
        <n v="84383" u="1"/>
        <n v="88553" u="1"/>
        <n v="12876" u="1"/>
        <n v="13401" u="1"/>
        <n v="15413" u="1"/>
        <n v="18851" u="1"/>
        <n v="19317" u="1"/>
        <n v="20463" u="1"/>
        <n v="21892" u="1"/>
        <n v="30673" u="1"/>
        <n v="32334" u="1"/>
        <n v="46320" u="1"/>
        <n v="60954" u="1"/>
        <n v="62105" u="1"/>
        <n v="63042" u="1"/>
        <n v="77873" u="1"/>
        <n v="79310" u="1"/>
        <n v="80843" u="1"/>
        <n v="81903" u="1"/>
        <n v="81913" u="1"/>
        <n v="84253" u="1"/>
        <n v="10665" u="1"/>
        <n v="11068" u="1"/>
        <n v="20733" u="1"/>
        <n v="35405" u="1"/>
        <n v="38467" u="1"/>
        <n v="43603" u="1"/>
        <n v="44118" u="1"/>
        <n v="45140" u="1"/>
        <n v="47578" u="1"/>
        <n v="61082" u="1"/>
        <n v="70971" u="1"/>
        <n v="72688" u="1"/>
        <n v="74161" u="1"/>
        <n v="77613" u="1"/>
        <n v="78237" u="1"/>
        <n v="86289" u="1"/>
        <n v="10023" u="1"/>
        <n v="32509" u="1"/>
        <n v="39934" u="1"/>
        <n v="46852" u="1"/>
        <n v="77091" u="1"/>
        <n v="85923" u="1"/>
        <n v="88962" u="1"/>
        <n v="89276" u="1"/>
        <n v="10822" u="1"/>
        <n v="12086" u="1"/>
        <n v="13914" u="1"/>
        <n v="64456" u="1"/>
        <n v="12892" u="1"/>
        <n v="27821" u="1"/>
        <n v="41255" u="1"/>
        <n v="43444" u="1"/>
        <n v="47563" u="1"/>
        <n v="71066" u="1"/>
        <n v="74057" u="1"/>
        <n v="75483" u="1"/>
        <n v="30661" u="1"/>
        <n v="76388" u="1"/>
        <n v="33063" u="1"/>
        <n v="38222" u="1"/>
        <n v="38591" u="1"/>
        <n v="41909" u="1"/>
        <n v="43427" u="1"/>
        <n v="88543" u="1"/>
        <n v="10561" u="1"/>
        <n v="36098" u="1"/>
        <n v="41859" u="1"/>
        <n v="74900" u="1"/>
        <n v="88499" u="1"/>
        <n v="14103" u="1"/>
        <n v="81493" u="1"/>
        <n v="82747" u="1"/>
      </sharedItems>
    </cacheField>
    <cacheField name="AMOUNT" numFmtId="3">
      <sharedItems containsSemiMixedTypes="0" containsString="0" containsNumber="1" minValue="-10564312.82" maxValue="1184422024.69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55">
  <r>
    <x v="0"/>
    <x v="0"/>
    <x v="0"/>
    <x v="0"/>
    <n v="3315397.58"/>
  </r>
  <r>
    <x v="1"/>
    <x v="1"/>
    <x v="0"/>
    <x v="0"/>
    <n v="2301201.62"/>
  </r>
  <r>
    <x v="2"/>
    <x v="2"/>
    <x v="0"/>
    <x v="0"/>
    <n v="1409305.86"/>
  </r>
  <r>
    <x v="3"/>
    <x v="3"/>
    <x v="0"/>
    <x v="0"/>
    <n v="240915.91"/>
  </r>
  <r>
    <x v="4"/>
    <x v="4"/>
    <x v="0"/>
    <x v="0"/>
    <n v="1716637.61"/>
  </r>
  <r>
    <x v="5"/>
    <x v="5"/>
    <x v="0"/>
    <x v="0"/>
    <n v="806864.33"/>
  </r>
  <r>
    <x v="6"/>
    <x v="6"/>
    <x v="0"/>
    <x v="0"/>
    <n v="11109311.92"/>
  </r>
  <r>
    <x v="7"/>
    <x v="7"/>
    <x v="0"/>
    <x v="0"/>
    <n v="461.71"/>
  </r>
  <r>
    <x v="8"/>
    <x v="8"/>
    <x v="0"/>
    <x v="0"/>
    <n v="871420.05"/>
  </r>
  <r>
    <x v="9"/>
    <x v="9"/>
    <x v="0"/>
    <x v="0"/>
    <n v="420371.38"/>
  </r>
  <r>
    <x v="10"/>
    <x v="10"/>
    <x v="0"/>
    <x v="0"/>
    <n v="36727746.990000002"/>
  </r>
  <r>
    <x v="11"/>
    <x v="11"/>
    <x v="0"/>
    <x v="1"/>
    <n v="-421746.62"/>
  </r>
  <r>
    <x v="12"/>
    <x v="12"/>
    <x v="0"/>
    <x v="1"/>
    <n v="3375444.58"/>
  </r>
  <r>
    <x v="13"/>
    <x v="13"/>
    <x v="0"/>
    <x v="1"/>
    <n v="763876.38"/>
  </r>
  <r>
    <x v="14"/>
    <x v="14"/>
    <x v="0"/>
    <x v="1"/>
    <n v="1128.28"/>
  </r>
  <r>
    <x v="15"/>
    <x v="15"/>
    <x v="0"/>
    <x v="1"/>
    <n v="2108348.11"/>
  </r>
  <r>
    <x v="2"/>
    <x v="2"/>
    <x v="0"/>
    <x v="1"/>
    <n v="2229200.73"/>
  </r>
  <r>
    <x v="3"/>
    <x v="3"/>
    <x v="0"/>
    <x v="1"/>
    <n v="250039.43"/>
  </r>
  <r>
    <x v="4"/>
    <x v="4"/>
    <x v="0"/>
    <x v="1"/>
    <n v="661073.42000000004"/>
  </r>
  <r>
    <x v="16"/>
    <x v="16"/>
    <x v="0"/>
    <x v="1"/>
    <n v="0.21"/>
  </r>
  <r>
    <x v="17"/>
    <x v="17"/>
    <x v="0"/>
    <x v="1"/>
    <n v="1194730.79"/>
  </r>
  <r>
    <x v="18"/>
    <x v="18"/>
    <x v="0"/>
    <x v="1"/>
    <n v="3197843.65"/>
  </r>
  <r>
    <x v="19"/>
    <x v="19"/>
    <x v="0"/>
    <x v="1"/>
    <n v="634513.75"/>
  </r>
  <r>
    <x v="10"/>
    <x v="10"/>
    <x v="0"/>
    <x v="1"/>
    <n v="32108493.02"/>
  </r>
  <r>
    <x v="20"/>
    <x v="20"/>
    <x v="0"/>
    <x v="2"/>
    <n v="7478980.9199999999"/>
  </r>
  <r>
    <x v="14"/>
    <x v="14"/>
    <x v="0"/>
    <x v="2"/>
    <n v="29454969.489999998"/>
  </r>
  <r>
    <x v="15"/>
    <x v="15"/>
    <x v="0"/>
    <x v="2"/>
    <n v="5555140.7599999998"/>
  </r>
  <r>
    <x v="21"/>
    <x v="21"/>
    <x v="0"/>
    <x v="2"/>
    <n v="2322178.7799999998"/>
  </r>
  <r>
    <x v="6"/>
    <x v="6"/>
    <x v="0"/>
    <x v="2"/>
    <n v="340.48"/>
  </r>
  <r>
    <x v="7"/>
    <x v="7"/>
    <x v="0"/>
    <x v="2"/>
    <n v="895001.54"/>
  </r>
  <r>
    <x v="8"/>
    <x v="8"/>
    <x v="0"/>
    <x v="2"/>
    <n v="9791.74"/>
  </r>
  <r>
    <x v="19"/>
    <x v="19"/>
    <x v="0"/>
    <x v="2"/>
    <n v="2371633.8199999998"/>
  </r>
  <r>
    <x v="10"/>
    <x v="10"/>
    <x v="0"/>
    <x v="2"/>
    <n v="33017420.559999999"/>
  </r>
  <r>
    <x v="22"/>
    <x v="22"/>
    <x v="0"/>
    <x v="3"/>
    <n v="0.56999999999999995"/>
  </r>
  <r>
    <x v="23"/>
    <x v="23"/>
    <x v="0"/>
    <x v="3"/>
    <n v="5741008.0599999996"/>
  </r>
  <r>
    <x v="20"/>
    <x v="20"/>
    <x v="0"/>
    <x v="3"/>
    <n v="14365911.640000001"/>
  </r>
  <r>
    <x v="0"/>
    <x v="0"/>
    <x v="0"/>
    <x v="3"/>
    <n v="1114.6199999999999"/>
  </r>
  <r>
    <x v="3"/>
    <x v="3"/>
    <x v="0"/>
    <x v="3"/>
    <n v="330991.31"/>
  </r>
  <r>
    <x v="4"/>
    <x v="4"/>
    <x v="0"/>
    <x v="3"/>
    <n v="1670876.63"/>
  </r>
  <r>
    <x v="6"/>
    <x v="6"/>
    <x v="0"/>
    <x v="3"/>
    <n v="16195986.58"/>
  </r>
  <r>
    <x v="7"/>
    <x v="7"/>
    <x v="0"/>
    <x v="3"/>
    <n v="13336.95"/>
  </r>
  <r>
    <x v="24"/>
    <x v="24"/>
    <x v="0"/>
    <x v="3"/>
    <n v="1101688.9099999999"/>
  </r>
  <r>
    <x v="10"/>
    <x v="10"/>
    <x v="0"/>
    <x v="3"/>
    <n v="1387.9"/>
  </r>
  <r>
    <x v="25"/>
    <x v="25"/>
    <x v="0"/>
    <x v="3"/>
    <n v="3598105.81"/>
  </r>
  <r>
    <x v="13"/>
    <x v="13"/>
    <x v="0"/>
    <x v="4"/>
    <n v="2993759.05"/>
  </r>
  <r>
    <x v="26"/>
    <x v="26"/>
    <x v="0"/>
    <x v="4"/>
    <n v="103788557.56"/>
  </r>
  <r>
    <x v="27"/>
    <x v="27"/>
    <x v="0"/>
    <x v="4"/>
    <n v="43746407.490000002"/>
  </r>
  <r>
    <x v="20"/>
    <x v="20"/>
    <x v="0"/>
    <x v="4"/>
    <n v="35022070.530000001"/>
  </r>
  <r>
    <x v="1"/>
    <x v="1"/>
    <x v="0"/>
    <x v="4"/>
    <n v="5812.4"/>
  </r>
  <r>
    <x v="19"/>
    <x v="28"/>
    <x v="0"/>
    <x v="4"/>
    <n v="3224849.56"/>
  </r>
  <r>
    <x v="28"/>
    <x v="29"/>
    <x v="0"/>
    <x v="4"/>
    <n v="1650685.12"/>
  </r>
  <r>
    <x v="3"/>
    <x v="3"/>
    <x v="0"/>
    <x v="4"/>
    <n v="366688.46"/>
  </r>
  <r>
    <x v="21"/>
    <x v="21"/>
    <x v="0"/>
    <x v="4"/>
    <n v="316886.2"/>
  </r>
  <r>
    <x v="5"/>
    <x v="5"/>
    <x v="0"/>
    <x v="4"/>
    <n v="1329717.48"/>
  </r>
  <r>
    <x v="8"/>
    <x v="8"/>
    <x v="0"/>
    <x v="4"/>
    <n v="644363.80000000005"/>
  </r>
  <r>
    <x v="24"/>
    <x v="24"/>
    <x v="0"/>
    <x v="4"/>
    <n v="2707880.72"/>
  </r>
  <r>
    <x v="17"/>
    <x v="17"/>
    <x v="0"/>
    <x v="4"/>
    <n v="641140.19999999995"/>
  </r>
  <r>
    <x v="29"/>
    <x v="30"/>
    <x v="0"/>
    <x v="4"/>
    <n v="1165379.3400000001"/>
  </r>
  <r>
    <x v="9"/>
    <x v="9"/>
    <x v="0"/>
    <x v="4"/>
    <n v="1237187.05"/>
  </r>
  <r>
    <x v="19"/>
    <x v="19"/>
    <x v="0"/>
    <x v="4"/>
    <n v="3436641.52"/>
  </r>
  <r>
    <x v="30"/>
    <x v="31"/>
    <x v="0"/>
    <x v="5"/>
    <n v="1035521.54"/>
  </r>
  <r>
    <x v="20"/>
    <x v="20"/>
    <x v="0"/>
    <x v="5"/>
    <n v="10814233.82"/>
  </r>
  <r>
    <x v="31"/>
    <x v="32"/>
    <x v="0"/>
    <x v="5"/>
    <n v="0.06"/>
  </r>
  <r>
    <x v="28"/>
    <x v="29"/>
    <x v="0"/>
    <x v="5"/>
    <n v="1231091.6499999999"/>
  </r>
  <r>
    <x v="21"/>
    <x v="21"/>
    <x v="0"/>
    <x v="5"/>
    <n v="3022943.92"/>
  </r>
  <r>
    <x v="32"/>
    <x v="33"/>
    <x v="0"/>
    <x v="5"/>
    <n v="458779.49"/>
  </r>
  <r>
    <x v="7"/>
    <x v="7"/>
    <x v="0"/>
    <x v="5"/>
    <n v="342281.61"/>
  </r>
  <r>
    <x v="33"/>
    <x v="34"/>
    <x v="0"/>
    <x v="5"/>
    <n v="6500567.4199999999"/>
  </r>
  <r>
    <x v="17"/>
    <x v="17"/>
    <x v="0"/>
    <x v="5"/>
    <n v="1805670.73"/>
  </r>
  <r>
    <x v="34"/>
    <x v="35"/>
    <x v="0"/>
    <x v="5"/>
    <n v="1.92"/>
  </r>
  <r>
    <x v="35"/>
    <x v="36"/>
    <x v="0"/>
    <x v="6"/>
    <n v="686240.69"/>
  </r>
  <r>
    <x v="26"/>
    <x v="26"/>
    <x v="0"/>
    <x v="6"/>
    <n v="6046.56"/>
  </r>
  <r>
    <x v="20"/>
    <x v="20"/>
    <x v="0"/>
    <x v="6"/>
    <n v="12931.74"/>
  </r>
  <r>
    <x v="28"/>
    <x v="29"/>
    <x v="0"/>
    <x v="6"/>
    <n v="1796683.51"/>
  </r>
  <r>
    <x v="15"/>
    <x v="15"/>
    <x v="0"/>
    <x v="6"/>
    <n v="743.69"/>
  </r>
  <r>
    <x v="3"/>
    <x v="3"/>
    <x v="0"/>
    <x v="6"/>
    <n v="109474.58"/>
  </r>
  <r>
    <x v="21"/>
    <x v="21"/>
    <x v="0"/>
    <x v="6"/>
    <n v="1494471.66"/>
  </r>
  <r>
    <x v="5"/>
    <x v="5"/>
    <x v="0"/>
    <x v="6"/>
    <n v="2138960.63"/>
  </r>
  <r>
    <x v="36"/>
    <x v="37"/>
    <x v="0"/>
    <x v="6"/>
    <n v="16763519.789999999"/>
  </r>
  <r>
    <x v="16"/>
    <x v="16"/>
    <x v="0"/>
    <x v="6"/>
    <n v="7221418.0300000003"/>
  </r>
  <r>
    <x v="7"/>
    <x v="7"/>
    <x v="0"/>
    <x v="6"/>
    <n v="339769.32"/>
  </r>
  <r>
    <x v="33"/>
    <x v="34"/>
    <x v="0"/>
    <x v="6"/>
    <n v="18717.689999999999"/>
  </r>
  <r>
    <x v="8"/>
    <x v="8"/>
    <x v="0"/>
    <x v="6"/>
    <n v="3852.41"/>
  </r>
  <r>
    <x v="24"/>
    <x v="24"/>
    <x v="0"/>
    <x v="6"/>
    <n v="1541915.71"/>
  </r>
  <r>
    <x v="29"/>
    <x v="30"/>
    <x v="0"/>
    <x v="6"/>
    <n v="835128.74"/>
  </r>
  <r>
    <x v="37"/>
    <x v="38"/>
    <x v="0"/>
    <x v="6"/>
    <n v="3943331.1"/>
  </r>
  <r>
    <x v="35"/>
    <x v="36"/>
    <x v="0"/>
    <x v="7"/>
    <n v="1211593.75"/>
  </r>
  <r>
    <x v="13"/>
    <x v="13"/>
    <x v="0"/>
    <x v="7"/>
    <n v="1692620.04"/>
  </r>
  <r>
    <x v="22"/>
    <x v="22"/>
    <x v="0"/>
    <x v="7"/>
    <n v="3146077.02"/>
  </r>
  <r>
    <x v="23"/>
    <x v="23"/>
    <x v="0"/>
    <x v="7"/>
    <n v="4080.72"/>
  </r>
  <r>
    <x v="31"/>
    <x v="32"/>
    <x v="0"/>
    <x v="7"/>
    <n v="21600026.309999999"/>
  </r>
  <r>
    <x v="28"/>
    <x v="29"/>
    <x v="0"/>
    <x v="7"/>
    <n v="903211.63"/>
  </r>
  <r>
    <x v="15"/>
    <x v="15"/>
    <x v="0"/>
    <x v="7"/>
    <n v="666.91"/>
  </r>
  <r>
    <x v="3"/>
    <x v="3"/>
    <x v="0"/>
    <x v="7"/>
    <n v="214553.54"/>
  </r>
  <r>
    <x v="4"/>
    <x v="4"/>
    <x v="0"/>
    <x v="7"/>
    <n v="696124.15"/>
  </r>
  <r>
    <x v="33"/>
    <x v="34"/>
    <x v="0"/>
    <x v="7"/>
    <n v="12710751.970000001"/>
  </r>
  <r>
    <x v="29"/>
    <x v="30"/>
    <x v="0"/>
    <x v="7"/>
    <n v="287193"/>
  </r>
  <r>
    <x v="9"/>
    <x v="9"/>
    <x v="0"/>
    <x v="7"/>
    <n v="300.22000000000003"/>
  </r>
  <r>
    <x v="19"/>
    <x v="19"/>
    <x v="0"/>
    <x v="7"/>
    <n v="1123807.47"/>
  </r>
  <r>
    <x v="37"/>
    <x v="38"/>
    <x v="0"/>
    <x v="7"/>
    <n v="769.87"/>
  </r>
  <r>
    <x v="11"/>
    <x v="11"/>
    <x v="0"/>
    <x v="8"/>
    <n v="-954090.03"/>
  </r>
  <r>
    <x v="22"/>
    <x v="22"/>
    <x v="0"/>
    <x v="8"/>
    <n v="4890657.05"/>
  </r>
  <r>
    <x v="23"/>
    <x v="23"/>
    <x v="0"/>
    <x v="8"/>
    <n v="7676971.21"/>
  </r>
  <r>
    <x v="20"/>
    <x v="20"/>
    <x v="0"/>
    <x v="8"/>
    <n v="7188827.9800000004"/>
  </r>
  <r>
    <x v="0"/>
    <x v="0"/>
    <x v="0"/>
    <x v="8"/>
    <n v="13460056.23"/>
  </r>
  <r>
    <x v="1"/>
    <x v="1"/>
    <x v="0"/>
    <x v="8"/>
    <n v="3217763.93"/>
  </r>
  <r>
    <x v="14"/>
    <x v="14"/>
    <x v="0"/>
    <x v="8"/>
    <n v="31500100.390000001"/>
  </r>
  <r>
    <x v="28"/>
    <x v="29"/>
    <x v="0"/>
    <x v="8"/>
    <n v="1401916.91"/>
  </r>
  <r>
    <x v="16"/>
    <x v="16"/>
    <x v="0"/>
    <x v="8"/>
    <n v="5597614.8700000001"/>
  </r>
  <r>
    <x v="24"/>
    <x v="24"/>
    <x v="0"/>
    <x v="8"/>
    <n v="543778.06000000006"/>
  </r>
  <r>
    <x v="29"/>
    <x v="30"/>
    <x v="0"/>
    <x v="8"/>
    <n v="1766731.93"/>
  </r>
  <r>
    <x v="9"/>
    <x v="9"/>
    <x v="0"/>
    <x v="8"/>
    <n v="2364863.87"/>
  </r>
  <r>
    <x v="37"/>
    <x v="38"/>
    <x v="0"/>
    <x v="8"/>
    <n v="13056940.85"/>
  </r>
  <r>
    <x v="34"/>
    <x v="35"/>
    <x v="0"/>
    <x v="8"/>
    <n v="33577930.109999999"/>
  </r>
  <r>
    <x v="35"/>
    <x v="36"/>
    <x v="0"/>
    <x v="9"/>
    <n v="918.34"/>
  </r>
  <r>
    <x v="30"/>
    <x v="31"/>
    <x v="0"/>
    <x v="9"/>
    <n v="1386976.77"/>
  </r>
  <r>
    <x v="13"/>
    <x v="13"/>
    <x v="0"/>
    <x v="9"/>
    <n v="1170877.07"/>
  </r>
  <r>
    <x v="27"/>
    <x v="27"/>
    <x v="0"/>
    <x v="9"/>
    <n v="13881072"/>
  </r>
  <r>
    <x v="32"/>
    <x v="33"/>
    <x v="0"/>
    <x v="9"/>
    <n v="790935.91"/>
  </r>
  <r>
    <x v="24"/>
    <x v="24"/>
    <x v="0"/>
    <x v="9"/>
    <n v="1464487.2"/>
  </r>
  <r>
    <x v="19"/>
    <x v="19"/>
    <x v="0"/>
    <x v="9"/>
    <n v="660593.25"/>
  </r>
  <r>
    <x v="38"/>
    <x v="39"/>
    <x v="0"/>
    <x v="9"/>
    <n v="301179.5"/>
  </r>
  <r>
    <x v="25"/>
    <x v="25"/>
    <x v="0"/>
    <x v="9"/>
    <n v="3848872.51"/>
  </r>
  <r>
    <x v="35"/>
    <x v="36"/>
    <x v="0"/>
    <x v="10"/>
    <n v="1647887.95"/>
  </r>
  <r>
    <x v="30"/>
    <x v="31"/>
    <x v="0"/>
    <x v="10"/>
    <n v="4537873.5999999996"/>
  </r>
  <r>
    <x v="22"/>
    <x v="22"/>
    <x v="0"/>
    <x v="10"/>
    <n v="1623807.33"/>
  </r>
  <r>
    <x v="23"/>
    <x v="23"/>
    <x v="0"/>
    <x v="10"/>
    <n v="3681631.83"/>
  </r>
  <r>
    <x v="19"/>
    <x v="28"/>
    <x v="0"/>
    <x v="10"/>
    <n v="3166769.5"/>
  </r>
  <r>
    <x v="14"/>
    <x v="14"/>
    <x v="0"/>
    <x v="10"/>
    <n v="22208936.420000002"/>
  </r>
  <r>
    <x v="28"/>
    <x v="29"/>
    <x v="0"/>
    <x v="10"/>
    <n v="1469817.5"/>
  </r>
  <r>
    <x v="15"/>
    <x v="15"/>
    <x v="0"/>
    <x v="10"/>
    <n v="3880289.53"/>
  </r>
  <r>
    <x v="4"/>
    <x v="4"/>
    <x v="0"/>
    <x v="10"/>
    <n v="975967.03"/>
  </r>
  <r>
    <x v="36"/>
    <x v="37"/>
    <x v="0"/>
    <x v="10"/>
    <n v="4413365.6399999997"/>
  </r>
  <r>
    <x v="18"/>
    <x v="18"/>
    <x v="0"/>
    <x v="10"/>
    <n v="226.73"/>
  </r>
  <r>
    <x v="9"/>
    <x v="9"/>
    <x v="0"/>
    <x v="10"/>
    <n v="642850.96"/>
  </r>
  <r>
    <x v="35"/>
    <x v="36"/>
    <x v="0"/>
    <x v="11"/>
    <n v="500761.72"/>
  </r>
  <r>
    <x v="11"/>
    <x v="11"/>
    <x v="0"/>
    <x v="11"/>
    <n v="-892229.05"/>
  </r>
  <r>
    <x v="26"/>
    <x v="26"/>
    <x v="0"/>
    <x v="11"/>
    <n v="10932.29"/>
  </r>
  <r>
    <x v="27"/>
    <x v="27"/>
    <x v="0"/>
    <x v="11"/>
    <n v="29505996.550000001"/>
  </r>
  <r>
    <x v="1"/>
    <x v="1"/>
    <x v="0"/>
    <x v="11"/>
    <n v="2797.67"/>
  </r>
  <r>
    <x v="14"/>
    <x v="14"/>
    <x v="0"/>
    <x v="11"/>
    <n v="96878491.909999996"/>
  </r>
  <r>
    <x v="4"/>
    <x v="4"/>
    <x v="0"/>
    <x v="11"/>
    <n v="8710.84"/>
  </r>
  <r>
    <x v="7"/>
    <x v="7"/>
    <x v="0"/>
    <x v="11"/>
    <n v="318273.76"/>
  </r>
  <r>
    <x v="33"/>
    <x v="34"/>
    <x v="0"/>
    <x v="11"/>
    <n v="1581"/>
  </r>
  <r>
    <x v="8"/>
    <x v="8"/>
    <x v="0"/>
    <x v="11"/>
    <n v="676625.21"/>
  </r>
  <r>
    <x v="37"/>
    <x v="38"/>
    <x v="0"/>
    <x v="11"/>
    <n v="0.44"/>
  </r>
  <r>
    <x v="11"/>
    <x v="11"/>
    <x v="0"/>
    <x v="12"/>
    <n v="8915.9"/>
  </r>
  <r>
    <x v="12"/>
    <x v="12"/>
    <x v="0"/>
    <x v="12"/>
    <n v="3259225.93"/>
  </r>
  <r>
    <x v="23"/>
    <x v="23"/>
    <x v="0"/>
    <x v="12"/>
    <n v="6121669.6500000004"/>
  </r>
  <r>
    <x v="14"/>
    <x v="14"/>
    <x v="0"/>
    <x v="12"/>
    <n v="54005807.990000002"/>
  </r>
  <r>
    <x v="28"/>
    <x v="29"/>
    <x v="0"/>
    <x v="12"/>
    <n v="1340626.28"/>
  </r>
  <r>
    <x v="3"/>
    <x v="3"/>
    <x v="0"/>
    <x v="12"/>
    <n v="152093.14000000001"/>
  </r>
  <r>
    <x v="21"/>
    <x v="21"/>
    <x v="0"/>
    <x v="12"/>
    <n v="4270046.5"/>
  </r>
  <r>
    <x v="5"/>
    <x v="5"/>
    <x v="0"/>
    <x v="12"/>
    <n v="825.85"/>
  </r>
  <r>
    <x v="36"/>
    <x v="37"/>
    <x v="0"/>
    <x v="12"/>
    <n v="2986436.35"/>
  </r>
  <r>
    <x v="32"/>
    <x v="33"/>
    <x v="0"/>
    <x v="12"/>
    <n v="1010229.03"/>
  </r>
  <r>
    <x v="19"/>
    <x v="19"/>
    <x v="0"/>
    <x v="12"/>
    <n v="704562.61"/>
  </r>
  <r>
    <x v="37"/>
    <x v="38"/>
    <x v="0"/>
    <x v="12"/>
    <n v="4395904.62"/>
  </r>
  <r>
    <x v="35"/>
    <x v="36"/>
    <x v="0"/>
    <x v="13"/>
    <n v="1134482.83"/>
  </r>
  <r>
    <x v="12"/>
    <x v="12"/>
    <x v="0"/>
    <x v="13"/>
    <n v="1917011.41"/>
  </r>
  <r>
    <x v="22"/>
    <x v="22"/>
    <x v="0"/>
    <x v="13"/>
    <n v="5541004.3700000001"/>
  </r>
  <r>
    <x v="23"/>
    <x v="23"/>
    <x v="0"/>
    <x v="13"/>
    <n v="4002979.15"/>
  </r>
  <r>
    <x v="20"/>
    <x v="20"/>
    <x v="0"/>
    <x v="13"/>
    <n v="6782.11"/>
  </r>
  <r>
    <x v="0"/>
    <x v="0"/>
    <x v="0"/>
    <x v="13"/>
    <n v="0.4"/>
  </r>
  <r>
    <x v="1"/>
    <x v="1"/>
    <x v="0"/>
    <x v="13"/>
    <n v="555456.22"/>
  </r>
  <r>
    <x v="15"/>
    <x v="15"/>
    <x v="0"/>
    <x v="13"/>
    <n v="1887.47"/>
  </r>
  <r>
    <x v="21"/>
    <x v="21"/>
    <x v="0"/>
    <x v="13"/>
    <n v="2500391.64"/>
  </r>
  <r>
    <x v="4"/>
    <x v="4"/>
    <x v="0"/>
    <x v="13"/>
    <n v="1617037.43"/>
  </r>
  <r>
    <x v="32"/>
    <x v="33"/>
    <x v="0"/>
    <x v="13"/>
    <n v="734591.92"/>
  </r>
  <r>
    <x v="18"/>
    <x v="18"/>
    <x v="0"/>
    <x v="13"/>
    <n v="5896049.2300000004"/>
  </r>
  <r>
    <x v="38"/>
    <x v="39"/>
    <x v="0"/>
    <x v="13"/>
    <n v="2011693"/>
  </r>
  <r>
    <x v="35"/>
    <x v="36"/>
    <x v="0"/>
    <x v="14"/>
    <n v="617.70000000000005"/>
  </r>
  <r>
    <x v="13"/>
    <x v="13"/>
    <x v="0"/>
    <x v="14"/>
    <n v="2060836.77"/>
  </r>
  <r>
    <x v="0"/>
    <x v="0"/>
    <x v="0"/>
    <x v="14"/>
    <n v="5616881.2000000002"/>
  </r>
  <r>
    <x v="1"/>
    <x v="1"/>
    <x v="0"/>
    <x v="14"/>
    <n v="1643112.63"/>
  </r>
  <r>
    <x v="19"/>
    <x v="28"/>
    <x v="0"/>
    <x v="14"/>
    <n v="3318876.83"/>
  </r>
  <r>
    <x v="21"/>
    <x v="21"/>
    <x v="0"/>
    <x v="14"/>
    <n v="1894235.21"/>
  </r>
  <r>
    <x v="32"/>
    <x v="33"/>
    <x v="0"/>
    <x v="14"/>
    <n v="3419776.83"/>
  </r>
  <r>
    <x v="7"/>
    <x v="7"/>
    <x v="0"/>
    <x v="14"/>
    <n v="575025.88"/>
  </r>
  <r>
    <x v="33"/>
    <x v="34"/>
    <x v="0"/>
    <x v="14"/>
    <n v="3075.42"/>
  </r>
  <r>
    <x v="24"/>
    <x v="24"/>
    <x v="0"/>
    <x v="14"/>
    <n v="1225272.22"/>
  </r>
  <r>
    <x v="9"/>
    <x v="9"/>
    <x v="0"/>
    <x v="14"/>
    <n v="1349981.45"/>
  </r>
  <r>
    <x v="37"/>
    <x v="38"/>
    <x v="0"/>
    <x v="14"/>
    <n v="4411657.79"/>
  </r>
  <r>
    <x v="34"/>
    <x v="35"/>
    <x v="0"/>
    <x v="14"/>
    <n v="805.35"/>
  </r>
  <r>
    <x v="13"/>
    <x v="13"/>
    <x v="0"/>
    <x v="15"/>
    <n v="9630.4599999999991"/>
  </r>
  <r>
    <x v="22"/>
    <x v="22"/>
    <x v="0"/>
    <x v="15"/>
    <n v="5252723.95"/>
  </r>
  <r>
    <x v="23"/>
    <x v="23"/>
    <x v="0"/>
    <x v="15"/>
    <n v="9100958.0299999993"/>
  </r>
  <r>
    <x v="20"/>
    <x v="20"/>
    <x v="0"/>
    <x v="15"/>
    <n v="5665.36"/>
  </r>
  <r>
    <x v="1"/>
    <x v="1"/>
    <x v="0"/>
    <x v="15"/>
    <n v="1019339.43"/>
  </r>
  <r>
    <x v="14"/>
    <x v="14"/>
    <x v="0"/>
    <x v="15"/>
    <n v="110541604.15000001"/>
  </r>
  <r>
    <x v="2"/>
    <x v="2"/>
    <x v="0"/>
    <x v="15"/>
    <n v="11989.21"/>
  </r>
  <r>
    <x v="5"/>
    <x v="5"/>
    <x v="0"/>
    <x v="15"/>
    <n v="1260769.1399999999"/>
  </r>
  <r>
    <x v="6"/>
    <x v="6"/>
    <x v="0"/>
    <x v="15"/>
    <n v="13361595.189999999"/>
  </r>
  <r>
    <x v="32"/>
    <x v="33"/>
    <x v="0"/>
    <x v="15"/>
    <n v="1574825.08"/>
  </r>
  <r>
    <x v="33"/>
    <x v="34"/>
    <x v="0"/>
    <x v="15"/>
    <n v="0.11"/>
  </r>
  <r>
    <x v="8"/>
    <x v="8"/>
    <x v="0"/>
    <x v="15"/>
    <n v="600324.02"/>
  </r>
  <r>
    <x v="17"/>
    <x v="17"/>
    <x v="0"/>
    <x v="15"/>
    <n v="1693931.46"/>
  </r>
  <r>
    <x v="29"/>
    <x v="30"/>
    <x v="0"/>
    <x v="15"/>
    <n v="930010.98"/>
  </r>
  <r>
    <x v="9"/>
    <x v="9"/>
    <x v="0"/>
    <x v="15"/>
    <n v="2403645.79"/>
  </r>
  <r>
    <x v="19"/>
    <x v="19"/>
    <x v="0"/>
    <x v="15"/>
    <n v="587358.62"/>
  </r>
  <r>
    <x v="38"/>
    <x v="39"/>
    <x v="0"/>
    <x v="15"/>
    <n v="473840.67"/>
  </r>
  <r>
    <x v="37"/>
    <x v="38"/>
    <x v="0"/>
    <x v="15"/>
    <n v="6650144.25"/>
  </r>
  <r>
    <x v="25"/>
    <x v="25"/>
    <x v="0"/>
    <x v="15"/>
    <n v="9764894.6199999992"/>
  </r>
  <r>
    <x v="30"/>
    <x v="31"/>
    <x v="0"/>
    <x v="16"/>
    <n v="7356093.96"/>
  </r>
  <r>
    <x v="12"/>
    <x v="12"/>
    <x v="0"/>
    <x v="16"/>
    <n v="0.93"/>
  </r>
  <r>
    <x v="27"/>
    <x v="27"/>
    <x v="0"/>
    <x v="16"/>
    <n v="538.73"/>
  </r>
  <r>
    <x v="31"/>
    <x v="32"/>
    <x v="0"/>
    <x v="16"/>
    <n v="6280757.4500000002"/>
  </r>
  <r>
    <x v="0"/>
    <x v="0"/>
    <x v="0"/>
    <x v="16"/>
    <n v="7288362.6100000003"/>
  </r>
  <r>
    <x v="5"/>
    <x v="5"/>
    <x v="0"/>
    <x v="16"/>
    <n v="926190.94"/>
  </r>
  <r>
    <x v="7"/>
    <x v="7"/>
    <x v="0"/>
    <x v="16"/>
    <n v="259576.3"/>
  </r>
  <r>
    <x v="8"/>
    <x v="8"/>
    <x v="0"/>
    <x v="16"/>
    <n v="13498.87"/>
  </r>
  <r>
    <x v="24"/>
    <x v="24"/>
    <x v="0"/>
    <x v="16"/>
    <n v="3538418.05"/>
  </r>
  <r>
    <x v="17"/>
    <x v="17"/>
    <x v="0"/>
    <x v="16"/>
    <n v="0.57999999999999996"/>
  </r>
  <r>
    <x v="35"/>
    <x v="36"/>
    <x v="0"/>
    <x v="17"/>
    <n v="1770386.09"/>
  </r>
  <r>
    <x v="11"/>
    <x v="11"/>
    <x v="0"/>
    <x v="17"/>
    <n v="-615979.64"/>
  </r>
  <r>
    <x v="22"/>
    <x v="22"/>
    <x v="0"/>
    <x v="17"/>
    <n v="2064430.31"/>
  </r>
  <r>
    <x v="27"/>
    <x v="27"/>
    <x v="0"/>
    <x v="17"/>
    <n v="1014.98"/>
  </r>
  <r>
    <x v="1"/>
    <x v="1"/>
    <x v="0"/>
    <x v="17"/>
    <n v="1749956.63"/>
  </r>
  <r>
    <x v="28"/>
    <x v="29"/>
    <x v="0"/>
    <x v="17"/>
    <n v="1096496.21"/>
  </r>
  <r>
    <x v="2"/>
    <x v="2"/>
    <x v="0"/>
    <x v="17"/>
    <n v="1715464.86"/>
  </r>
  <r>
    <x v="6"/>
    <x v="6"/>
    <x v="0"/>
    <x v="17"/>
    <n v="19401990.420000002"/>
  </r>
  <r>
    <x v="16"/>
    <x v="16"/>
    <x v="0"/>
    <x v="17"/>
    <n v="5958108.3200000003"/>
  </r>
  <r>
    <x v="24"/>
    <x v="24"/>
    <x v="0"/>
    <x v="17"/>
    <n v="390.95"/>
  </r>
  <r>
    <x v="17"/>
    <x v="17"/>
    <x v="0"/>
    <x v="17"/>
    <n v="5024295.9800000004"/>
  </r>
  <r>
    <x v="12"/>
    <x v="12"/>
    <x v="1"/>
    <x v="18"/>
    <n v="1316009.24"/>
  </r>
  <r>
    <x v="13"/>
    <x v="13"/>
    <x v="1"/>
    <x v="18"/>
    <n v="2952898.55"/>
  </r>
  <r>
    <x v="22"/>
    <x v="22"/>
    <x v="1"/>
    <x v="18"/>
    <n v="9122653.0500000007"/>
  </r>
  <r>
    <x v="20"/>
    <x v="20"/>
    <x v="1"/>
    <x v="18"/>
    <n v="23682301.920000002"/>
  </r>
  <r>
    <x v="1"/>
    <x v="1"/>
    <x v="1"/>
    <x v="18"/>
    <n v="369482.45"/>
  </r>
  <r>
    <x v="14"/>
    <x v="14"/>
    <x v="1"/>
    <x v="18"/>
    <n v="6043.69"/>
  </r>
  <r>
    <x v="15"/>
    <x v="15"/>
    <x v="1"/>
    <x v="18"/>
    <n v="1640479.63"/>
  </r>
  <r>
    <x v="3"/>
    <x v="3"/>
    <x v="1"/>
    <x v="18"/>
    <n v="287869.34000000003"/>
  </r>
  <r>
    <x v="6"/>
    <x v="6"/>
    <x v="1"/>
    <x v="18"/>
    <n v="17900800.899999999"/>
  </r>
  <r>
    <x v="17"/>
    <x v="17"/>
    <x v="1"/>
    <x v="18"/>
    <n v="474975.92"/>
  </r>
  <r>
    <x v="29"/>
    <x v="30"/>
    <x v="1"/>
    <x v="18"/>
    <n v="497274.87"/>
  </r>
  <r>
    <x v="34"/>
    <x v="35"/>
    <x v="1"/>
    <x v="18"/>
    <n v="5981951.9699999997"/>
  </r>
  <r>
    <x v="35"/>
    <x v="36"/>
    <x v="1"/>
    <x v="4"/>
    <n v="2007144.1"/>
  </r>
  <r>
    <x v="11"/>
    <x v="11"/>
    <x v="1"/>
    <x v="4"/>
    <n v="-210942.54"/>
  </r>
  <r>
    <x v="12"/>
    <x v="12"/>
    <x v="1"/>
    <x v="4"/>
    <n v="1528861.68"/>
  </r>
  <r>
    <x v="22"/>
    <x v="22"/>
    <x v="1"/>
    <x v="4"/>
    <n v="10488381.359999999"/>
  </r>
  <r>
    <x v="23"/>
    <x v="23"/>
    <x v="1"/>
    <x v="4"/>
    <n v="3174834.86"/>
  </r>
  <r>
    <x v="20"/>
    <x v="20"/>
    <x v="1"/>
    <x v="4"/>
    <n v="5206514.91"/>
  </r>
  <r>
    <x v="31"/>
    <x v="32"/>
    <x v="1"/>
    <x v="4"/>
    <n v="4852747.12"/>
  </r>
  <r>
    <x v="0"/>
    <x v="0"/>
    <x v="1"/>
    <x v="4"/>
    <n v="5280.73"/>
  </r>
  <r>
    <x v="1"/>
    <x v="1"/>
    <x v="1"/>
    <x v="4"/>
    <n v="1792641.87"/>
  </r>
  <r>
    <x v="19"/>
    <x v="28"/>
    <x v="1"/>
    <x v="4"/>
    <n v="2642530.02"/>
  </r>
  <r>
    <x v="14"/>
    <x v="14"/>
    <x v="1"/>
    <x v="4"/>
    <n v="320285500.79000002"/>
  </r>
  <r>
    <x v="28"/>
    <x v="29"/>
    <x v="1"/>
    <x v="4"/>
    <n v="823333.84"/>
  </r>
  <r>
    <x v="15"/>
    <x v="15"/>
    <x v="1"/>
    <x v="4"/>
    <n v="493069.14"/>
  </r>
  <r>
    <x v="3"/>
    <x v="3"/>
    <x v="1"/>
    <x v="4"/>
    <n v="65873.25"/>
  </r>
  <r>
    <x v="21"/>
    <x v="21"/>
    <x v="1"/>
    <x v="4"/>
    <n v="2389806.12"/>
  </r>
  <r>
    <x v="5"/>
    <x v="5"/>
    <x v="1"/>
    <x v="4"/>
    <n v="526994.14"/>
  </r>
  <r>
    <x v="16"/>
    <x v="16"/>
    <x v="1"/>
    <x v="4"/>
    <n v="951325.45"/>
  </r>
  <r>
    <x v="24"/>
    <x v="24"/>
    <x v="1"/>
    <x v="4"/>
    <n v="2528786.64"/>
  </r>
  <r>
    <x v="18"/>
    <x v="18"/>
    <x v="1"/>
    <x v="4"/>
    <n v="4487522.58"/>
  </r>
  <r>
    <x v="29"/>
    <x v="30"/>
    <x v="1"/>
    <x v="4"/>
    <n v="816467.71"/>
  </r>
  <r>
    <x v="9"/>
    <x v="9"/>
    <x v="1"/>
    <x v="4"/>
    <n v="817174.73"/>
  </r>
  <r>
    <x v="37"/>
    <x v="38"/>
    <x v="1"/>
    <x v="4"/>
    <n v="4599752.37"/>
  </r>
  <r>
    <x v="39"/>
    <x v="40"/>
    <x v="1"/>
    <x v="4"/>
    <n v="1712707.28"/>
  </r>
  <r>
    <x v="40"/>
    <x v="41"/>
    <x v="1"/>
    <x v="4"/>
    <n v="3340052.81"/>
  </r>
  <r>
    <x v="10"/>
    <x v="10"/>
    <x v="1"/>
    <x v="4"/>
    <n v="35243882.75"/>
  </r>
  <r>
    <x v="34"/>
    <x v="35"/>
    <x v="1"/>
    <x v="4"/>
    <n v="11781.11"/>
  </r>
  <r>
    <x v="23"/>
    <x v="23"/>
    <x v="1"/>
    <x v="19"/>
    <n v="0.91"/>
  </r>
  <r>
    <x v="20"/>
    <x v="20"/>
    <x v="1"/>
    <x v="19"/>
    <n v="10934.81"/>
  </r>
  <r>
    <x v="0"/>
    <x v="0"/>
    <x v="1"/>
    <x v="19"/>
    <n v="2704018.91"/>
  </r>
  <r>
    <x v="3"/>
    <x v="3"/>
    <x v="1"/>
    <x v="19"/>
    <n v="282332.53000000003"/>
  </r>
  <r>
    <x v="21"/>
    <x v="21"/>
    <x v="1"/>
    <x v="19"/>
    <n v="1431047.09"/>
  </r>
  <r>
    <x v="32"/>
    <x v="33"/>
    <x v="1"/>
    <x v="19"/>
    <n v="1886290.33"/>
  </r>
  <r>
    <x v="24"/>
    <x v="24"/>
    <x v="1"/>
    <x v="19"/>
    <n v="2235.46"/>
  </r>
  <r>
    <x v="17"/>
    <x v="17"/>
    <x v="1"/>
    <x v="19"/>
    <n v="1457607.78"/>
  </r>
  <r>
    <x v="37"/>
    <x v="38"/>
    <x v="1"/>
    <x v="19"/>
    <n v="160.63999999999999"/>
  </r>
  <r>
    <x v="39"/>
    <x v="40"/>
    <x v="1"/>
    <x v="19"/>
    <n v="1605899.42"/>
  </r>
  <r>
    <x v="40"/>
    <x v="41"/>
    <x v="1"/>
    <x v="19"/>
    <n v="0.19"/>
  </r>
  <r>
    <x v="11"/>
    <x v="11"/>
    <x v="1"/>
    <x v="20"/>
    <n v="-901299.75"/>
  </r>
  <r>
    <x v="13"/>
    <x v="13"/>
    <x v="1"/>
    <x v="20"/>
    <n v="1260061.08"/>
  </r>
  <r>
    <x v="27"/>
    <x v="27"/>
    <x v="1"/>
    <x v="20"/>
    <n v="21849222.82"/>
  </r>
  <r>
    <x v="0"/>
    <x v="0"/>
    <x v="1"/>
    <x v="20"/>
    <n v="7841205.4100000001"/>
  </r>
  <r>
    <x v="1"/>
    <x v="1"/>
    <x v="1"/>
    <x v="20"/>
    <n v="2717203.37"/>
  </r>
  <r>
    <x v="3"/>
    <x v="3"/>
    <x v="1"/>
    <x v="20"/>
    <n v="219039.29"/>
  </r>
  <r>
    <x v="21"/>
    <x v="21"/>
    <x v="1"/>
    <x v="20"/>
    <n v="3516599.55"/>
  </r>
  <r>
    <x v="5"/>
    <x v="5"/>
    <x v="1"/>
    <x v="20"/>
    <n v="1211248.02"/>
  </r>
  <r>
    <x v="32"/>
    <x v="33"/>
    <x v="1"/>
    <x v="20"/>
    <n v="2717.67"/>
  </r>
  <r>
    <x v="16"/>
    <x v="16"/>
    <x v="1"/>
    <x v="20"/>
    <n v="2067077.59"/>
  </r>
  <r>
    <x v="33"/>
    <x v="34"/>
    <x v="1"/>
    <x v="20"/>
    <n v="4157025.62"/>
  </r>
  <r>
    <x v="8"/>
    <x v="8"/>
    <x v="1"/>
    <x v="20"/>
    <n v="477842.37"/>
  </r>
  <r>
    <x v="24"/>
    <x v="24"/>
    <x v="1"/>
    <x v="20"/>
    <n v="1458672.85"/>
  </r>
  <r>
    <x v="17"/>
    <x v="17"/>
    <x v="1"/>
    <x v="20"/>
    <n v="1305463.03"/>
  </r>
  <r>
    <x v="9"/>
    <x v="9"/>
    <x v="1"/>
    <x v="20"/>
    <n v="1523597.48"/>
  </r>
  <r>
    <x v="19"/>
    <x v="19"/>
    <x v="1"/>
    <x v="20"/>
    <n v="4666302.74"/>
  </r>
  <r>
    <x v="37"/>
    <x v="38"/>
    <x v="1"/>
    <x v="20"/>
    <n v="7805225.2800000003"/>
  </r>
  <r>
    <x v="12"/>
    <x v="12"/>
    <x v="1"/>
    <x v="21"/>
    <n v="1138387.26"/>
  </r>
  <r>
    <x v="13"/>
    <x v="13"/>
    <x v="1"/>
    <x v="21"/>
    <n v="2332475.36"/>
  </r>
  <r>
    <x v="23"/>
    <x v="23"/>
    <x v="1"/>
    <x v="21"/>
    <n v="1690309.12"/>
  </r>
  <r>
    <x v="20"/>
    <x v="20"/>
    <x v="1"/>
    <x v="21"/>
    <n v="14880681.960000001"/>
  </r>
  <r>
    <x v="0"/>
    <x v="0"/>
    <x v="1"/>
    <x v="21"/>
    <n v="4094107.9"/>
  </r>
  <r>
    <x v="28"/>
    <x v="29"/>
    <x v="1"/>
    <x v="21"/>
    <n v="2501894.7000000002"/>
  </r>
  <r>
    <x v="15"/>
    <x v="15"/>
    <x v="1"/>
    <x v="21"/>
    <n v="1514750.29"/>
  </r>
  <r>
    <x v="21"/>
    <x v="21"/>
    <x v="1"/>
    <x v="21"/>
    <n v="0.08"/>
  </r>
  <r>
    <x v="5"/>
    <x v="5"/>
    <x v="1"/>
    <x v="21"/>
    <n v="1312006.3"/>
  </r>
  <r>
    <x v="32"/>
    <x v="33"/>
    <x v="1"/>
    <x v="21"/>
    <n v="833912.27"/>
  </r>
  <r>
    <x v="16"/>
    <x v="16"/>
    <x v="1"/>
    <x v="21"/>
    <n v="1350596.85"/>
  </r>
  <r>
    <x v="9"/>
    <x v="9"/>
    <x v="1"/>
    <x v="21"/>
    <n v="0.27"/>
  </r>
  <r>
    <x v="40"/>
    <x v="41"/>
    <x v="1"/>
    <x v="21"/>
    <n v="7130534.7300000004"/>
  </r>
  <r>
    <x v="34"/>
    <x v="35"/>
    <x v="1"/>
    <x v="21"/>
    <n v="9567.35"/>
  </r>
  <r>
    <x v="27"/>
    <x v="27"/>
    <x v="1"/>
    <x v="22"/>
    <n v="7932802.54"/>
  </r>
  <r>
    <x v="20"/>
    <x v="20"/>
    <x v="1"/>
    <x v="22"/>
    <n v="25617434.710000001"/>
  </r>
  <r>
    <x v="1"/>
    <x v="1"/>
    <x v="1"/>
    <x v="22"/>
    <n v="617865.80000000005"/>
  </r>
  <r>
    <x v="19"/>
    <x v="28"/>
    <x v="1"/>
    <x v="22"/>
    <n v="10543.15"/>
  </r>
  <r>
    <x v="14"/>
    <x v="14"/>
    <x v="1"/>
    <x v="22"/>
    <n v="5695.14"/>
  </r>
  <r>
    <x v="28"/>
    <x v="29"/>
    <x v="1"/>
    <x v="22"/>
    <n v="2335682.34"/>
  </r>
  <r>
    <x v="8"/>
    <x v="8"/>
    <x v="1"/>
    <x v="22"/>
    <n v="378283.55"/>
  </r>
  <r>
    <x v="41"/>
    <x v="42"/>
    <x v="1"/>
    <x v="22"/>
    <n v="739727.67"/>
  </r>
  <r>
    <x v="19"/>
    <x v="19"/>
    <x v="1"/>
    <x v="22"/>
    <n v="2595513.36"/>
  </r>
  <r>
    <x v="38"/>
    <x v="39"/>
    <x v="1"/>
    <x v="22"/>
    <n v="360661.72"/>
  </r>
  <r>
    <x v="40"/>
    <x v="41"/>
    <x v="1"/>
    <x v="22"/>
    <n v="4234551.01"/>
  </r>
  <r>
    <x v="11"/>
    <x v="11"/>
    <x v="1"/>
    <x v="23"/>
    <n v="-835256.82"/>
  </r>
  <r>
    <x v="12"/>
    <x v="12"/>
    <x v="1"/>
    <x v="23"/>
    <n v="2292682.15"/>
  </r>
  <r>
    <x v="27"/>
    <x v="27"/>
    <x v="1"/>
    <x v="23"/>
    <n v="8495950.8399999999"/>
  </r>
  <r>
    <x v="19"/>
    <x v="28"/>
    <x v="1"/>
    <x v="23"/>
    <n v="1183322.93"/>
  </r>
  <r>
    <x v="28"/>
    <x v="29"/>
    <x v="1"/>
    <x v="23"/>
    <n v="2699859.21"/>
  </r>
  <r>
    <x v="15"/>
    <x v="15"/>
    <x v="1"/>
    <x v="23"/>
    <n v="1018297.47"/>
  </r>
  <r>
    <x v="3"/>
    <x v="3"/>
    <x v="1"/>
    <x v="23"/>
    <n v="9988.08"/>
  </r>
  <r>
    <x v="5"/>
    <x v="5"/>
    <x v="1"/>
    <x v="23"/>
    <n v="1184070.78"/>
  </r>
  <r>
    <x v="16"/>
    <x v="16"/>
    <x v="1"/>
    <x v="23"/>
    <n v="3023404"/>
  </r>
  <r>
    <x v="33"/>
    <x v="34"/>
    <x v="1"/>
    <x v="23"/>
    <n v="2430824.16"/>
  </r>
  <r>
    <x v="8"/>
    <x v="8"/>
    <x v="1"/>
    <x v="23"/>
    <n v="696749.33"/>
  </r>
  <r>
    <x v="17"/>
    <x v="17"/>
    <x v="1"/>
    <x v="23"/>
    <n v="1354409.07"/>
  </r>
  <r>
    <x v="38"/>
    <x v="39"/>
    <x v="1"/>
    <x v="23"/>
    <n v="250829.63"/>
  </r>
  <r>
    <x v="35"/>
    <x v="36"/>
    <x v="1"/>
    <x v="24"/>
    <n v="1974554.71"/>
  </r>
  <r>
    <x v="13"/>
    <x v="13"/>
    <x v="1"/>
    <x v="24"/>
    <n v="3246310.65"/>
  </r>
  <r>
    <x v="23"/>
    <x v="23"/>
    <x v="1"/>
    <x v="24"/>
    <n v="3151036.9"/>
  </r>
  <r>
    <x v="27"/>
    <x v="27"/>
    <x v="1"/>
    <x v="24"/>
    <n v="7025006.46"/>
  </r>
  <r>
    <x v="0"/>
    <x v="0"/>
    <x v="1"/>
    <x v="24"/>
    <n v="0.37"/>
  </r>
  <r>
    <x v="19"/>
    <x v="28"/>
    <x v="1"/>
    <x v="24"/>
    <n v="946825.08"/>
  </r>
  <r>
    <x v="15"/>
    <x v="15"/>
    <x v="1"/>
    <x v="24"/>
    <n v="991026.52"/>
  </r>
  <r>
    <x v="3"/>
    <x v="3"/>
    <x v="1"/>
    <x v="24"/>
    <n v="261653.3"/>
  </r>
  <r>
    <x v="21"/>
    <x v="21"/>
    <x v="1"/>
    <x v="24"/>
    <n v="533451.94999999995"/>
  </r>
  <r>
    <x v="16"/>
    <x v="16"/>
    <x v="1"/>
    <x v="24"/>
    <n v="4235558.66"/>
  </r>
  <r>
    <x v="41"/>
    <x v="42"/>
    <x v="1"/>
    <x v="24"/>
    <n v="1584340.34"/>
  </r>
  <r>
    <x v="29"/>
    <x v="30"/>
    <x v="1"/>
    <x v="24"/>
    <n v="811986.38"/>
  </r>
  <r>
    <x v="39"/>
    <x v="40"/>
    <x v="1"/>
    <x v="24"/>
    <n v="5570.8"/>
  </r>
  <r>
    <x v="40"/>
    <x v="41"/>
    <x v="1"/>
    <x v="24"/>
    <n v="2617970.4700000002"/>
  </r>
  <r>
    <x v="10"/>
    <x v="10"/>
    <x v="1"/>
    <x v="24"/>
    <n v="328.09"/>
  </r>
  <r>
    <x v="34"/>
    <x v="35"/>
    <x v="1"/>
    <x v="24"/>
    <n v="3480797.21"/>
  </r>
  <r>
    <x v="12"/>
    <x v="12"/>
    <x v="1"/>
    <x v="25"/>
    <n v="2430834.12"/>
  </r>
  <r>
    <x v="23"/>
    <x v="23"/>
    <x v="1"/>
    <x v="25"/>
    <n v="5143446.87"/>
  </r>
  <r>
    <x v="31"/>
    <x v="32"/>
    <x v="1"/>
    <x v="25"/>
    <n v="10940573.43"/>
  </r>
  <r>
    <x v="1"/>
    <x v="1"/>
    <x v="1"/>
    <x v="25"/>
    <n v="1.0900000000000001"/>
  </r>
  <r>
    <x v="19"/>
    <x v="28"/>
    <x v="1"/>
    <x v="25"/>
    <n v="1273029.6299999999"/>
  </r>
  <r>
    <x v="15"/>
    <x v="15"/>
    <x v="1"/>
    <x v="25"/>
    <n v="1520692.46"/>
  </r>
  <r>
    <x v="6"/>
    <x v="6"/>
    <x v="1"/>
    <x v="25"/>
    <n v="13144091.220000001"/>
  </r>
  <r>
    <x v="32"/>
    <x v="33"/>
    <x v="1"/>
    <x v="25"/>
    <n v="1896343.75"/>
  </r>
  <r>
    <x v="8"/>
    <x v="8"/>
    <x v="1"/>
    <x v="25"/>
    <n v="241494.85"/>
  </r>
  <r>
    <x v="17"/>
    <x v="17"/>
    <x v="1"/>
    <x v="25"/>
    <n v="2063863.43"/>
  </r>
  <r>
    <x v="29"/>
    <x v="30"/>
    <x v="1"/>
    <x v="25"/>
    <n v="1139338.43"/>
  </r>
  <r>
    <x v="37"/>
    <x v="38"/>
    <x v="1"/>
    <x v="25"/>
    <n v="5435554.1200000001"/>
  </r>
  <r>
    <x v="39"/>
    <x v="40"/>
    <x v="1"/>
    <x v="25"/>
    <n v="1021027.43"/>
  </r>
  <r>
    <x v="10"/>
    <x v="10"/>
    <x v="1"/>
    <x v="25"/>
    <n v="49347502.359999999"/>
  </r>
  <r>
    <x v="34"/>
    <x v="35"/>
    <x v="1"/>
    <x v="25"/>
    <n v="11182912.77"/>
  </r>
  <r>
    <x v="25"/>
    <x v="25"/>
    <x v="1"/>
    <x v="25"/>
    <n v="3472393.38"/>
  </r>
  <r>
    <x v="35"/>
    <x v="36"/>
    <x v="1"/>
    <x v="8"/>
    <n v="720335.85"/>
  </r>
  <r>
    <x v="23"/>
    <x v="23"/>
    <x v="1"/>
    <x v="8"/>
    <n v="6689146.0899999999"/>
  </r>
  <r>
    <x v="0"/>
    <x v="0"/>
    <x v="1"/>
    <x v="8"/>
    <n v="2238036.5699999998"/>
  </r>
  <r>
    <x v="19"/>
    <x v="28"/>
    <x v="1"/>
    <x v="8"/>
    <n v="1654716.13"/>
  </r>
  <r>
    <x v="15"/>
    <x v="15"/>
    <x v="1"/>
    <x v="8"/>
    <n v="1504437.49"/>
  </r>
  <r>
    <x v="2"/>
    <x v="2"/>
    <x v="1"/>
    <x v="8"/>
    <n v="1911136.67"/>
  </r>
  <r>
    <x v="5"/>
    <x v="5"/>
    <x v="1"/>
    <x v="8"/>
    <n v="544893.93000000005"/>
  </r>
  <r>
    <x v="6"/>
    <x v="6"/>
    <x v="1"/>
    <x v="8"/>
    <n v="27700285.68"/>
  </r>
  <r>
    <x v="16"/>
    <x v="16"/>
    <x v="1"/>
    <x v="8"/>
    <n v="2316289.5699999998"/>
  </r>
  <r>
    <x v="17"/>
    <x v="17"/>
    <x v="1"/>
    <x v="8"/>
    <n v="1"/>
  </r>
  <r>
    <x v="41"/>
    <x v="42"/>
    <x v="1"/>
    <x v="8"/>
    <n v="1393511.78"/>
  </r>
  <r>
    <x v="18"/>
    <x v="18"/>
    <x v="1"/>
    <x v="8"/>
    <n v="1787242.97"/>
  </r>
  <r>
    <x v="19"/>
    <x v="19"/>
    <x v="1"/>
    <x v="8"/>
    <n v="1082375.21"/>
  </r>
  <r>
    <x v="38"/>
    <x v="39"/>
    <x v="1"/>
    <x v="8"/>
    <n v="7111.4"/>
  </r>
  <r>
    <x v="37"/>
    <x v="38"/>
    <x v="1"/>
    <x v="8"/>
    <n v="4377558.75"/>
  </r>
  <r>
    <x v="40"/>
    <x v="41"/>
    <x v="1"/>
    <x v="8"/>
    <n v="3945390.97"/>
  </r>
  <r>
    <x v="35"/>
    <x v="36"/>
    <x v="1"/>
    <x v="26"/>
    <n v="556076.14"/>
  </r>
  <r>
    <x v="0"/>
    <x v="0"/>
    <x v="1"/>
    <x v="26"/>
    <n v="7015308.21"/>
  </r>
  <r>
    <x v="1"/>
    <x v="1"/>
    <x v="1"/>
    <x v="26"/>
    <n v="1868265.09"/>
  </r>
  <r>
    <x v="19"/>
    <x v="28"/>
    <x v="1"/>
    <x v="26"/>
    <n v="722489.05"/>
  </r>
  <r>
    <x v="28"/>
    <x v="29"/>
    <x v="1"/>
    <x v="26"/>
    <n v="1244002.72"/>
  </r>
  <r>
    <x v="33"/>
    <x v="34"/>
    <x v="1"/>
    <x v="26"/>
    <n v="1394018.48"/>
  </r>
  <r>
    <x v="41"/>
    <x v="42"/>
    <x v="1"/>
    <x v="26"/>
    <n v="9112.51"/>
  </r>
  <r>
    <x v="9"/>
    <x v="9"/>
    <x v="1"/>
    <x v="26"/>
    <n v="1977898.66"/>
  </r>
  <r>
    <x v="22"/>
    <x v="22"/>
    <x v="1"/>
    <x v="27"/>
    <n v="1.08"/>
  </r>
  <r>
    <x v="23"/>
    <x v="23"/>
    <x v="1"/>
    <x v="27"/>
    <n v="8454547.3300000001"/>
  </r>
  <r>
    <x v="27"/>
    <x v="27"/>
    <x v="1"/>
    <x v="27"/>
    <n v="7607276.7400000002"/>
  </r>
  <r>
    <x v="1"/>
    <x v="1"/>
    <x v="1"/>
    <x v="27"/>
    <n v="716027.5"/>
  </r>
  <r>
    <x v="32"/>
    <x v="33"/>
    <x v="1"/>
    <x v="27"/>
    <n v="1191151.75"/>
  </r>
  <r>
    <x v="16"/>
    <x v="16"/>
    <x v="1"/>
    <x v="27"/>
    <n v="2588017.5299999998"/>
  </r>
  <r>
    <x v="33"/>
    <x v="34"/>
    <x v="1"/>
    <x v="27"/>
    <n v="4130494.68"/>
  </r>
  <r>
    <x v="29"/>
    <x v="30"/>
    <x v="1"/>
    <x v="27"/>
    <n v="1857.86"/>
  </r>
  <r>
    <x v="9"/>
    <x v="9"/>
    <x v="1"/>
    <x v="27"/>
    <n v="256660.13"/>
  </r>
  <r>
    <x v="38"/>
    <x v="39"/>
    <x v="1"/>
    <x v="27"/>
    <n v="958527.67"/>
  </r>
  <r>
    <x v="39"/>
    <x v="40"/>
    <x v="1"/>
    <x v="27"/>
    <n v="487882.3"/>
  </r>
  <r>
    <x v="34"/>
    <x v="35"/>
    <x v="1"/>
    <x v="27"/>
    <n v="4882985.66"/>
  </r>
  <r>
    <x v="31"/>
    <x v="32"/>
    <x v="1"/>
    <x v="28"/>
    <n v="3186845.77"/>
  </r>
  <r>
    <x v="1"/>
    <x v="1"/>
    <x v="1"/>
    <x v="28"/>
    <n v="525128.56000000006"/>
  </r>
  <r>
    <x v="2"/>
    <x v="2"/>
    <x v="1"/>
    <x v="28"/>
    <n v="3693325.69"/>
  </r>
  <r>
    <x v="5"/>
    <x v="5"/>
    <x v="1"/>
    <x v="28"/>
    <n v="2707.82"/>
  </r>
  <r>
    <x v="8"/>
    <x v="8"/>
    <x v="1"/>
    <x v="28"/>
    <n v="817808.35"/>
  </r>
  <r>
    <x v="29"/>
    <x v="30"/>
    <x v="1"/>
    <x v="28"/>
    <n v="545449.73"/>
  </r>
  <r>
    <x v="9"/>
    <x v="9"/>
    <x v="1"/>
    <x v="28"/>
    <n v="1065255.3"/>
  </r>
  <r>
    <x v="38"/>
    <x v="39"/>
    <x v="1"/>
    <x v="28"/>
    <n v="910585.56"/>
  </r>
  <r>
    <x v="39"/>
    <x v="40"/>
    <x v="1"/>
    <x v="28"/>
    <n v="1048422.26"/>
  </r>
  <r>
    <x v="40"/>
    <x v="41"/>
    <x v="1"/>
    <x v="28"/>
    <n v="1247.1500000000001"/>
  </r>
  <r>
    <x v="10"/>
    <x v="10"/>
    <x v="1"/>
    <x v="28"/>
    <n v="0.28000000000000003"/>
  </r>
  <r>
    <x v="25"/>
    <x v="25"/>
    <x v="1"/>
    <x v="28"/>
    <n v="2092521.97"/>
  </r>
  <r>
    <x v="11"/>
    <x v="11"/>
    <x v="1"/>
    <x v="29"/>
    <n v="-1721995.03"/>
  </r>
  <r>
    <x v="27"/>
    <x v="27"/>
    <x v="1"/>
    <x v="29"/>
    <n v="10105518.310000001"/>
  </r>
  <r>
    <x v="28"/>
    <x v="29"/>
    <x v="1"/>
    <x v="29"/>
    <n v="1170091.8799999999"/>
  </r>
  <r>
    <x v="2"/>
    <x v="2"/>
    <x v="1"/>
    <x v="29"/>
    <n v="1687296.98"/>
  </r>
  <r>
    <x v="5"/>
    <x v="5"/>
    <x v="1"/>
    <x v="29"/>
    <n v="751000.33"/>
  </r>
  <r>
    <x v="17"/>
    <x v="17"/>
    <x v="1"/>
    <x v="29"/>
    <n v="1989990.19"/>
  </r>
  <r>
    <x v="18"/>
    <x v="18"/>
    <x v="1"/>
    <x v="29"/>
    <n v="1519870.91"/>
  </r>
  <r>
    <x v="29"/>
    <x v="30"/>
    <x v="1"/>
    <x v="29"/>
    <n v="684374.12"/>
  </r>
  <r>
    <x v="9"/>
    <x v="9"/>
    <x v="1"/>
    <x v="29"/>
    <n v="1140232.1399999999"/>
  </r>
  <r>
    <x v="37"/>
    <x v="38"/>
    <x v="1"/>
    <x v="29"/>
    <n v="3704898.45"/>
  </r>
  <r>
    <x v="39"/>
    <x v="40"/>
    <x v="1"/>
    <x v="29"/>
    <n v="2084977.63"/>
  </r>
  <r>
    <x v="34"/>
    <x v="35"/>
    <x v="1"/>
    <x v="29"/>
    <n v="6322461.4000000004"/>
  </r>
  <r>
    <x v="27"/>
    <x v="27"/>
    <x v="1"/>
    <x v="30"/>
    <n v="12971241.17"/>
  </r>
  <r>
    <x v="31"/>
    <x v="32"/>
    <x v="1"/>
    <x v="30"/>
    <n v="6049955.8600000003"/>
  </r>
  <r>
    <x v="0"/>
    <x v="0"/>
    <x v="1"/>
    <x v="30"/>
    <n v="2012819.07"/>
  </r>
  <r>
    <x v="15"/>
    <x v="15"/>
    <x v="1"/>
    <x v="30"/>
    <n v="1843449.14"/>
  </r>
  <r>
    <x v="3"/>
    <x v="3"/>
    <x v="1"/>
    <x v="30"/>
    <n v="222282.86"/>
  </r>
  <r>
    <x v="21"/>
    <x v="21"/>
    <x v="1"/>
    <x v="30"/>
    <n v="3401841.65"/>
  </r>
  <r>
    <x v="32"/>
    <x v="33"/>
    <x v="1"/>
    <x v="30"/>
    <n v="941274.59"/>
  </r>
  <r>
    <x v="33"/>
    <x v="34"/>
    <x v="1"/>
    <x v="30"/>
    <n v="3985564.88"/>
  </r>
  <r>
    <x v="24"/>
    <x v="24"/>
    <x v="1"/>
    <x v="30"/>
    <n v="7055731.1699999999"/>
  </r>
  <r>
    <x v="9"/>
    <x v="9"/>
    <x v="1"/>
    <x v="30"/>
    <n v="768694.16"/>
  </r>
  <r>
    <x v="37"/>
    <x v="38"/>
    <x v="1"/>
    <x v="30"/>
    <n v="5760995.3499999996"/>
  </r>
  <r>
    <x v="39"/>
    <x v="40"/>
    <x v="1"/>
    <x v="30"/>
    <n v="0.12"/>
  </r>
  <r>
    <x v="40"/>
    <x v="41"/>
    <x v="1"/>
    <x v="30"/>
    <n v="8062.63"/>
  </r>
  <r>
    <x v="25"/>
    <x v="25"/>
    <x v="1"/>
    <x v="30"/>
    <n v="1472251.23"/>
  </r>
  <r>
    <x v="35"/>
    <x v="36"/>
    <x v="2"/>
    <x v="31"/>
    <n v="966750.66"/>
  </r>
  <r>
    <x v="30"/>
    <x v="31"/>
    <x v="2"/>
    <x v="31"/>
    <n v="2690446.16"/>
  </r>
  <r>
    <x v="12"/>
    <x v="12"/>
    <x v="2"/>
    <x v="31"/>
    <n v="2801624.01"/>
  </r>
  <r>
    <x v="13"/>
    <x v="13"/>
    <x v="2"/>
    <x v="31"/>
    <n v="845859.2"/>
  </r>
  <r>
    <x v="23"/>
    <x v="23"/>
    <x v="2"/>
    <x v="31"/>
    <n v="4193318.09"/>
  </r>
  <r>
    <x v="20"/>
    <x v="20"/>
    <x v="2"/>
    <x v="31"/>
    <n v="23443624.370000001"/>
  </r>
  <r>
    <x v="31"/>
    <x v="32"/>
    <x v="2"/>
    <x v="31"/>
    <n v="4972.47"/>
  </r>
  <r>
    <x v="1"/>
    <x v="1"/>
    <x v="2"/>
    <x v="31"/>
    <n v="0.33"/>
  </r>
  <r>
    <x v="28"/>
    <x v="29"/>
    <x v="2"/>
    <x v="31"/>
    <n v="1054734.55"/>
  </r>
  <r>
    <x v="2"/>
    <x v="2"/>
    <x v="2"/>
    <x v="31"/>
    <n v="1054378.29"/>
  </r>
  <r>
    <x v="3"/>
    <x v="3"/>
    <x v="2"/>
    <x v="31"/>
    <n v="438503.98"/>
  </r>
  <r>
    <x v="21"/>
    <x v="21"/>
    <x v="2"/>
    <x v="31"/>
    <n v="1395486.82"/>
  </r>
  <r>
    <x v="5"/>
    <x v="5"/>
    <x v="2"/>
    <x v="31"/>
    <n v="832746.2"/>
  </r>
  <r>
    <x v="6"/>
    <x v="6"/>
    <x v="2"/>
    <x v="31"/>
    <n v="6413461.8200000003"/>
  </r>
  <r>
    <x v="16"/>
    <x v="16"/>
    <x v="2"/>
    <x v="31"/>
    <n v="8865.19"/>
  </r>
  <r>
    <x v="33"/>
    <x v="34"/>
    <x v="2"/>
    <x v="31"/>
    <n v="1129996.5900000001"/>
  </r>
  <r>
    <x v="8"/>
    <x v="8"/>
    <x v="2"/>
    <x v="31"/>
    <n v="419395.11"/>
  </r>
  <r>
    <x v="17"/>
    <x v="17"/>
    <x v="2"/>
    <x v="31"/>
    <n v="1800311.07"/>
  </r>
  <r>
    <x v="37"/>
    <x v="38"/>
    <x v="2"/>
    <x v="31"/>
    <n v="0.86"/>
  </r>
  <r>
    <x v="25"/>
    <x v="25"/>
    <x v="2"/>
    <x v="31"/>
    <n v="0.74"/>
  </r>
  <r>
    <x v="26"/>
    <x v="26"/>
    <x v="2"/>
    <x v="20"/>
    <n v="2386625.14"/>
  </r>
  <r>
    <x v="27"/>
    <x v="27"/>
    <x v="2"/>
    <x v="20"/>
    <n v="3476861.81"/>
  </r>
  <r>
    <x v="1"/>
    <x v="1"/>
    <x v="2"/>
    <x v="20"/>
    <n v="1447.59"/>
  </r>
  <r>
    <x v="28"/>
    <x v="29"/>
    <x v="2"/>
    <x v="20"/>
    <n v="549618.22"/>
  </r>
  <r>
    <x v="2"/>
    <x v="2"/>
    <x v="2"/>
    <x v="20"/>
    <n v="1810562.02"/>
  </r>
  <r>
    <x v="4"/>
    <x v="4"/>
    <x v="2"/>
    <x v="20"/>
    <n v="3180846.89"/>
  </r>
  <r>
    <x v="16"/>
    <x v="16"/>
    <x v="2"/>
    <x v="20"/>
    <n v="9498.24"/>
  </r>
  <r>
    <x v="33"/>
    <x v="34"/>
    <x v="2"/>
    <x v="20"/>
    <n v="680353.41"/>
  </r>
  <r>
    <x v="8"/>
    <x v="8"/>
    <x v="2"/>
    <x v="20"/>
    <n v="193574.47"/>
  </r>
  <r>
    <x v="39"/>
    <x v="40"/>
    <x v="2"/>
    <x v="20"/>
    <n v="1661376.62"/>
  </r>
  <r>
    <x v="40"/>
    <x v="41"/>
    <x v="2"/>
    <x v="20"/>
    <n v="680583.53"/>
  </r>
  <r>
    <x v="25"/>
    <x v="25"/>
    <x v="2"/>
    <x v="20"/>
    <n v="827152.9"/>
  </r>
  <r>
    <x v="35"/>
    <x v="36"/>
    <x v="2"/>
    <x v="32"/>
    <n v="2169438.5299999998"/>
  </r>
  <r>
    <x v="22"/>
    <x v="22"/>
    <x v="2"/>
    <x v="32"/>
    <n v="889409.07"/>
  </r>
  <r>
    <x v="23"/>
    <x v="23"/>
    <x v="2"/>
    <x v="32"/>
    <n v="735490.32"/>
  </r>
  <r>
    <x v="0"/>
    <x v="0"/>
    <x v="2"/>
    <x v="32"/>
    <n v="3393388.22"/>
  </r>
  <r>
    <x v="21"/>
    <x v="21"/>
    <x v="2"/>
    <x v="32"/>
    <n v="3540.24"/>
  </r>
  <r>
    <x v="4"/>
    <x v="4"/>
    <x v="2"/>
    <x v="32"/>
    <n v="0.77"/>
  </r>
  <r>
    <x v="36"/>
    <x v="37"/>
    <x v="2"/>
    <x v="32"/>
    <n v="3779153.84"/>
  </r>
  <r>
    <x v="8"/>
    <x v="8"/>
    <x v="2"/>
    <x v="32"/>
    <n v="105500.25"/>
  </r>
  <r>
    <x v="24"/>
    <x v="24"/>
    <x v="2"/>
    <x v="32"/>
    <n v="793294.47"/>
  </r>
  <r>
    <x v="17"/>
    <x v="17"/>
    <x v="2"/>
    <x v="32"/>
    <n v="722689.16"/>
  </r>
  <r>
    <x v="29"/>
    <x v="30"/>
    <x v="2"/>
    <x v="32"/>
    <n v="338456.25"/>
  </r>
  <r>
    <x v="39"/>
    <x v="40"/>
    <x v="2"/>
    <x v="32"/>
    <n v="146.56"/>
  </r>
  <r>
    <x v="34"/>
    <x v="35"/>
    <x v="2"/>
    <x v="32"/>
    <n v="3593517.17"/>
  </r>
  <r>
    <x v="13"/>
    <x v="13"/>
    <x v="2"/>
    <x v="33"/>
    <n v="1240174.3500000001"/>
  </r>
  <r>
    <x v="22"/>
    <x v="22"/>
    <x v="2"/>
    <x v="33"/>
    <n v="4368064.79"/>
  </r>
  <r>
    <x v="23"/>
    <x v="23"/>
    <x v="2"/>
    <x v="33"/>
    <n v="678230.35"/>
  </r>
  <r>
    <x v="14"/>
    <x v="14"/>
    <x v="2"/>
    <x v="33"/>
    <n v="18752448.57"/>
  </r>
  <r>
    <x v="28"/>
    <x v="29"/>
    <x v="2"/>
    <x v="33"/>
    <n v="514316"/>
  </r>
  <r>
    <x v="3"/>
    <x v="3"/>
    <x v="2"/>
    <x v="33"/>
    <n v="104118.04"/>
  </r>
  <r>
    <x v="5"/>
    <x v="5"/>
    <x v="2"/>
    <x v="33"/>
    <n v="1232405.82"/>
  </r>
  <r>
    <x v="36"/>
    <x v="37"/>
    <x v="2"/>
    <x v="33"/>
    <n v="1942813.67"/>
  </r>
  <r>
    <x v="33"/>
    <x v="34"/>
    <x v="2"/>
    <x v="33"/>
    <n v="1532289.5"/>
  </r>
  <r>
    <x v="41"/>
    <x v="42"/>
    <x v="2"/>
    <x v="33"/>
    <n v="1233.92"/>
  </r>
  <r>
    <x v="9"/>
    <x v="9"/>
    <x v="2"/>
    <x v="33"/>
    <n v="2102145.2000000002"/>
  </r>
  <r>
    <x v="37"/>
    <x v="38"/>
    <x v="2"/>
    <x v="33"/>
    <n v="4991060.3499999996"/>
  </r>
  <r>
    <x v="40"/>
    <x v="41"/>
    <x v="2"/>
    <x v="33"/>
    <n v="2878910.18"/>
  </r>
  <r>
    <x v="34"/>
    <x v="35"/>
    <x v="2"/>
    <x v="33"/>
    <n v="2479348.86"/>
  </r>
  <r>
    <x v="13"/>
    <x v="13"/>
    <x v="2"/>
    <x v="34"/>
    <n v="504559.76"/>
  </r>
  <r>
    <x v="22"/>
    <x v="22"/>
    <x v="2"/>
    <x v="34"/>
    <n v="831017.45"/>
  </r>
  <r>
    <x v="27"/>
    <x v="27"/>
    <x v="2"/>
    <x v="34"/>
    <n v="3083168.28"/>
  </r>
  <r>
    <x v="28"/>
    <x v="29"/>
    <x v="2"/>
    <x v="34"/>
    <n v="835342.79"/>
  </r>
  <r>
    <x v="16"/>
    <x v="16"/>
    <x v="2"/>
    <x v="34"/>
    <n v="1157656.98"/>
  </r>
  <r>
    <x v="8"/>
    <x v="8"/>
    <x v="2"/>
    <x v="34"/>
    <n v="716531.63"/>
  </r>
  <r>
    <x v="24"/>
    <x v="24"/>
    <x v="2"/>
    <x v="34"/>
    <n v="966995.85"/>
  </r>
  <r>
    <x v="17"/>
    <x v="17"/>
    <x v="2"/>
    <x v="34"/>
    <n v="683932.9"/>
  </r>
  <r>
    <x v="41"/>
    <x v="42"/>
    <x v="2"/>
    <x v="34"/>
    <n v="174903.76"/>
  </r>
  <r>
    <x v="18"/>
    <x v="18"/>
    <x v="2"/>
    <x v="34"/>
    <n v="1714734.41"/>
  </r>
  <r>
    <x v="29"/>
    <x v="30"/>
    <x v="2"/>
    <x v="34"/>
    <n v="311988.90000000002"/>
  </r>
  <r>
    <x v="19"/>
    <x v="19"/>
    <x v="2"/>
    <x v="34"/>
    <n v="1909438.5"/>
  </r>
  <r>
    <x v="35"/>
    <x v="36"/>
    <x v="2"/>
    <x v="35"/>
    <n v="1.1200000000000001"/>
  </r>
  <r>
    <x v="22"/>
    <x v="22"/>
    <x v="2"/>
    <x v="35"/>
    <n v="2157261.83"/>
  </r>
  <r>
    <x v="23"/>
    <x v="23"/>
    <x v="2"/>
    <x v="35"/>
    <n v="1572747.88"/>
  </r>
  <r>
    <x v="27"/>
    <x v="27"/>
    <x v="2"/>
    <x v="35"/>
    <n v="7877034.9299999997"/>
  </r>
  <r>
    <x v="20"/>
    <x v="20"/>
    <x v="2"/>
    <x v="35"/>
    <n v="14946939.27"/>
  </r>
  <r>
    <x v="31"/>
    <x v="32"/>
    <x v="2"/>
    <x v="35"/>
    <n v="523650.29"/>
  </r>
  <r>
    <x v="0"/>
    <x v="0"/>
    <x v="2"/>
    <x v="35"/>
    <n v="2253503.44"/>
  </r>
  <r>
    <x v="14"/>
    <x v="14"/>
    <x v="2"/>
    <x v="35"/>
    <n v="50368086.109999999"/>
  </r>
  <r>
    <x v="6"/>
    <x v="6"/>
    <x v="2"/>
    <x v="35"/>
    <n v="8585837.2200000007"/>
  </r>
  <r>
    <x v="16"/>
    <x v="16"/>
    <x v="2"/>
    <x v="35"/>
    <n v="780925.37"/>
  </r>
  <r>
    <x v="33"/>
    <x v="34"/>
    <x v="2"/>
    <x v="35"/>
    <n v="1295623.49"/>
  </r>
  <r>
    <x v="8"/>
    <x v="8"/>
    <x v="2"/>
    <x v="35"/>
    <n v="7043.1"/>
  </r>
  <r>
    <x v="17"/>
    <x v="17"/>
    <x v="2"/>
    <x v="35"/>
    <n v="319492.90999999997"/>
  </r>
  <r>
    <x v="41"/>
    <x v="42"/>
    <x v="2"/>
    <x v="35"/>
    <n v="327.92"/>
  </r>
  <r>
    <x v="18"/>
    <x v="18"/>
    <x v="2"/>
    <x v="35"/>
    <n v="1217.3"/>
  </r>
  <r>
    <x v="29"/>
    <x v="30"/>
    <x v="2"/>
    <x v="35"/>
    <n v="525021.42000000004"/>
  </r>
  <r>
    <x v="37"/>
    <x v="38"/>
    <x v="2"/>
    <x v="35"/>
    <n v="4547109.88"/>
  </r>
  <r>
    <x v="25"/>
    <x v="25"/>
    <x v="2"/>
    <x v="35"/>
    <n v="1337947"/>
  </r>
  <r>
    <x v="35"/>
    <x v="36"/>
    <x v="2"/>
    <x v="36"/>
    <n v="333798.84999999998"/>
  </r>
  <r>
    <x v="26"/>
    <x v="26"/>
    <x v="2"/>
    <x v="36"/>
    <n v="11786592.4"/>
  </r>
  <r>
    <x v="27"/>
    <x v="27"/>
    <x v="2"/>
    <x v="36"/>
    <n v="5061983.7"/>
  </r>
  <r>
    <x v="0"/>
    <x v="0"/>
    <x v="2"/>
    <x v="36"/>
    <n v="1870949.94"/>
  </r>
  <r>
    <x v="36"/>
    <x v="37"/>
    <x v="2"/>
    <x v="36"/>
    <n v="2825.68"/>
  </r>
  <r>
    <x v="24"/>
    <x v="24"/>
    <x v="2"/>
    <x v="36"/>
    <n v="1820335.32"/>
  </r>
  <r>
    <x v="29"/>
    <x v="30"/>
    <x v="2"/>
    <x v="36"/>
    <n v="0.53"/>
  </r>
  <r>
    <x v="39"/>
    <x v="40"/>
    <x v="2"/>
    <x v="36"/>
    <n v="1219211.6299999999"/>
  </r>
  <r>
    <x v="40"/>
    <x v="41"/>
    <x v="2"/>
    <x v="36"/>
    <n v="6951412.5800000001"/>
  </r>
  <r>
    <x v="34"/>
    <x v="35"/>
    <x v="2"/>
    <x v="36"/>
    <n v="4198176.71"/>
  </r>
  <r>
    <x v="25"/>
    <x v="25"/>
    <x v="2"/>
    <x v="36"/>
    <n v="1.1399999999999999"/>
  </r>
  <r>
    <x v="13"/>
    <x v="13"/>
    <x v="2"/>
    <x v="11"/>
    <n v="668738.14"/>
  </r>
  <r>
    <x v="23"/>
    <x v="23"/>
    <x v="2"/>
    <x v="11"/>
    <n v="3818324.22"/>
  </r>
  <r>
    <x v="31"/>
    <x v="32"/>
    <x v="2"/>
    <x v="11"/>
    <n v="2556.8000000000002"/>
  </r>
  <r>
    <x v="0"/>
    <x v="0"/>
    <x v="2"/>
    <x v="11"/>
    <n v="1943601.88"/>
  </r>
  <r>
    <x v="1"/>
    <x v="1"/>
    <x v="2"/>
    <x v="11"/>
    <n v="1570208.16"/>
  </r>
  <r>
    <x v="14"/>
    <x v="14"/>
    <x v="2"/>
    <x v="11"/>
    <n v="23522571.489999998"/>
  </r>
  <r>
    <x v="21"/>
    <x v="21"/>
    <x v="2"/>
    <x v="11"/>
    <n v="2256187.14"/>
  </r>
  <r>
    <x v="5"/>
    <x v="5"/>
    <x v="2"/>
    <x v="11"/>
    <n v="437428.4"/>
  </r>
  <r>
    <x v="6"/>
    <x v="6"/>
    <x v="2"/>
    <x v="11"/>
    <n v="4389612.8899999997"/>
  </r>
  <r>
    <x v="16"/>
    <x v="16"/>
    <x v="2"/>
    <x v="11"/>
    <n v="554430.38"/>
  </r>
  <r>
    <x v="41"/>
    <x v="42"/>
    <x v="2"/>
    <x v="11"/>
    <n v="480127.99"/>
  </r>
  <r>
    <x v="18"/>
    <x v="18"/>
    <x v="2"/>
    <x v="11"/>
    <n v="1077.69"/>
  </r>
  <r>
    <x v="9"/>
    <x v="9"/>
    <x v="2"/>
    <x v="11"/>
    <n v="1554315.92"/>
  </r>
  <r>
    <x v="37"/>
    <x v="38"/>
    <x v="2"/>
    <x v="11"/>
    <n v="354.55"/>
  </r>
  <r>
    <x v="34"/>
    <x v="35"/>
    <x v="2"/>
    <x v="11"/>
    <n v="2491920.75"/>
  </r>
  <r>
    <x v="30"/>
    <x v="31"/>
    <x v="2"/>
    <x v="37"/>
    <n v="3669878.58"/>
  </r>
  <r>
    <x v="12"/>
    <x v="12"/>
    <x v="2"/>
    <x v="37"/>
    <n v="3405699.14"/>
  </r>
  <r>
    <x v="13"/>
    <x v="13"/>
    <x v="2"/>
    <x v="37"/>
    <n v="7061.15"/>
  </r>
  <r>
    <x v="22"/>
    <x v="22"/>
    <x v="2"/>
    <x v="37"/>
    <n v="1075083.98"/>
  </r>
  <r>
    <x v="26"/>
    <x v="26"/>
    <x v="2"/>
    <x v="37"/>
    <n v="14164989.58"/>
  </r>
  <r>
    <x v="23"/>
    <x v="23"/>
    <x v="2"/>
    <x v="37"/>
    <n v="5053227.0199999996"/>
  </r>
  <r>
    <x v="0"/>
    <x v="0"/>
    <x v="2"/>
    <x v="37"/>
    <n v="2792345.66"/>
  </r>
  <r>
    <x v="14"/>
    <x v="14"/>
    <x v="2"/>
    <x v="37"/>
    <n v="42738508.840000004"/>
  </r>
  <r>
    <x v="28"/>
    <x v="29"/>
    <x v="2"/>
    <x v="37"/>
    <n v="372541.19"/>
  </r>
  <r>
    <x v="5"/>
    <x v="5"/>
    <x v="2"/>
    <x v="37"/>
    <n v="12713.77"/>
  </r>
  <r>
    <x v="36"/>
    <x v="37"/>
    <x v="2"/>
    <x v="37"/>
    <n v="3266454.01"/>
  </r>
  <r>
    <x v="24"/>
    <x v="24"/>
    <x v="2"/>
    <x v="37"/>
    <n v="2802471.22"/>
  </r>
  <r>
    <x v="41"/>
    <x v="42"/>
    <x v="2"/>
    <x v="37"/>
    <n v="1613502.74"/>
  </r>
  <r>
    <x v="9"/>
    <x v="9"/>
    <x v="2"/>
    <x v="37"/>
    <n v="1955671.88"/>
  </r>
  <r>
    <x v="25"/>
    <x v="25"/>
    <x v="2"/>
    <x v="37"/>
    <n v="602179.85"/>
  </r>
  <r>
    <x v="11"/>
    <x v="11"/>
    <x v="2"/>
    <x v="38"/>
    <n v="-397285.44"/>
  </r>
  <r>
    <x v="26"/>
    <x v="26"/>
    <x v="2"/>
    <x v="38"/>
    <n v="10326043.640000001"/>
  </r>
  <r>
    <x v="0"/>
    <x v="0"/>
    <x v="2"/>
    <x v="38"/>
    <n v="3273813.42"/>
  </r>
  <r>
    <x v="1"/>
    <x v="1"/>
    <x v="2"/>
    <x v="38"/>
    <n v="4563767.58"/>
  </r>
  <r>
    <x v="2"/>
    <x v="2"/>
    <x v="2"/>
    <x v="38"/>
    <n v="1233080.94"/>
  </r>
  <r>
    <x v="6"/>
    <x v="6"/>
    <x v="2"/>
    <x v="38"/>
    <n v="3835791.89"/>
  </r>
  <r>
    <x v="33"/>
    <x v="34"/>
    <x v="2"/>
    <x v="38"/>
    <n v="974369.08"/>
  </r>
  <r>
    <x v="8"/>
    <x v="8"/>
    <x v="2"/>
    <x v="38"/>
    <n v="97808.27"/>
  </r>
  <r>
    <x v="17"/>
    <x v="17"/>
    <x v="2"/>
    <x v="38"/>
    <n v="594827.53"/>
  </r>
  <r>
    <x v="29"/>
    <x v="30"/>
    <x v="2"/>
    <x v="38"/>
    <n v="1090048.1200000001"/>
  </r>
  <r>
    <x v="19"/>
    <x v="19"/>
    <x v="2"/>
    <x v="38"/>
    <n v="7012.5"/>
  </r>
  <r>
    <x v="39"/>
    <x v="40"/>
    <x v="2"/>
    <x v="38"/>
    <n v="547.65"/>
  </r>
  <r>
    <x v="11"/>
    <x v="11"/>
    <x v="2"/>
    <x v="14"/>
    <n v="-635845.6"/>
  </r>
  <r>
    <x v="22"/>
    <x v="22"/>
    <x v="2"/>
    <x v="14"/>
    <n v="596.34"/>
  </r>
  <r>
    <x v="26"/>
    <x v="26"/>
    <x v="2"/>
    <x v="14"/>
    <n v="9186488.5099999998"/>
  </r>
  <r>
    <x v="14"/>
    <x v="14"/>
    <x v="2"/>
    <x v="14"/>
    <n v="42912664.409999996"/>
  </r>
  <r>
    <x v="2"/>
    <x v="2"/>
    <x v="2"/>
    <x v="14"/>
    <n v="2014093.54"/>
  </r>
  <r>
    <x v="5"/>
    <x v="5"/>
    <x v="2"/>
    <x v="14"/>
    <n v="1434076.46"/>
  </r>
  <r>
    <x v="6"/>
    <x v="6"/>
    <x v="2"/>
    <x v="14"/>
    <n v="4956099.49"/>
  </r>
  <r>
    <x v="36"/>
    <x v="37"/>
    <x v="2"/>
    <x v="14"/>
    <n v="1.1599999999999999"/>
  </r>
  <r>
    <x v="18"/>
    <x v="18"/>
    <x v="2"/>
    <x v="14"/>
    <n v="851156.44"/>
  </r>
  <r>
    <x v="37"/>
    <x v="38"/>
    <x v="2"/>
    <x v="14"/>
    <n v="7374136.5800000001"/>
  </r>
  <r>
    <x v="39"/>
    <x v="40"/>
    <x v="2"/>
    <x v="14"/>
    <n v="1551370.85"/>
  </r>
  <r>
    <x v="34"/>
    <x v="35"/>
    <x v="2"/>
    <x v="14"/>
    <n v="2226655.2200000002"/>
  </r>
  <r>
    <x v="26"/>
    <x v="26"/>
    <x v="2"/>
    <x v="39"/>
    <n v="9726001.5"/>
  </r>
  <r>
    <x v="27"/>
    <x v="27"/>
    <x v="2"/>
    <x v="39"/>
    <n v="4626908.99"/>
  </r>
  <r>
    <x v="14"/>
    <x v="14"/>
    <x v="2"/>
    <x v="39"/>
    <n v="14893047.27"/>
  </r>
  <r>
    <x v="28"/>
    <x v="29"/>
    <x v="2"/>
    <x v="39"/>
    <n v="716836.61"/>
  </r>
  <r>
    <x v="2"/>
    <x v="2"/>
    <x v="2"/>
    <x v="39"/>
    <n v="889.09"/>
  </r>
  <r>
    <x v="21"/>
    <x v="21"/>
    <x v="2"/>
    <x v="39"/>
    <n v="5166.75"/>
  </r>
  <r>
    <x v="36"/>
    <x v="37"/>
    <x v="2"/>
    <x v="39"/>
    <n v="1631660.89"/>
  </r>
  <r>
    <x v="16"/>
    <x v="16"/>
    <x v="2"/>
    <x v="39"/>
    <n v="2624886.58"/>
  </r>
  <r>
    <x v="24"/>
    <x v="24"/>
    <x v="2"/>
    <x v="39"/>
    <n v="1037771.12"/>
  </r>
  <r>
    <x v="17"/>
    <x v="17"/>
    <x v="2"/>
    <x v="39"/>
    <n v="628055.85"/>
  </r>
  <r>
    <x v="41"/>
    <x v="42"/>
    <x v="2"/>
    <x v="39"/>
    <n v="435226.57"/>
  </r>
  <r>
    <x v="18"/>
    <x v="18"/>
    <x v="2"/>
    <x v="39"/>
    <n v="731877.51"/>
  </r>
  <r>
    <x v="29"/>
    <x v="30"/>
    <x v="2"/>
    <x v="39"/>
    <n v="553952.24"/>
  </r>
  <r>
    <x v="40"/>
    <x v="41"/>
    <x v="2"/>
    <x v="39"/>
    <n v="3048649.4"/>
  </r>
  <r>
    <x v="25"/>
    <x v="25"/>
    <x v="2"/>
    <x v="39"/>
    <n v="1150443.24"/>
  </r>
  <r>
    <x v="11"/>
    <x v="11"/>
    <x v="2"/>
    <x v="40"/>
    <n v="-968974.75"/>
  </r>
  <r>
    <x v="30"/>
    <x v="31"/>
    <x v="2"/>
    <x v="40"/>
    <n v="1306394.23"/>
  </r>
  <r>
    <x v="13"/>
    <x v="13"/>
    <x v="2"/>
    <x v="40"/>
    <n v="5223.6899999999996"/>
  </r>
  <r>
    <x v="23"/>
    <x v="23"/>
    <x v="2"/>
    <x v="40"/>
    <n v="1649547.96"/>
  </r>
  <r>
    <x v="14"/>
    <x v="14"/>
    <x v="2"/>
    <x v="40"/>
    <n v="19759026.460000001"/>
  </r>
  <r>
    <x v="5"/>
    <x v="5"/>
    <x v="2"/>
    <x v="40"/>
    <n v="0.17"/>
  </r>
  <r>
    <x v="6"/>
    <x v="6"/>
    <x v="2"/>
    <x v="40"/>
    <n v="4988664.8600000003"/>
  </r>
  <r>
    <x v="36"/>
    <x v="37"/>
    <x v="2"/>
    <x v="40"/>
    <n v="1388269.55"/>
  </r>
  <r>
    <x v="16"/>
    <x v="16"/>
    <x v="2"/>
    <x v="40"/>
    <n v="6026629.1500000004"/>
  </r>
  <r>
    <x v="33"/>
    <x v="34"/>
    <x v="2"/>
    <x v="40"/>
    <n v="2011997.84"/>
  </r>
  <r>
    <x v="8"/>
    <x v="8"/>
    <x v="2"/>
    <x v="40"/>
    <n v="295890.25"/>
  </r>
  <r>
    <x v="18"/>
    <x v="18"/>
    <x v="2"/>
    <x v="40"/>
    <n v="1005519.17"/>
  </r>
  <r>
    <x v="29"/>
    <x v="30"/>
    <x v="2"/>
    <x v="40"/>
    <n v="220199.81"/>
  </r>
  <r>
    <x v="11"/>
    <x v="11"/>
    <x v="2"/>
    <x v="41"/>
    <n v="-492437.56"/>
  </r>
  <r>
    <x v="30"/>
    <x v="31"/>
    <x v="2"/>
    <x v="41"/>
    <n v="1536517.93"/>
  </r>
  <r>
    <x v="27"/>
    <x v="27"/>
    <x v="2"/>
    <x v="41"/>
    <n v="6375007.3200000003"/>
  </r>
  <r>
    <x v="31"/>
    <x v="32"/>
    <x v="2"/>
    <x v="41"/>
    <n v="8050400.7699999996"/>
  </r>
  <r>
    <x v="0"/>
    <x v="0"/>
    <x v="2"/>
    <x v="41"/>
    <n v="3337890.47"/>
  </r>
  <r>
    <x v="1"/>
    <x v="1"/>
    <x v="2"/>
    <x v="41"/>
    <n v="19934.759999999998"/>
  </r>
  <r>
    <x v="2"/>
    <x v="2"/>
    <x v="2"/>
    <x v="41"/>
    <n v="2143175.7200000002"/>
  </r>
  <r>
    <x v="3"/>
    <x v="3"/>
    <x v="2"/>
    <x v="41"/>
    <n v="514220.53"/>
  </r>
  <r>
    <x v="16"/>
    <x v="16"/>
    <x v="2"/>
    <x v="41"/>
    <n v="1506995.87"/>
  </r>
  <r>
    <x v="33"/>
    <x v="34"/>
    <x v="2"/>
    <x v="41"/>
    <n v="1274100.02"/>
  </r>
  <r>
    <x v="17"/>
    <x v="17"/>
    <x v="2"/>
    <x v="41"/>
    <n v="1198984.76"/>
  </r>
  <r>
    <x v="18"/>
    <x v="18"/>
    <x v="2"/>
    <x v="41"/>
    <n v="995885.49"/>
  </r>
  <r>
    <x v="29"/>
    <x v="30"/>
    <x v="2"/>
    <x v="41"/>
    <n v="268080.28999999998"/>
  </r>
  <r>
    <x v="19"/>
    <x v="19"/>
    <x v="2"/>
    <x v="41"/>
    <n v="3591764.06"/>
  </r>
  <r>
    <x v="40"/>
    <x v="41"/>
    <x v="2"/>
    <x v="41"/>
    <n v="902.71"/>
  </r>
  <r>
    <x v="34"/>
    <x v="35"/>
    <x v="2"/>
    <x v="41"/>
    <n v="1513968.35"/>
  </r>
  <r>
    <x v="12"/>
    <x v="12"/>
    <x v="2"/>
    <x v="29"/>
    <n v="1785606.55"/>
  </r>
  <r>
    <x v="22"/>
    <x v="22"/>
    <x v="2"/>
    <x v="29"/>
    <n v="4730814.21"/>
  </r>
  <r>
    <x v="26"/>
    <x v="26"/>
    <x v="2"/>
    <x v="29"/>
    <n v="4314334.2"/>
  </r>
  <r>
    <x v="27"/>
    <x v="27"/>
    <x v="2"/>
    <x v="29"/>
    <n v="9881685.7300000004"/>
  </r>
  <r>
    <x v="20"/>
    <x v="20"/>
    <x v="2"/>
    <x v="29"/>
    <n v="9463050.7899999991"/>
  </r>
  <r>
    <x v="1"/>
    <x v="1"/>
    <x v="2"/>
    <x v="29"/>
    <n v="2.0699999999999998"/>
  </r>
  <r>
    <x v="14"/>
    <x v="14"/>
    <x v="2"/>
    <x v="29"/>
    <n v="648.1"/>
  </r>
  <r>
    <x v="2"/>
    <x v="2"/>
    <x v="2"/>
    <x v="29"/>
    <n v="513.26"/>
  </r>
  <r>
    <x v="21"/>
    <x v="21"/>
    <x v="2"/>
    <x v="29"/>
    <n v="1573693.64"/>
  </r>
  <r>
    <x v="4"/>
    <x v="4"/>
    <x v="2"/>
    <x v="29"/>
    <n v="1088823.27"/>
  </r>
  <r>
    <x v="17"/>
    <x v="17"/>
    <x v="2"/>
    <x v="29"/>
    <n v="1398.69"/>
  </r>
  <r>
    <x v="37"/>
    <x v="38"/>
    <x v="2"/>
    <x v="29"/>
    <n v="1003.58"/>
  </r>
  <r>
    <x v="34"/>
    <x v="35"/>
    <x v="2"/>
    <x v="29"/>
    <n v="5702779.3499999996"/>
  </r>
  <r>
    <x v="23"/>
    <x v="23"/>
    <x v="2"/>
    <x v="30"/>
    <n v="3112789.5"/>
  </r>
  <r>
    <x v="27"/>
    <x v="27"/>
    <x v="2"/>
    <x v="30"/>
    <n v="7930510.4100000001"/>
  </r>
  <r>
    <x v="31"/>
    <x v="32"/>
    <x v="2"/>
    <x v="30"/>
    <n v="9320300.4499999993"/>
  </r>
  <r>
    <x v="28"/>
    <x v="29"/>
    <x v="2"/>
    <x v="30"/>
    <n v="1165239.1200000001"/>
  </r>
  <r>
    <x v="6"/>
    <x v="6"/>
    <x v="2"/>
    <x v="30"/>
    <n v="6220472.3300000001"/>
  </r>
  <r>
    <x v="36"/>
    <x v="37"/>
    <x v="2"/>
    <x v="30"/>
    <n v="3781177.86"/>
  </r>
  <r>
    <x v="33"/>
    <x v="34"/>
    <x v="2"/>
    <x v="30"/>
    <n v="1795182.38"/>
  </r>
  <r>
    <x v="18"/>
    <x v="18"/>
    <x v="2"/>
    <x v="30"/>
    <n v="490242.23"/>
  </r>
  <r>
    <x v="37"/>
    <x v="38"/>
    <x v="2"/>
    <x v="30"/>
    <n v="3648858.82"/>
  </r>
  <r>
    <x v="39"/>
    <x v="40"/>
    <x v="2"/>
    <x v="30"/>
    <n v="1002672.04"/>
  </r>
  <r>
    <x v="40"/>
    <x v="41"/>
    <x v="2"/>
    <x v="30"/>
    <n v="2003893.95"/>
  </r>
  <r>
    <x v="25"/>
    <x v="25"/>
    <x v="2"/>
    <x v="30"/>
    <n v="374658.81"/>
  </r>
  <r>
    <x v="11"/>
    <x v="11"/>
    <x v="3"/>
    <x v="3"/>
    <n v="-1817594.54"/>
  </r>
  <r>
    <x v="23"/>
    <x v="23"/>
    <x v="3"/>
    <x v="3"/>
    <n v="9671405.6699999999"/>
  </r>
  <r>
    <x v="14"/>
    <x v="14"/>
    <x v="3"/>
    <x v="3"/>
    <n v="227717784.72"/>
  </r>
  <r>
    <x v="15"/>
    <x v="15"/>
    <x v="3"/>
    <x v="3"/>
    <n v="2875228.66"/>
  </r>
  <r>
    <x v="4"/>
    <x v="4"/>
    <x v="3"/>
    <x v="3"/>
    <n v="2647923.9500000002"/>
  </r>
  <r>
    <x v="36"/>
    <x v="37"/>
    <x v="3"/>
    <x v="3"/>
    <n v="5060.67"/>
  </r>
  <r>
    <x v="7"/>
    <x v="7"/>
    <x v="3"/>
    <x v="3"/>
    <n v="9815362.4000000004"/>
  </r>
  <r>
    <x v="33"/>
    <x v="34"/>
    <x v="3"/>
    <x v="3"/>
    <n v="9524278.1699999999"/>
  </r>
  <r>
    <x v="8"/>
    <x v="8"/>
    <x v="3"/>
    <x v="3"/>
    <n v="1335820.6599999999"/>
  </r>
  <r>
    <x v="29"/>
    <x v="30"/>
    <x v="3"/>
    <x v="3"/>
    <n v="3384069.86"/>
  </r>
  <r>
    <x v="22"/>
    <x v="22"/>
    <x v="3"/>
    <x v="42"/>
    <n v="16605194.4"/>
  </r>
  <r>
    <x v="14"/>
    <x v="14"/>
    <x v="3"/>
    <x v="42"/>
    <n v="159265714.91999999"/>
  </r>
  <r>
    <x v="15"/>
    <x v="15"/>
    <x v="3"/>
    <x v="42"/>
    <n v="2951144.67"/>
  </r>
  <r>
    <x v="4"/>
    <x v="4"/>
    <x v="3"/>
    <x v="42"/>
    <n v="4640015.75"/>
  </r>
  <r>
    <x v="29"/>
    <x v="30"/>
    <x v="3"/>
    <x v="42"/>
    <n v="10169.06"/>
  </r>
  <r>
    <x v="25"/>
    <x v="25"/>
    <x v="3"/>
    <x v="42"/>
    <n v="6456003.4100000001"/>
  </r>
  <r>
    <x v="2"/>
    <x v="2"/>
    <x v="3"/>
    <x v="43"/>
    <n v="1894397.59"/>
  </r>
  <r>
    <x v="5"/>
    <x v="5"/>
    <x v="3"/>
    <x v="43"/>
    <n v="2284257.2799999998"/>
  </r>
  <r>
    <x v="6"/>
    <x v="6"/>
    <x v="3"/>
    <x v="43"/>
    <n v="100997104.5"/>
  </r>
  <r>
    <x v="36"/>
    <x v="37"/>
    <x v="3"/>
    <x v="43"/>
    <n v="23907329.010000002"/>
  </r>
  <r>
    <x v="41"/>
    <x v="42"/>
    <x v="3"/>
    <x v="43"/>
    <n v="3399966.21"/>
  </r>
  <r>
    <x v="29"/>
    <x v="30"/>
    <x v="3"/>
    <x v="43"/>
    <n v="4727770.17"/>
  </r>
  <r>
    <x v="9"/>
    <x v="9"/>
    <x v="3"/>
    <x v="43"/>
    <n v="442.2"/>
  </r>
  <r>
    <x v="0"/>
    <x v="0"/>
    <x v="3"/>
    <x v="44"/>
    <n v="9278827.7599999998"/>
  </r>
  <r>
    <x v="1"/>
    <x v="1"/>
    <x v="3"/>
    <x v="44"/>
    <n v="7838763.7800000003"/>
  </r>
  <r>
    <x v="2"/>
    <x v="2"/>
    <x v="3"/>
    <x v="44"/>
    <n v="5873729.54"/>
  </r>
  <r>
    <x v="4"/>
    <x v="4"/>
    <x v="3"/>
    <x v="44"/>
    <n v="2156342.56"/>
  </r>
  <r>
    <x v="8"/>
    <x v="8"/>
    <x v="3"/>
    <x v="44"/>
    <n v="348768.82"/>
  </r>
  <r>
    <x v="19"/>
    <x v="19"/>
    <x v="3"/>
    <x v="44"/>
    <n v="5680475.2599999998"/>
  </r>
  <r>
    <x v="30"/>
    <x v="31"/>
    <x v="3"/>
    <x v="32"/>
    <n v="4838196.49"/>
  </r>
  <r>
    <x v="0"/>
    <x v="0"/>
    <x v="3"/>
    <x v="32"/>
    <n v="25718708.32"/>
  </r>
  <r>
    <x v="19"/>
    <x v="28"/>
    <x v="3"/>
    <x v="32"/>
    <n v="9052458.8599999994"/>
  </r>
  <r>
    <x v="14"/>
    <x v="14"/>
    <x v="3"/>
    <x v="32"/>
    <n v="31042269.120000001"/>
  </r>
  <r>
    <x v="15"/>
    <x v="15"/>
    <x v="3"/>
    <x v="32"/>
    <n v="8438307.3200000003"/>
  </r>
  <r>
    <x v="5"/>
    <x v="5"/>
    <x v="3"/>
    <x v="32"/>
    <n v="1053.3399999999999"/>
  </r>
  <r>
    <x v="33"/>
    <x v="34"/>
    <x v="3"/>
    <x v="32"/>
    <n v="12406485.33"/>
  </r>
  <r>
    <x v="24"/>
    <x v="24"/>
    <x v="3"/>
    <x v="32"/>
    <n v="6194885.0499999998"/>
  </r>
  <r>
    <x v="34"/>
    <x v="35"/>
    <x v="3"/>
    <x v="32"/>
    <n v="6178.29"/>
  </r>
  <r>
    <x v="22"/>
    <x v="22"/>
    <x v="3"/>
    <x v="45"/>
    <n v="22520492.739999998"/>
  </r>
  <r>
    <x v="14"/>
    <x v="14"/>
    <x v="3"/>
    <x v="45"/>
    <n v="182208151.40000001"/>
  </r>
  <r>
    <x v="28"/>
    <x v="29"/>
    <x v="3"/>
    <x v="45"/>
    <n v="1164304.23"/>
  </r>
  <r>
    <x v="15"/>
    <x v="15"/>
    <x v="3"/>
    <x v="45"/>
    <n v="2385741.8199999998"/>
  </r>
  <r>
    <x v="3"/>
    <x v="3"/>
    <x v="3"/>
    <x v="45"/>
    <n v="1174.25"/>
  </r>
  <r>
    <x v="1"/>
    <x v="1"/>
    <x v="3"/>
    <x v="46"/>
    <n v="4203550.46"/>
  </r>
  <r>
    <x v="19"/>
    <x v="28"/>
    <x v="3"/>
    <x v="46"/>
    <n v="13590909.560000001"/>
  </r>
  <r>
    <x v="15"/>
    <x v="15"/>
    <x v="3"/>
    <x v="46"/>
    <n v="5834337.9800000004"/>
  </r>
  <r>
    <x v="3"/>
    <x v="3"/>
    <x v="3"/>
    <x v="46"/>
    <n v="814876.75"/>
  </r>
  <r>
    <x v="32"/>
    <x v="33"/>
    <x v="3"/>
    <x v="46"/>
    <n v="4922108.8499999996"/>
  </r>
  <r>
    <x v="7"/>
    <x v="7"/>
    <x v="3"/>
    <x v="46"/>
    <n v="1.1599999999999999"/>
  </r>
  <r>
    <x v="27"/>
    <x v="27"/>
    <x v="3"/>
    <x v="47"/>
    <n v="23267889.960000001"/>
  </r>
  <r>
    <x v="39"/>
    <x v="40"/>
    <x v="3"/>
    <x v="47"/>
    <n v="2805856.32"/>
  </r>
  <r>
    <x v="34"/>
    <x v="35"/>
    <x v="3"/>
    <x v="47"/>
    <n v="16858495.620000001"/>
  </r>
  <r>
    <x v="30"/>
    <x v="31"/>
    <x v="3"/>
    <x v="5"/>
    <n v="5427204.9000000004"/>
  </r>
  <r>
    <x v="3"/>
    <x v="3"/>
    <x v="3"/>
    <x v="5"/>
    <n v="1275630.8"/>
  </r>
  <r>
    <x v="32"/>
    <x v="33"/>
    <x v="3"/>
    <x v="5"/>
    <n v="5909178.8200000003"/>
  </r>
  <r>
    <x v="8"/>
    <x v="8"/>
    <x v="3"/>
    <x v="5"/>
    <n v="7950.98"/>
  </r>
  <r>
    <x v="24"/>
    <x v="24"/>
    <x v="3"/>
    <x v="5"/>
    <n v="4935665.16"/>
  </r>
  <r>
    <x v="39"/>
    <x v="40"/>
    <x v="3"/>
    <x v="5"/>
    <n v="8331.39"/>
  </r>
  <r>
    <x v="10"/>
    <x v="10"/>
    <x v="3"/>
    <x v="5"/>
    <n v="142266930.63"/>
  </r>
  <r>
    <x v="27"/>
    <x v="27"/>
    <x v="3"/>
    <x v="48"/>
    <n v="71005081.430000007"/>
  </r>
  <r>
    <x v="2"/>
    <x v="2"/>
    <x v="3"/>
    <x v="48"/>
    <n v="4442563.3499999996"/>
  </r>
  <r>
    <x v="4"/>
    <x v="4"/>
    <x v="3"/>
    <x v="48"/>
    <n v="3695458.88"/>
  </r>
  <r>
    <x v="16"/>
    <x v="16"/>
    <x v="3"/>
    <x v="48"/>
    <n v="13424236.359999999"/>
  </r>
  <r>
    <x v="37"/>
    <x v="38"/>
    <x v="3"/>
    <x v="48"/>
    <n v="17055022.199999999"/>
  </r>
  <r>
    <x v="26"/>
    <x v="26"/>
    <x v="3"/>
    <x v="49"/>
    <n v="54018679.600000001"/>
  </r>
  <r>
    <x v="20"/>
    <x v="20"/>
    <x v="3"/>
    <x v="49"/>
    <n v="38406438.969999999"/>
  </r>
  <r>
    <x v="4"/>
    <x v="4"/>
    <x v="3"/>
    <x v="49"/>
    <n v="2711046.01"/>
  </r>
  <r>
    <x v="6"/>
    <x v="6"/>
    <x v="3"/>
    <x v="49"/>
    <n v="33605700"/>
  </r>
  <r>
    <x v="7"/>
    <x v="7"/>
    <x v="3"/>
    <x v="49"/>
    <n v="10954.25"/>
  </r>
  <r>
    <x v="24"/>
    <x v="24"/>
    <x v="3"/>
    <x v="49"/>
    <n v="4981645.04"/>
  </r>
  <r>
    <x v="29"/>
    <x v="30"/>
    <x v="3"/>
    <x v="49"/>
    <n v="3057586.88"/>
  </r>
  <r>
    <x v="30"/>
    <x v="31"/>
    <x v="3"/>
    <x v="50"/>
    <n v="10190045.57"/>
  </r>
  <r>
    <x v="27"/>
    <x v="27"/>
    <x v="3"/>
    <x v="50"/>
    <n v="0.98"/>
  </r>
  <r>
    <x v="28"/>
    <x v="29"/>
    <x v="3"/>
    <x v="50"/>
    <n v="2539923.9500000002"/>
  </r>
  <r>
    <x v="16"/>
    <x v="16"/>
    <x v="3"/>
    <x v="50"/>
    <n v="17097873.859999999"/>
  </r>
  <r>
    <x v="41"/>
    <x v="42"/>
    <x v="3"/>
    <x v="50"/>
    <n v="939572.53"/>
  </r>
  <r>
    <x v="9"/>
    <x v="9"/>
    <x v="3"/>
    <x v="50"/>
    <n v="8846519.4600000009"/>
  </r>
  <r>
    <x v="10"/>
    <x v="10"/>
    <x v="3"/>
    <x v="50"/>
    <n v="1.35"/>
  </r>
  <r>
    <x v="34"/>
    <x v="35"/>
    <x v="3"/>
    <x v="50"/>
    <n v="13695240.050000001"/>
  </r>
  <r>
    <x v="11"/>
    <x v="11"/>
    <x v="3"/>
    <x v="51"/>
    <n v="-4081050"/>
  </r>
  <r>
    <x v="30"/>
    <x v="31"/>
    <x v="3"/>
    <x v="51"/>
    <n v="0.73"/>
  </r>
  <r>
    <x v="26"/>
    <x v="26"/>
    <x v="3"/>
    <x v="51"/>
    <n v="54302375.579999998"/>
  </r>
  <r>
    <x v="1"/>
    <x v="1"/>
    <x v="3"/>
    <x v="51"/>
    <n v="2880000.97"/>
  </r>
  <r>
    <x v="28"/>
    <x v="29"/>
    <x v="3"/>
    <x v="51"/>
    <n v="736446.61"/>
  </r>
  <r>
    <x v="15"/>
    <x v="15"/>
    <x v="3"/>
    <x v="51"/>
    <n v="5367172.55"/>
  </r>
  <r>
    <x v="2"/>
    <x v="2"/>
    <x v="3"/>
    <x v="51"/>
    <n v="5245666.76"/>
  </r>
  <r>
    <x v="36"/>
    <x v="37"/>
    <x v="3"/>
    <x v="51"/>
    <n v="12043350.32"/>
  </r>
  <r>
    <x v="7"/>
    <x v="7"/>
    <x v="3"/>
    <x v="51"/>
    <n v="5231281.97"/>
  </r>
  <r>
    <x v="8"/>
    <x v="8"/>
    <x v="3"/>
    <x v="51"/>
    <n v="1103687.6799999999"/>
  </r>
  <r>
    <x v="41"/>
    <x v="42"/>
    <x v="3"/>
    <x v="51"/>
    <n v="1090798.03"/>
  </r>
  <r>
    <x v="9"/>
    <x v="9"/>
    <x v="3"/>
    <x v="51"/>
    <n v="5890244.3399999999"/>
  </r>
  <r>
    <x v="19"/>
    <x v="19"/>
    <x v="3"/>
    <x v="51"/>
    <n v="2240.2199999999998"/>
  </r>
  <r>
    <x v="37"/>
    <x v="38"/>
    <x v="3"/>
    <x v="51"/>
    <n v="11284544.380000001"/>
  </r>
  <r>
    <x v="39"/>
    <x v="40"/>
    <x v="3"/>
    <x v="51"/>
    <n v="4431390.55"/>
  </r>
  <r>
    <x v="40"/>
    <x v="41"/>
    <x v="3"/>
    <x v="51"/>
    <n v="19276641.890000001"/>
  </r>
  <r>
    <x v="20"/>
    <x v="20"/>
    <x v="3"/>
    <x v="22"/>
    <n v="50241915.759999998"/>
  </r>
  <r>
    <x v="1"/>
    <x v="1"/>
    <x v="3"/>
    <x v="22"/>
    <n v="2405461.06"/>
  </r>
  <r>
    <x v="14"/>
    <x v="14"/>
    <x v="3"/>
    <x v="22"/>
    <n v="173005881.50999999"/>
  </r>
  <r>
    <x v="5"/>
    <x v="5"/>
    <x v="3"/>
    <x v="22"/>
    <n v="1594462.67"/>
  </r>
  <r>
    <x v="36"/>
    <x v="37"/>
    <x v="3"/>
    <x v="22"/>
    <n v="17360331.399999999"/>
  </r>
  <r>
    <x v="32"/>
    <x v="33"/>
    <x v="3"/>
    <x v="22"/>
    <n v="7722990.9199999999"/>
  </r>
  <r>
    <x v="7"/>
    <x v="7"/>
    <x v="3"/>
    <x v="22"/>
    <n v="5415529.96"/>
  </r>
  <r>
    <x v="9"/>
    <x v="9"/>
    <x v="3"/>
    <x v="22"/>
    <n v="2843765.69"/>
  </r>
  <r>
    <x v="19"/>
    <x v="19"/>
    <x v="3"/>
    <x v="22"/>
    <n v="4802324.41"/>
  </r>
  <r>
    <x v="38"/>
    <x v="39"/>
    <x v="3"/>
    <x v="22"/>
    <n v="983285.56"/>
  </r>
  <r>
    <x v="10"/>
    <x v="10"/>
    <x v="3"/>
    <x v="22"/>
    <n v="78536963.900000006"/>
  </r>
  <r>
    <x v="34"/>
    <x v="35"/>
    <x v="3"/>
    <x v="22"/>
    <n v="10990749.529999999"/>
  </r>
  <r>
    <x v="25"/>
    <x v="25"/>
    <x v="3"/>
    <x v="22"/>
    <n v="2545279.7599999998"/>
  </r>
  <r>
    <x v="20"/>
    <x v="20"/>
    <x v="3"/>
    <x v="52"/>
    <n v="67028025.299999997"/>
  </r>
  <r>
    <x v="5"/>
    <x v="5"/>
    <x v="3"/>
    <x v="52"/>
    <n v="4471956.3099999996"/>
  </r>
  <r>
    <x v="24"/>
    <x v="24"/>
    <x v="3"/>
    <x v="52"/>
    <n v="4353258.45"/>
  </r>
  <r>
    <x v="0"/>
    <x v="0"/>
    <x v="3"/>
    <x v="53"/>
    <n v="1103.3399999999999"/>
  </r>
  <r>
    <x v="1"/>
    <x v="1"/>
    <x v="3"/>
    <x v="53"/>
    <n v="6191341.04"/>
  </r>
  <r>
    <x v="4"/>
    <x v="4"/>
    <x v="3"/>
    <x v="53"/>
    <n v="4916238.7699999996"/>
  </r>
  <r>
    <x v="36"/>
    <x v="37"/>
    <x v="3"/>
    <x v="53"/>
    <n v="14696233.84"/>
  </r>
  <r>
    <x v="41"/>
    <x v="42"/>
    <x v="3"/>
    <x v="53"/>
    <n v="2590967.62"/>
  </r>
  <r>
    <x v="39"/>
    <x v="40"/>
    <x v="3"/>
    <x v="53"/>
    <n v="4556703.04"/>
  </r>
  <r>
    <x v="11"/>
    <x v="11"/>
    <x v="3"/>
    <x v="54"/>
    <n v="-3757861.41"/>
  </r>
  <r>
    <x v="22"/>
    <x v="22"/>
    <x v="3"/>
    <x v="54"/>
    <n v="5695.28"/>
  </r>
  <r>
    <x v="23"/>
    <x v="23"/>
    <x v="3"/>
    <x v="54"/>
    <n v="5468679.6200000001"/>
  </r>
  <r>
    <x v="1"/>
    <x v="1"/>
    <x v="3"/>
    <x v="54"/>
    <n v="436.56"/>
  </r>
  <r>
    <x v="5"/>
    <x v="5"/>
    <x v="3"/>
    <x v="54"/>
    <n v="8723733.3699999992"/>
  </r>
  <r>
    <x v="6"/>
    <x v="6"/>
    <x v="3"/>
    <x v="54"/>
    <n v="2393.11"/>
  </r>
  <r>
    <x v="25"/>
    <x v="25"/>
    <x v="3"/>
    <x v="54"/>
    <n v="8144468.8399999999"/>
  </r>
  <r>
    <x v="22"/>
    <x v="22"/>
    <x v="3"/>
    <x v="55"/>
    <n v="13617850.140000001"/>
  </r>
  <r>
    <x v="14"/>
    <x v="14"/>
    <x v="3"/>
    <x v="55"/>
    <n v="8831.73"/>
  </r>
  <r>
    <x v="28"/>
    <x v="29"/>
    <x v="3"/>
    <x v="55"/>
    <n v="2666423.48"/>
  </r>
  <r>
    <x v="2"/>
    <x v="2"/>
    <x v="3"/>
    <x v="55"/>
    <n v="5746559.2400000002"/>
  </r>
  <r>
    <x v="40"/>
    <x v="41"/>
    <x v="3"/>
    <x v="55"/>
    <n v="24652340.710000001"/>
  </r>
  <r>
    <x v="34"/>
    <x v="35"/>
    <x v="3"/>
    <x v="55"/>
    <n v="15387670.24"/>
  </r>
  <r>
    <x v="25"/>
    <x v="25"/>
    <x v="3"/>
    <x v="55"/>
    <n v="7538027.8700000001"/>
  </r>
  <r>
    <x v="23"/>
    <x v="23"/>
    <x v="3"/>
    <x v="8"/>
    <n v="164.51"/>
  </r>
  <r>
    <x v="1"/>
    <x v="1"/>
    <x v="3"/>
    <x v="8"/>
    <n v="6330657.4500000002"/>
  </r>
  <r>
    <x v="3"/>
    <x v="3"/>
    <x v="3"/>
    <x v="8"/>
    <n v="612976.75"/>
  </r>
  <r>
    <x v="41"/>
    <x v="42"/>
    <x v="3"/>
    <x v="8"/>
    <n v="799993.81"/>
  </r>
  <r>
    <x v="38"/>
    <x v="39"/>
    <x v="3"/>
    <x v="8"/>
    <n v="1618708.66"/>
  </r>
  <r>
    <x v="30"/>
    <x v="31"/>
    <x v="3"/>
    <x v="11"/>
    <n v="10812153.58"/>
  </r>
  <r>
    <x v="26"/>
    <x v="26"/>
    <x v="3"/>
    <x v="11"/>
    <n v="103221027.3"/>
  </r>
  <r>
    <x v="15"/>
    <x v="15"/>
    <x v="3"/>
    <x v="11"/>
    <n v="1321346.83"/>
  </r>
  <r>
    <x v="2"/>
    <x v="2"/>
    <x v="3"/>
    <x v="11"/>
    <n v="422.01"/>
  </r>
  <r>
    <x v="24"/>
    <x v="24"/>
    <x v="3"/>
    <x v="11"/>
    <n v="6335042.1299999999"/>
  </r>
  <r>
    <x v="9"/>
    <x v="9"/>
    <x v="3"/>
    <x v="11"/>
    <n v="0.16"/>
  </r>
  <r>
    <x v="38"/>
    <x v="39"/>
    <x v="3"/>
    <x v="11"/>
    <n v="969264.56"/>
  </r>
  <r>
    <x v="37"/>
    <x v="38"/>
    <x v="3"/>
    <x v="11"/>
    <n v="29908184.41"/>
  </r>
  <r>
    <x v="27"/>
    <x v="27"/>
    <x v="3"/>
    <x v="56"/>
    <n v="43169113.810000002"/>
  </r>
  <r>
    <x v="20"/>
    <x v="20"/>
    <x v="3"/>
    <x v="56"/>
    <n v="74040476.310000002"/>
  </r>
  <r>
    <x v="41"/>
    <x v="42"/>
    <x v="3"/>
    <x v="56"/>
    <n v="2411324.0299999998"/>
  </r>
  <r>
    <x v="19"/>
    <x v="19"/>
    <x v="3"/>
    <x v="56"/>
    <n v="728.16"/>
  </r>
  <r>
    <x v="37"/>
    <x v="38"/>
    <x v="3"/>
    <x v="56"/>
    <n v="13966940.130000001"/>
  </r>
  <r>
    <x v="25"/>
    <x v="25"/>
    <x v="3"/>
    <x v="56"/>
    <n v="4354826.8099999996"/>
  </r>
  <r>
    <x v="26"/>
    <x v="26"/>
    <x v="3"/>
    <x v="57"/>
    <n v="58205148.619999997"/>
  </r>
  <r>
    <x v="4"/>
    <x v="4"/>
    <x v="3"/>
    <x v="57"/>
    <n v="6628639.2400000002"/>
  </r>
  <r>
    <x v="32"/>
    <x v="33"/>
    <x v="3"/>
    <x v="57"/>
    <n v="5511686.3799999999"/>
  </r>
  <r>
    <x v="23"/>
    <x v="23"/>
    <x v="3"/>
    <x v="58"/>
    <n v="40694281.729999997"/>
  </r>
  <r>
    <x v="3"/>
    <x v="3"/>
    <x v="3"/>
    <x v="58"/>
    <n v="267369.59999999998"/>
  </r>
  <r>
    <x v="6"/>
    <x v="6"/>
    <x v="3"/>
    <x v="58"/>
    <n v="63499302.299999997"/>
  </r>
  <r>
    <x v="25"/>
    <x v="25"/>
    <x v="3"/>
    <x v="58"/>
    <n v="1762686.29"/>
  </r>
  <r>
    <x v="11"/>
    <x v="11"/>
    <x v="3"/>
    <x v="59"/>
    <n v="-1293274.28"/>
  </r>
  <r>
    <x v="23"/>
    <x v="23"/>
    <x v="3"/>
    <x v="59"/>
    <n v="36413303.920000002"/>
  </r>
  <r>
    <x v="28"/>
    <x v="29"/>
    <x v="3"/>
    <x v="59"/>
    <n v="935937.02"/>
  </r>
  <r>
    <x v="2"/>
    <x v="2"/>
    <x v="3"/>
    <x v="59"/>
    <n v="3150308.95"/>
  </r>
  <r>
    <x v="36"/>
    <x v="37"/>
    <x v="3"/>
    <x v="59"/>
    <n v="9818732.5099999998"/>
  </r>
  <r>
    <x v="16"/>
    <x v="16"/>
    <x v="3"/>
    <x v="59"/>
    <n v="26275664.07"/>
  </r>
  <r>
    <x v="9"/>
    <x v="9"/>
    <x v="3"/>
    <x v="59"/>
    <n v="2522361.58"/>
  </r>
  <r>
    <x v="30"/>
    <x v="31"/>
    <x v="3"/>
    <x v="60"/>
    <n v="10894789.66"/>
  </r>
  <r>
    <x v="27"/>
    <x v="27"/>
    <x v="3"/>
    <x v="60"/>
    <n v="96723989.859999999"/>
  </r>
  <r>
    <x v="0"/>
    <x v="0"/>
    <x v="3"/>
    <x v="60"/>
    <n v="22200211.300000001"/>
  </r>
  <r>
    <x v="14"/>
    <x v="14"/>
    <x v="3"/>
    <x v="60"/>
    <n v="196689416.18000001"/>
  </r>
  <r>
    <x v="28"/>
    <x v="29"/>
    <x v="3"/>
    <x v="60"/>
    <n v="1457813.24"/>
  </r>
  <r>
    <x v="7"/>
    <x v="7"/>
    <x v="3"/>
    <x v="60"/>
    <n v="4368614.78"/>
  </r>
  <r>
    <x v="8"/>
    <x v="8"/>
    <x v="3"/>
    <x v="60"/>
    <n v="1809612.13"/>
  </r>
  <r>
    <x v="38"/>
    <x v="39"/>
    <x v="3"/>
    <x v="60"/>
    <n v="3802243"/>
  </r>
  <r>
    <x v="34"/>
    <x v="35"/>
    <x v="3"/>
    <x v="60"/>
    <n v="28515806.109999999"/>
  </r>
  <r>
    <x v="0"/>
    <x v="0"/>
    <x v="3"/>
    <x v="61"/>
    <n v="11668104.220000001"/>
  </r>
  <r>
    <x v="5"/>
    <x v="5"/>
    <x v="3"/>
    <x v="61"/>
    <n v="1780193.95"/>
  </r>
  <r>
    <x v="33"/>
    <x v="34"/>
    <x v="3"/>
    <x v="61"/>
    <n v="12768825.1"/>
  </r>
  <r>
    <x v="9"/>
    <x v="9"/>
    <x v="3"/>
    <x v="61"/>
    <n v="5963094.4900000002"/>
  </r>
  <r>
    <x v="39"/>
    <x v="40"/>
    <x v="3"/>
    <x v="61"/>
    <n v="7791901.7599999998"/>
  </r>
  <r>
    <x v="25"/>
    <x v="25"/>
    <x v="3"/>
    <x v="61"/>
    <n v="5047538.01"/>
  </r>
  <r>
    <x v="8"/>
    <x v="8"/>
    <x v="3"/>
    <x v="62"/>
    <n v="896614.7"/>
  </r>
  <r>
    <x v="41"/>
    <x v="42"/>
    <x v="3"/>
    <x v="62"/>
    <n v="1122217.6399999999"/>
  </r>
  <r>
    <x v="29"/>
    <x v="30"/>
    <x v="3"/>
    <x v="62"/>
    <n v="2023988.96"/>
  </r>
  <r>
    <x v="34"/>
    <x v="35"/>
    <x v="3"/>
    <x v="62"/>
    <n v="611.76"/>
  </r>
  <r>
    <x v="30"/>
    <x v="31"/>
    <x v="3"/>
    <x v="28"/>
    <n v="2488163.52"/>
  </r>
  <r>
    <x v="0"/>
    <x v="0"/>
    <x v="3"/>
    <x v="28"/>
    <n v="17546499.050000001"/>
  </r>
  <r>
    <x v="19"/>
    <x v="28"/>
    <x v="3"/>
    <x v="28"/>
    <n v="6475818.2300000004"/>
  </r>
  <r>
    <x v="7"/>
    <x v="7"/>
    <x v="3"/>
    <x v="28"/>
    <n v="1.4"/>
  </r>
  <r>
    <x v="29"/>
    <x v="30"/>
    <x v="3"/>
    <x v="28"/>
    <n v="1910182.03"/>
  </r>
  <r>
    <x v="38"/>
    <x v="39"/>
    <x v="3"/>
    <x v="28"/>
    <n v="8803.09"/>
  </r>
  <r>
    <x v="39"/>
    <x v="40"/>
    <x v="3"/>
    <x v="28"/>
    <n v="6285241.2400000002"/>
  </r>
  <r>
    <x v="0"/>
    <x v="0"/>
    <x v="3"/>
    <x v="63"/>
    <n v="12659209.640000001"/>
  </r>
  <r>
    <x v="14"/>
    <x v="14"/>
    <x v="3"/>
    <x v="63"/>
    <n v="68980405.719999999"/>
  </r>
  <r>
    <x v="33"/>
    <x v="34"/>
    <x v="3"/>
    <x v="63"/>
    <n v="10120089.289999999"/>
  </r>
  <r>
    <x v="28"/>
    <x v="29"/>
    <x v="3"/>
    <x v="39"/>
    <n v="2463234.86"/>
  </r>
  <r>
    <x v="3"/>
    <x v="3"/>
    <x v="3"/>
    <x v="39"/>
    <n v="1532792.78"/>
  </r>
  <r>
    <x v="8"/>
    <x v="8"/>
    <x v="3"/>
    <x v="39"/>
    <n v="2110695.52"/>
  </r>
  <r>
    <x v="19"/>
    <x v="19"/>
    <x v="3"/>
    <x v="39"/>
    <n v="17882334.739999998"/>
  </r>
  <r>
    <x v="38"/>
    <x v="39"/>
    <x v="3"/>
    <x v="39"/>
    <n v="1242818.49"/>
  </r>
  <r>
    <x v="37"/>
    <x v="38"/>
    <x v="3"/>
    <x v="39"/>
    <n v="31233864.129999999"/>
  </r>
  <r>
    <x v="11"/>
    <x v="11"/>
    <x v="3"/>
    <x v="64"/>
    <n v="-1128541.24"/>
  </r>
  <r>
    <x v="33"/>
    <x v="34"/>
    <x v="3"/>
    <x v="64"/>
    <n v="12017193.109999999"/>
  </r>
  <r>
    <x v="22"/>
    <x v="22"/>
    <x v="3"/>
    <x v="65"/>
    <n v="9721617.0199999996"/>
  </r>
  <r>
    <x v="26"/>
    <x v="26"/>
    <x v="3"/>
    <x v="65"/>
    <n v="36215409.170000002"/>
  </r>
  <r>
    <x v="15"/>
    <x v="15"/>
    <x v="3"/>
    <x v="65"/>
    <n v="6639249.3799999999"/>
  </r>
  <r>
    <x v="2"/>
    <x v="2"/>
    <x v="3"/>
    <x v="65"/>
    <n v="1978460.4"/>
  </r>
  <r>
    <x v="10"/>
    <x v="10"/>
    <x v="3"/>
    <x v="65"/>
    <n v="91315215.819999993"/>
  </r>
  <r>
    <x v="34"/>
    <x v="35"/>
    <x v="3"/>
    <x v="65"/>
    <n v="15701366.51"/>
  </r>
  <r>
    <x v="23"/>
    <x v="23"/>
    <x v="3"/>
    <x v="66"/>
    <n v="9290077.5199999996"/>
  </r>
  <r>
    <x v="33"/>
    <x v="34"/>
    <x v="3"/>
    <x v="66"/>
    <n v="1094784.81"/>
  </r>
  <r>
    <x v="24"/>
    <x v="24"/>
    <x v="3"/>
    <x v="66"/>
    <n v="4424669.91"/>
  </r>
  <r>
    <x v="41"/>
    <x v="42"/>
    <x v="3"/>
    <x v="66"/>
    <n v="772146.66"/>
  </r>
  <r>
    <x v="37"/>
    <x v="38"/>
    <x v="3"/>
    <x v="66"/>
    <n v="5018.8100000000004"/>
  </r>
  <r>
    <x v="40"/>
    <x v="41"/>
    <x v="3"/>
    <x v="66"/>
    <n v="28730880.760000002"/>
  </r>
  <r>
    <x v="25"/>
    <x v="25"/>
    <x v="3"/>
    <x v="66"/>
    <n v="6435134.6900000004"/>
  </r>
  <r>
    <x v="3"/>
    <x v="3"/>
    <x v="3"/>
    <x v="67"/>
    <n v="253325.44"/>
  </r>
  <r>
    <x v="4"/>
    <x v="4"/>
    <x v="3"/>
    <x v="67"/>
    <n v="3494525.78"/>
  </r>
  <r>
    <x v="8"/>
    <x v="8"/>
    <x v="3"/>
    <x v="67"/>
    <n v="1232324.32"/>
  </r>
  <r>
    <x v="24"/>
    <x v="24"/>
    <x v="3"/>
    <x v="67"/>
    <n v="2845045.65"/>
  </r>
  <r>
    <x v="23"/>
    <x v="23"/>
    <x v="4"/>
    <x v="20"/>
    <n v="25371988.120000001"/>
  </r>
  <r>
    <x v="20"/>
    <x v="20"/>
    <x v="4"/>
    <x v="20"/>
    <n v="22235239.780000001"/>
  </r>
  <r>
    <x v="31"/>
    <x v="32"/>
    <x v="4"/>
    <x v="20"/>
    <n v="29975181.829999998"/>
  </r>
  <r>
    <x v="14"/>
    <x v="14"/>
    <x v="4"/>
    <x v="20"/>
    <n v="167115356.22999999"/>
  </r>
  <r>
    <x v="16"/>
    <x v="16"/>
    <x v="4"/>
    <x v="20"/>
    <n v="20289180.629999999"/>
  </r>
  <r>
    <x v="17"/>
    <x v="17"/>
    <x v="4"/>
    <x v="20"/>
    <n v="8423253.4299999997"/>
  </r>
  <r>
    <x v="18"/>
    <x v="18"/>
    <x v="4"/>
    <x v="20"/>
    <n v="4594556.6100000003"/>
  </r>
  <r>
    <x v="10"/>
    <x v="10"/>
    <x v="4"/>
    <x v="20"/>
    <n v="66162565.969999999"/>
  </r>
  <r>
    <x v="11"/>
    <x v="11"/>
    <x v="4"/>
    <x v="45"/>
    <n v="-1029764.77"/>
  </r>
  <r>
    <x v="12"/>
    <x v="12"/>
    <x v="4"/>
    <x v="45"/>
    <n v="8659.77"/>
  </r>
  <r>
    <x v="0"/>
    <x v="0"/>
    <x v="4"/>
    <x v="45"/>
    <n v="11176614.68"/>
  </r>
  <r>
    <x v="28"/>
    <x v="29"/>
    <x v="4"/>
    <x v="45"/>
    <n v="0.54"/>
  </r>
  <r>
    <x v="4"/>
    <x v="4"/>
    <x v="4"/>
    <x v="45"/>
    <n v="1048086.23"/>
  </r>
  <r>
    <x v="6"/>
    <x v="6"/>
    <x v="4"/>
    <x v="45"/>
    <n v="37396053.460000001"/>
  </r>
  <r>
    <x v="8"/>
    <x v="8"/>
    <x v="4"/>
    <x v="45"/>
    <n v="849589.93"/>
  </r>
  <r>
    <x v="30"/>
    <x v="31"/>
    <x v="4"/>
    <x v="68"/>
    <n v="15996837.939999999"/>
  </r>
  <r>
    <x v="11"/>
    <x v="11"/>
    <x v="4"/>
    <x v="69"/>
    <n v="778.98"/>
  </r>
  <r>
    <x v="31"/>
    <x v="32"/>
    <x v="4"/>
    <x v="69"/>
    <n v="13003675.939999999"/>
  </r>
  <r>
    <x v="21"/>
    <x v="21"/>
    <x v="4"/>
    <x v="69"/>
    <n v="8256173.5300000003"/>
  </r>
  <r>
    <x v="6"/>
    <x v="6"/>
    <x v="4"/>
    <x v="69"/>
    <n v="963.2"/>
  </r>
  <r>
    <x v="19"/>
    <x v="19"/>
    <x v="4"/>
    <x v="69"/>
    <n v="3394126.54"/>
  </r>
  <r>
    <x v="13"/>
    <x v="13"/>
    <x v="4"/>
    <x v="6"/>
    <n v="1905084.85"/>
  </r>
  <r>
    <x v="23"/>
    <x v="23"/>
    <x v="4"/>
    <x v="6"/>
    <n v="43145300.640000001"/>
  </r>
  <r>
    <x v="0"/>
    <x v="0"/>
    <x v="4"/>
    <x v="6"/>
    <n v="10314.5"/>
  </r>
  <r>
    <x v="28"/>
    <x v="29"/>
    <x v="4"/>
    <x v="6"/>
    <n v="16441689.09"/>
  </r>
  <r>
    <x v="21"/>
    <x v="21"/>
    <x v="4"/>
    <x v="6"/>
    <n v="3186913.78"/>
  </r>
  <r>
    <x v="4"/>
    <x v="4"/>
    <x v="4"/>
    <x v="6"/>
    <n v="875460.66"/>
  </r>
  <r>
    <x v="36"/>
    <x v="37"/>
    <x v="4"/>
    <x v="6"/>
    <n v="5660842.6200000001"/>
  </r>
  <r>
    <x v="29"/>
    <x v="30"/>
    <x v="4"/>
    <x v="6"/>
    <n v="1606340.01"/>
  </r>
  <r>
    <x v="11"/>
    <x v="11"/>
    <x v="4"/>
    <x v="70"/>
    <n v="3485.12"/>
  </r>
  <r>
    <x v="1"/>
    <x v="1"/>
    <x v="4"/>
    <x v="70"/>
    <n v="4445799.91"/>
  </r>
  <r>
    <x v="15"/>
    <x v="15"/>
    <x v="4"/>
    <x v="70"/>
    <n v="3250544.2"/>
  </r>
  <r>
    <x v="4"/>
    <x v="4"/>
    <x v="4"/>
    <x v="70"/>
    <n v="4147.3599999999997"/>
  </r>
  <r>
    <x v="24"/>
    <x v="24"/>
    <x v="4"/>
    <x v="70"/>
    <n v="4460.8"/>
  </r>
  <r>
    <x v="18"/>
    <x v="18"/>
    <x v="4"/>
    <x v="70"/>
    <n v="3808425.42"/>
  </r>
  <r>
    <x v="13"/>
    <x v="13"/>
    <x v="4"/>
    <x v="52"/>
    <n v="2154246.39"/>
  </r>
  <r>
    <x v="28"/>
    <x v="29"/>
    <x v="4"/>
    <x v="52"/>
    <n v="2441594.14"/>
  </r>
  <r>
    <x v="36"/>
    <x v="37"/>
    <x v="4"/>
    <x v="52"/>
    <n v="11715172.140000001"/>
  </r>
  <r>
    <x v="29"/>
    <x v="30"/>
    <x v="4"/>
    <x v="52"/>
    <n v="2193602.81"/>
  </r>
  <r>
    <x v="39"/>
    <x v="40"/>
    <x v="4"/>
    <x v="52"/>
    <n v="10316576.08"/>
  </r>
  <r>
    <x v="10"/>
    <x v="10"/>
    <x v="4"/>
    <x v="52"/>
    <n v="1.24"/>
  </r>
  <r>
    <x v="35"/>
    <x v="36"/>
    <x v="4"/>
    <x v="71"/>
    <n v="11423.85"/>
  </r>
  <r>
    <x v="11"/>
    <x v="11"/>
    <x v="4"/>
    <x v="71"/>
    <n v="-2017146.57"/>
  </r>
  <r>
    <x v="26"/>
    <x v="26"/>
    <x v="4"/>
    <x v="71"/>
    <n v="6096.59"/>
  </r>
  <r>
    <x v="20"/>
    <x v="20"/>
    <x v="4"/>
    <x v="71"/>
    <n v="28612028.5"/>
  </r>
  <r>
    <x v="21"/>
    <x v="21"/>
    <x v="4"/>
    <x v="71"/>
    <n v="1898495.58"/>
  </r>
  <r>
    <x v="8"/>
    <x v="8"/>
    <x v="4"/>
    <x v="71"/>
    <n v="1115999.28"/>
  </r>
  <r>
    <x v="37"/>
    <x v="38"/>
    <x v="4"/>
    <x v="71"/>
    <n v="24304963.780000001"/>
  </r>
  <r>
    <x v="40"/>
    <x v="41"/>
    <x v="4"/>
    <x v="71"/>
    <n v="8149447.1500000004"/>
  </r>
  <r>
    <x v="10"/>
    <x v="10"/>
    <x v="4"/>
    <x v="71"/>
    <n v="62951274.979999997"/>
  </r>
  <r>
    <x v="12"/>
    <x v="12"/>
    <x v="4"/>
    <x v="36"/>
    <n v="2.82"/>
  </r>
  <r>
    <x v="13"/>
    <x v="13"/>
    <x v="4"/>
    <x v="36"/>
    <n v="5598620.2699999996"/>
  </r>
  <r>
    <x v="20"/>
    <x v="20"/>
    <x v="4"/>
    <x v="36"/>
    <n v="16530571.15"/>
  </r>
  <r>
    <x v="15"/>
    <x v="15"/>
    <x v="4"/>
    <x v="36"/>
    <n v="4873911.3"/>
  </r>
  <r>
    <x v="5"/>
    <x v="5"/>
    <x v="4"/>
    <x v="36"/>
    <n v="3580419.91"/>
  </r>
  <r>
    <x v="19"/>
    <x v="19"/>
    <x v="4"/>
    <x v="36"/>
    <n v="1960413.95"/>
  </r>
  <r>
    <x v="40"/>
    <x v="41"/>
    <x v="4"/>
    <x v="36"/>
    <n v="10732714.08"/>
  </r>
  <r>
    <x v="10"/>
    <x v="10"/>
    <x v="4"/>
    <x v="36"/>
    <n v="32014183.879999999"/>
  </r>
  <r>
    <x v="5"/>
    <x v="5"/>
    <x v="4"/>
    <x v="26"/>
    <n v="6382708.7599999998"/>
  </r>
  <r>
    <x v="29"/>
    <x v="30"/>
    <x v="4"/>
    <x v="26"/>
    <n v="3166286.32"/>
  </r>
  <r>
    <x v="10"/>
    <x v="10"/>
    <x v="4"/>
    <x v="26"/>
    <n v="66117931.07"/>
  </r>
  <r>
    <x v="35"/>
    <x v="36"/>
    <x v="4"/>
    <x v="72"/>
    <n v="4008205.84"/>
  </r>
  <r>
    <x v="30"/>
    <x v="31"/>
    <x v="4"/>
    <x v="72"/>
    <n v="8332858.5800000001"/>
  </r>
  <r>
    <x v="12"/>
    <x v="12"/>
    <x v="4"/>
    <x v="72"/>
    <n v="7694.86"/>
  </r>
  <r>
    <x v="13"/>
    <x v="13"/>
    <x v="4"/>
    <x v="72"/>
    <n v="1734827.44"/>
  </r>
  <r>
    <x v="1"/>
    <x v="1"/>
    <x v="4"/>
    <x v="72"/>
    <n v="7310015.9299999997"/>
  </r>
  <r>
    <x v="15"/>
    <x v="15"/>
    <x v="4"/>
    <x v="72"/>
    <n v="3453525.43"/>
  </r>
  <r>
    <x v="36"/>
    <x v="37"/>
    <x v="4"/>
    <x v="72"/>
    <n v="5545206.4900000002"/>
  </r>
  <r>
    <x v="29"/>
    <x v="30"/>
    <x v="4"/>
    <x v="72"/>
    <n v="797023.76"/>
  </r>
  <r>
    <x v="11"/>
    <x v="11"/>
    <x v="4"/>
    <x v="73"/>
    <n v="-864070.91"/>
  </r>
  <r>
    <x v="13"/>
    <x v="13"/>
    <x v="4"/>
    <x v="73"/>
    <n v="307.23"/>
  </r>
  <r>
    <x v="24"/>
    <x v="24"/>
    <x v="4"/>
    <x v="73"/>
    <n v="9532847"/>
  </r>
  <r>
    <x v="29"/>
    <x v="30"/>
    <x v="4"/>
    <x v="73"/>
    <n v="2721013.09"/>
  </r>
  <r>
    <x v="9"/>
    <x v="9"/>
    <x v="4"/>
    <x v="73"/>
    <n v="14537969.57"/>
  </r>
  <r>
    <x v="35"/>
    <x v="36"/>
    <x v="4"/>
    <x v="74"/>
    <n v="4408390.3499999996"/>
  </r>
  <r>
    <x v="12"/>
    <x v="12"/>
    <x v="4"/>
    <x v="74"/>
    <n v="5307028.6500000004"/>
  </r>
  <r>
    <x v="27"/>
    <x v="27"/>
    <x v="4"/>
    <x v="74"/>
    <n v="60479403.030000001"/>
  </r>
  <r>
    <x v="0"/>
    <x v="0"/>
    <x v="4"/>
    <x v="74"/>
    <n v="5959897.5800000001"/>
  </r>
  <r>
    <x v="14"/>
    <x v="14"/>
    <x v="4"/>
    <x v="74"/>
    <n v="767.57"/>
  </r>
  <r>
    <x v="15"/>
    <x v="15"/>
    <x v="4"/>
    <x v="74"/>
    <n v="3232924.42"/>
  </r>
  <r>
    <x v="21"/>
    <x v="21"/>
    <x v="4"/>
    <x v="74"/>
    <n v="7807398.5599999996"/>
  </r>
  <r>
    <x v="8"/>
    <x v="8"/>
    <x v="4"/>
    <x v="74"/>
    <n v="1499887.58"/>
  </r>
  <r>
    <x v="29"/>
    <x v="30"/>
    <x v="4"/>
    <x v="74"/>
    <n v="1191153.8"/>
  </r>
  <r>
    <x v="37"/>
    <x v="38"/>
    <x v="4"/>
    <x v="74"/>
    <n v="24333692.550000001"/>
  </r>
  <r>
    <x v="20"/>
    <x v="20"/>
    <x v="4"/>
    <x v="11"/>
    <n v="23199724.420000002"/>
  </r>
  <r>
    <x v="21"/>
    <x v="21"/>
    <x v="4"/>
    <x v="11"/>
    <n v="5151865.82"/>
  </r>
  <r>
    <x v="5"/>
    <x v="5"/>
    <x v="4"/>
    <x v="11"/>
    <n v="6290.25"/>
  </r>
  <r>
    <x v="30"/>
    <x v="31"/>
    <x v="4"/>
    <x v="60"/>
    <n v="12195457.880000001"/>
  </r>
  <r>
    <x v="23"/>
    <x v="23"/>
    <x v="4"/>
    <x v="60"/>
    <n v="23381086.57"/>
  </r>
  <r>
    <x v="31"/>
    <x v="32"/>
    <x v="4"/>
    <x v="60"/>
    <n v="10054306.880000001"/>
  </r>
  <r>
    <x v="14"/>
    <x v="14"/>
    <x v="4"/>
    <x v="60"/>
    <n v="439357684.89999998"/>
  </r>
  <r>
    <x v="15"/>
    <x v="15"/>
    <x v="4"/>
    <x v="60"/>
    <n v="2480178.36"/>
  </r>
  <r>
    <x v="21"/>
    <x v="21"/>
    <x v="4"/>
    <x v="60"/>
    <n v="5620155.6399999997"/>
  </r>
  <r>
    <x v="36"/>
    <x v="37"/>
    <x v="4"/>
    <x v="60"/>
    <n v="9665994.2799999993"/>
  </r>
  <r>
    <x v="16"/>
    <x v="16"/>
    <x v="4"/>
    <x v="60"/>
    <n v="6911140.2300000004"/>
  </r>
  <r>
    <x v="8"/>
    <x v="8"/>
    <x v="4"/>
    <x v="60"/>
    <n v="1127722.21"/>
  </r>
  <r>
    <x v="17"/>
    <x v="17"/>
    <x v="4"/>
    <x v="60"/>
    <n v="712172.81"/>
  </r>
  <r>
    <x v="40"/>
    <x v="41"/>
    <x v="4"/>
    <x v="60"/>
    <n v="22513763.780000001"/>
  </r>
  <r>
    <x v="27"/>
    <x v="27"/>
    <x v="4"/>
    <x v="75"/>
    <n v="1882.3"/>
  </r>
  <r>
    <x v="4"/>
    <x v="4"/>
    <x v="4"/>
    <x v="75"/>
    <n v="514379.49"/>
  </r>
  <r>
    <x v="16"/>
    <x v="16"/>
    <x v="4"/>
    <x v="75"/>
    <n v="296.72000000000003"/>
  </r>
  <r>
    <x v="19"/>
    <x v="19"/>
    <x v="4"/>
    <x v="75"/>
    <n v="7703659.75"/>
  </r>
  <r>
    <x v="27"/>
    <x v="27"/>
    <x v="4"/>
    <x v="40"/>
    <n v="164488794.97999999"/>
  </r>
  <r>
    <x v="20"/>
    <x v="20"/>
    <x v="4"/>
    <x v="40"/>
    <n v="13158246.59"/>
  </r>
  <r>
    <x v="19"/>
    <x v="28"/>
    <x v="4"/>
    <x v="40"/>
    <n v="0.44"/>
  </r>
  <r>
    <x v="21"/>
    <x v="21"/>
    <x v="4"/>
    <x v="40"/>
    <n v="4910057.68"/>
  </r>
  <r>
    <x v="16"/>
    <x v="16"/>
    <x v="4"/>
    <x v="40"/>
    <n v="0.6"/>
  </r>
  <r>
    <x v="39"/>
    <x v="40"/>
    <x v="4"/>
    <x v="40"/>
    <n v="8850.27"/>
  </r>
  <r>
    <x v="10"/>
    <x v="10"/>
    <x v="4"/>
    <x v="40"/>
    <n v="49216449.329999998"/>
  </r>
  <r>
    <x v="26"/>
    <x v="26"/>
    <x v="4"/>
    <x v="76"/>
    <n v="60741452.079999998"/>
  </r>
  <r>
    <x v="31"/>
    <x v="32"/>
    <x v="4"/>
    <x v="76"/>
    <n v="15914241.93"/>
  </r>
  <r>
    <x v="19"/>
    <x v="28"/>
    <x v="4"/>
    <x v="76"/>
    <n v="1057237.6200000001"/>
  </r>
  <r>
    <x v="15"/>
    <x v="15"/>
    <x v="4"/>
    <x v="76"/>
    <n v="4263504.93"/>
  </r>
  <r>
    <x v="5"/>
    <x v="5"/>
    <x v="4"/>
    <x v="76"/>
    <n v="2058527.88"/>
  </r>
  <r>
    <x v="16"/>
    <x v="16"/>
    <x v="4"/>
    <x v="76"/>
    <n v="3604348.06"/>
  </r>
  <r>
    <x v="8"/>
    <x v="8"/>
    <x v="4"/>
    <x v="76"/>
    <n v="668111.04"/>
  </r>
  <r>
    <x v="26"/>
    <x v="26"/>
    <x v="4"/>
    <x v="77"/>
    <n v="147260104.49000001"/>
  </r>
  <r>
    <x v="20"/>
    <x v="20"/>
    <x v="4"/>
    <x v="77"/>
    <n v="68484243.890000001"/>
  </r>
  <r>
    <x v="0"/>
    <x v="0"/>
    <x v="4"/>
    <x v="77"/>
    <n v="13472668.029999999"/>
  </r>
  <r>
    <x v="1"/>
    <x v="1"/>
    <x v="4"/>
    <x v="77"/>
    <n v="7681200.3899999997"/>
  </r>
  <r>
    <x v="4"/>
    <x v="4"/>
    <x v="4"/>
    <x v="77"/>
    <n v="1594514.75"/>
  </r>
  <r>
    <x v="6"/>
    <x v="6"/>
    <x v="4"/>
    <x v="77"/>
    <n v="65927990.950000003"/>
  </r>
  <r>
    <x v="36"/>
    <x v="37"/>
    <x v="4"/>
    <x v="77"/>
    <n v="9385723.7300000004"/>
  </r>
  <r>
    <x v="16"/>
    <x v="16"/>
    <x v="4"/>
    <x v="77"/>
    <n v="14783905.939999999"/>
  </r>
  <r>
    <x v="8"/>
    <x v="8"/>
    <x v="4"/>
    <x v="77"/>
    <n v="1042893.72"/>
  </r>
  <r>
    <x v="19"/>
    <x v="19"/>
    <x v="4"/>
    <x v="77"/>
    <n v="969848.81"/>
  </r>
  <r>
    <x v="40"/>
    <x v="41"/>
    <x v="4"/>
    <x v="77"/>
    <n v="994.86"/>
  </r>
  <r>
    <x v="35"/>
    <x v="36"/>
    <x v="4"/>
    <x v="78"/>
    <n v="4468355.17"/>
  </r>
  <r>
    <x v="11"/>
    <x v="11"/>
    <x v="4"/>
    <x v="78"/>
    <n v="-1183256.1200000001"/>
  </r>
  <r>
    <x v="12"/>
    <x v="12"/>
    <x v="4"/>
    <x v="78"/>
    <n v="5707675.04"/>
  </r>
  <r>
    <x v="14"/>
    <x v="14"/>
    <x v="4"/>
    <x v="78"/>
    <n v="240263482.66999999"/>
  </r>
  <r>
    <x v="4"/>
    <x v="4"/>
    <x v="4"/>
    <x v="78"/>
    <n v="455831.49"/>
  </r>
  <r>
    <x v="35"/>
    <x v="36"/>
    <x v="4"/>
    <x v="15"/>
    <n v="4774810.97"/>
  </r>
  <r>
    <x v="13"/>
    <x v="13"/>
    <x v="4"/>
    <x v="15"/>
    <n v="1492009.1"/>
  </r>
  <r>
    <x v="0"/>
    <x v="0"/>
    <x v="4"/>
    <x v="15"/>
    <n v="9338736.3800000008"/>
  </r>
  <r>
    <x v="28"/>
    <x v="29"/>
    <x v="4"/>
    <x v="15"/>
    <n v="16899360.289999999"/>
  </r>
  <r>
    <x v="5"/>
    <x v="5"/>
    <x v="4"/>
    <x v="15"/>
    <n v="14638.88"/>
  </r>
  <r>
    <x v="17"/>
    <x v="17"/>
    <x v="4"/>
    <x v="15"/>
    <n v="5994005.7199999997"/>
  </r>
  <r>
    <x v="18"/>
    <x v="18"/>
    <x v="4"/>
    <x v="15"/>
    <n v="6470333.5999999996"/>
  </r>
  <r>
    <x v="19"/>
    <x v="19"/>
    <x v="4"/>
    <x v="15"/>
    <n v="412.71"/>
  </r>
  <r>
    <x v="37"/>
    <x v="38"/>
    <x v="4"/>
    <x v="15"/>
    <n v="904.97"/>
  </r>
  <r>
    <x v="10"/>
    <x v="10"/>
    <x v="4"/>
    <x v="15"/>
    <n v="11485.25"/>
  </r>
  <r>
    <x v="11"/>
    <x v="11"/>
    <x v="4"/>
    <x v="16"/>
    <n v="-1191823.1499999999"/>
  </r>
  <r>
    <x v="0"/>
    <x v="0"/>
    <x v="4"/>
    <x v="16"/>
    <n v="20101032.73"/>
  </r>
  <r>
    <x v="1"/>
    <x v="1"/>
    <x v="4"/>
    <x v="16"/>
    <n v="4229.91"/>
  </r>
  <r>
    <x v="15"/>
    <x v="15"/>
    <x v="4"/>
    <x v="16"/>
    <n v="4608520.8899999997"/>
  </r>
  <r>
    <x v="17"/>
    <x v="17"/>
    <x v="4"/>
    <x v="16"/>
    <n v="7871865.1900000004"/>
  </r>
  <r>
    <x v="18"/>
    <x v="18"/>
    <x v="4"/>
    <x v="16"/>
    <n v="2680110.14"/>
  </r>
  <r>
    <x v="39"/>
    <x v="40"/>
    <x v="4"/>
    <x v="16"/>
    <n v="2032083.6"/>
  </r>
  <r>
    <x v="40"/>
    <x v="41"/>
    <x v="4"/>
    <x v="16"/>
    <n v="11595520.619999999"/>
  </r>
  <r>
    <x v="31"/>
    <x v="32"/>
    <x v="4"/>
    <x v="65"/>
    <n v="13694663.619999999"/>
  </r>
  <r>
    <x v="0"/>
    <x v="0"/>
    <x v="4"/>
    <x v="65"/>
    <n v="17490198.809999999"/>
  </r>
  <r>
    <x v="15"/>
    <x v="15"/>
    <x v="4"/>
    <x v="65"/>
    <n v="3255132.69"/>
  </r>
  <r>
    <x v="4"/>
    <x v="4"/>
    <x v="4"/>
    <x v="65"/>
    <n v="1997445.09"/>
  </r>
  <r>
    <x v="6"/>
    <x v="6"/>
    <x v="4"/>
    <x v="65"/>
    <n v="62539648.990000002"/>
  </r>
  <r>
    <x v="16"/>
    <x v="16"/>
    <x v="4"/>
    <x v="65"/>
    <n v="15929.47"/>
  </r>
  <r>
    <x v="8"/>
    <x v="8"/>
    <x v="4"/>
    <x v="65"/>
    <n v="1148298.79"/>
  </r>
  <r>
    <x v="17"/>
    <x v="17"/>
    <x v="4"/>
    <x v="65"/>
    <n v="1960954.26"/>
  </r>
  <r>
    <x v="29"/>
    <x v="30"/>
    <x v="4"/>
    <x v="65"/>
    <n v="789044.86"/>
  </r>
  <r>
    <x v="39"/>
    <x v="40"/>
    <x v="4"/>
    <x v="65"/>
    <n v="5786554.6200000001"/>
  </r>
  <r>
    <x v="35"/>
    <x v="36"/>
    <x v="4"/>
    <x v="66"/>
    <n v="2532967.62"/>
  </r>
  <r>
    <x v="26"/>
    <x v="26"/>
    <x v="4"/>
    <x v="66"/>
    <n v="67699501.120000005"/>
  </r>
  <r>
    <x v="20"/>
    <x v="20"/>
    <x v="4"/>
    <x v="66"/>
    <n v="28099210.16"/>
  </r>
  <r>
    <x v="36"/>
    <x v="37"/>
    <x v="4"/>
    <x v="66"/>
    <n v="10377626.060000001"/>
  </r>
  <r>
    <x v="16"/>
    <x v="16"/>
    <x v="4"/>
    <x v="66"/>
    <n v="2103807.6800000002"/>
  </r>
  <r>
    <x v="19"/>
    <x v="19"/>
    <x v="4"/>
    <x v="66"/>
    <n v="3871554.77"/>
  </r>
  <r>
    <x v="37"/>
    <x v="38"/>
    <x v="4"/>
    <x v="66"/>
    <n v="1410.78"/>
  </r>
  <r>
    <x v="30"/>
    <x v="31"/>
    <x v="4"/>
    <x v="79"/>
    <n v="0.02"/>
  </r>
  <r>
    <x v="5"/>
    <x v="5"/>
    <x v="4"/>
    <x v="79"/>
    <n v="3374924.09"/>
  </r>
  <r>
    <x v="24"/>
    <x v="24"/>
    <x v="4"/>
    <x v="79"/>
    <n v="22225898.34"/>
  </r>
  <r>
    <x v="18"/>
    <x v="18"/>
    <x v="4"/>
    <x v="79"/>
    <n v="6668533.79"/>
  </r>
  <r>
    <x v="9"/>
    <x v="9"/>
    <x v="4"/>
    <x v="79"/>
    <n v="2120.98"/>
  </r>
  <r>
    <x v="19"/>
    <x v="19"/>
    <x v="4"/>
    <x v="79"/>
    <n v="5420813.9400000004"/>
  </r>
  <r>
    <x v="37"/>
    <x v="38"/>
    <x v="4"/>
    <x v="79"/>
    <n v="47056747.890000001"/>
  </r>
  <r>
    <x v="39"/>
    <x v="40"/>
    <x v="4"/>
    <x v="79"/>
    <n v="5510864.6399999997"/>
  </r>
  <r>
    <x v="40"/>
    <x v="41"/>
    <x v="4"/>
    <x v="79"/>
    <n v="8844679.2799999993"/>
  </r>
  <r>
    <x v="35"/>
    <x v="36"/>
    <x v="4"/>
    <x v="67"/>
    <n v="3770628.92"/>
  </r>
  <r>
    <x v="1"/>
    <x v="1"/>
    <x v="4"/>
    <x v="67"/>
    <n v="6960108.5199999996"/>
  </r>
  <r>
    <x v="19"/>
    <x v="28"/>
    <x v="4"/>
    <x v="67"/>
    <n v="21046979.890000001"/>
  </r>
  <r>
    <x v="36"/>
    <x v="37"/>
    <x v="4"/>
    <x v="67"/>
    <n v="13443291.75"/>
  </r>
  <r>
    <x v="29"/>
    <x v="30"/>
    <x v="4"/>
    <x v="67"/>
    <n v="0.05"/>
  </r>
  <r>
    <x v="9"/>
    <x v="9"/>
    <x v="4"/>
    <x v="67"/>
    <n v="9391912.6099999994"/>
  </r>
  <r>
    <x v="22"/>
    <x v="22"/>
    <x v="5"/>
    <x v="80"/>
    <n v="24949916.309999999"/>
  </r>
  <r>
    <x v="27"/>
    <x v="27"/>
    <x v="5"/>
    <x v="80"/>
    <n v="22928487.760000002"/>
  </r>
  <r>
    <x v="31"/>
    <x v="32"/>
    <x v="5"/>
    <x v="80"/>
    <n v="5779.52"/>
  </r>
  <r>
    <x v="32"/>
    <x v="33"/>
    <x v="5"/>
    <x v="80"/>
    <n v="2084562.71"/>
  </r>
  <r>
    <x v="16"/>
    <x v="16"/>
    <x v="5"/>
    <x v="80"/>
    <n v="7458616.3799999999"/>
  </r>
  <r>
    <x v="7"/>
    <x v="7"/>
    <x v="5"/>
    <x v="80"/>
    <n v="1131.1199999999999"/>
  </r>
  <r>
    <x v="33"/>
    <x v="34"/>
    <x v="5"/>
    <x v="80"/>
    <n v="5611821.7199999997"/>
  </r>
  <r>
    <x v="24"/>
    <x v="24"/>
    <x v="5"/>
    <x v="80"/>
    <n v="3313921.19"/>
  </r>
  <r>
    <x v="19"/>
    <x v="19"/>
    <x v="5"/>
    <x v="80"/>
    <n v="441650.98"/>
  </r>
  <r>
    <x v="38"/>
    <x v="39"/>
    <x v="5"/>
    <x v="80"/>
    <n v="1647627.79"/>
  </r>
  <r>
    <x v="10"/>
    <x v="10"/>
    <x v="5"/>
    <x v="80"/>
    <n v="78613769.049999997"/>
  </r>
  <r>
    <x v="12"/>
    <x v="12"/>
    <x v="5"/>
    <x v="81"/>
    <n v="6001762.4000000004"/>
  </r>
  <r>
    <x v="23"/>
    <x v="23"/>
    <x v="5"/>
    <x v="81"/>
    <n v="1.05"/>
  </r>
  <r>
    <x v="27"/>
    <x v="27"/>
    <x v="5"/>
    <x v="81"/>
    <n v="5642263.5599999996"/>
  </r>
  <r>
    <x v="1"/>
    <x v="1"/>
    <x v="5"/>
    <x v="81"/>
    <n v="5211341.76"/>
  </r>
  <r>
    <x v="3"/>
    <x v="3"/>
    <x v="5"/>
    <x v="81"/>
    <n v="281835.2"/>
  </r>
  <r>
    <x v="4"/>
    <x v="4"/>
    <x v="5"/>
    <x v="81"/>
    <n v="9167503.8399999999"/>
  </r>
  <r>
    <x v="32"/>
    <x v="33"/>
    <x v="5"/>
    <x v="81"/>
    <n v="1828086.85"/>
  </r>
  <r>
    <x v="7"/>
    <x v="7"/>
    <x v="5"/>
    <x v="81"/>
    <n v="242.03"/>
  </r>
  <r>
    <x v="24"/>
    <x v="24"/>
    <x v="5"/>
    <x v="81"/>
    <n v="1133.1500000000001"/>
  </r>
  <r>
    <x v="29"/>
    <x v="30"/>
    <x v="5"/>
    <x v="81"/>
    <n v="1972893.5"/>
  </r>
  <r>
    <x v="37"/>
    <x v="38"/>
    <x v="5"/>
    <x v="81"/>
    <n v="21343254.57"/>
  </r>
  <r>
    <x v="10"/>
    <x v="10"/>
    <x v="5"/>
    <x v="81"/>
    <n v="671.58"/>
  </r>
  <r>
    <x v="23"/>
    <x v="23"/>
    <x v="5"/>
    <x v="20"/>
    <n v="11727497.25"/>
  </r>
  <r>
    <x v="27"/>
    <x v="27"/>
    <x v="5"/>
    <x v="20"/>
    <n v="20221238.66"/>
  </r>
  <r>
    <x v="31"/>
    <x v="32"/>
    <x v="5"/>
    <x v="20"/>
    <n v="7995.9"/>
  </r>
  <r>
    <x v="14"/>
    <x v="14"/>
    <x v="5"/>
    <x v="20"/>
    <n v="8577.6200000000008"/>
  </r>
  <r>
    <x v="7"/>
    <x v="7"/>
    <x v="5"/>
    <x v="20"/>
    <n v="4738645.3099999996"/>
  </r>
  <r>
    <x v="33"/>
    <x v="34"/>
    <x v="5"/>
    <x v="20"/>
    <n v="4314974.2300000004"/>
  </r>
  <r>
    <x v="24"/>
    <x v="24"/>
    <x v="5"/>
    <x v="20"/>
    <n v="4082722.5"/>
  </r>
  <r>
    <x v="18"/>
    <x v="18"/>
    <x v="5"/>
    <x v="20"/>
    <n v="6425368.2699999996"/>
  </r>
  <r>
    <x v="9"/>
    <x v="9"/>
    <x v="5"/>
    <x v="20"/>
    <n v="2163278.89"/>
  </r>
  <r>
    <x v="34"/>
    <x v="35"/>
    <x v="5"/>
    <x v="20"/>
    <n v="893.85"/>
  </r>
  <r>
    <x v="13"/>
    <x v="13"/>
    <x v="5"/>
    <x v="32"/>
    <n v="1347062.82"/>
  </r>
  <r>
    <x v="22"/>
    <x v="22"/>
    <x v="5"/>
    <x v="32"/>
    <n v="0.91"/>
  </r>
  <r>
    <x v="23"/>
    <x v="23"/>
    <x v="5"/>
    <x v="32"/>
    <n v="13761295.960000001"/>
  </r>
  <r>
    <x v="27"/>
    <x v="27"/>
    <x v="5"/>
    <x v="32"/>
    <n v="943.15"/>
  </r>
  <r>
    <x v="31"/>
    <x v="32"/>
    <x v="5"/>
    <x v="32"/>
    <n v="14639312.369999999"/>
  </r>
  <r>
    <x v="1"/>
    <x v="1"/>
    <x v="5"/>
    <x v="32"/>
    <n v="550.21"/>
  </r>
  <r>
    <x v="41"/>
    <x v="42"/>
    <x v="5"/>
    <x v="32"/>
    <n v="1222886.51"/>
  </r>
  <r>
    <x v="29"/>
    <x v="30"/>
    <x v="5"/>
    <x v="32"/>
    <n v="1104342.28"/>
  </r>
  <r>
    <x v="38"/>
    <x v="39"/>
    <x v="5"/>
    <x v="32"/>
    <n v="1567498.6"/>
  </r>
  <r>
    <x v="37"/>
    <x v="38"/>
    <x v="5"/>
    <x v="32"/>
    <n v="2014407.94"/>
  </r>
  <r>
    <x v="10"/>
    <x v="10"/>
    <x v="5"/>
    <x v="32"/>
    <n v="0.04"/>
  </r>
  <r>
    <x v="26"/>
    <x v="26"/>
    <x v="5"/>
    <x v="45"/>
    <n v="69361051.390000001"/>
  </r>
  <r>
    <x v="0"/>
    <x v="0"/>
    <x v="5"/>
    <x v="45"/>
    <n v="25934757.98"/>
  </r>
  <r>
    <x v="3"/>
    <x v="3"/>
    <x v="5"/>
    <x v="45"/>
    <n v="0.65"/>
  </r>
  <r>
    <x v="33"/>
    <x v="34"/>
    <x v="5"/>
    <x v="45"/>
    <n v="5881819.8399999999"/>
  </r>
  <r>
    <x v="41"/>
    <x v="42"/>
    <x v="5"/>
    <x v="45"/>
    <n v="2069562.69"/>
  </r>
  <r>
    <x v="29"/>
    <x v="30"/>
    <x v="5"/>
    <x v="45"/>
    <n v="1278243.4099999999"/>
  </r>
  <r>
    <x v="34"/>
    <x v="35"/>
    <x v="5"/>
    <x v="45"/>
    <n v="15966043.720000001"/>
  </r>
  <r>
    <x v="27"/>
    <x v="27"/>
    <x v="5"/>
    <x v="82"/>
    <n v="11466928.460000001"/>
  </r>
  <r>
    <x v="19"/>
    <x v="28"/>
    <x v="5"/>
    <x v="82"/>
    <n v="13967.75"/>
  </r>
  <r>
    <x v="3"/>
    <x v="3"/>
    <x v="5"/>
    <x v="82"/>
    <n v="340005.38"/>
  </r>
  <r>
    <x v="7"/>
    <x v="7"/>
    <x v="5"/>
    <x v="82"/>
    <n v="3438491.05"/>
  </r>
  <r>
    <x v="29"/>
    <x v="30"/>
    <x v="5"/>
    <x v="82"/>
    <n v="939243.03"/>
  </r>
  <r>
    <x v="19"/>
    <x v="19"/>
    <x v="5"/>
    <x v="82"/>
    <n v="2423316.27"/>
  </r>
  <r>
    <x v="37"/>
    <x v="38"/>
    <x v="5"/>
    <x v="82"/>
    <n v="6353192.0999999996"/>
  </r>
  <r>
    <x v="10"/>
    <x v="10"/>
    <x v="5"/>
    <x v="82"/>
    <n v="40385569.439999998"/>
  </r>
  <r>
    <x v="12"/>
    <x v="12"/>
    <x v="5"/>
    <x v="83"/>
    <n v="4611942.93"/>
  </r>
  <r>
    <x v="13"/>
    <x v="13"/>
    <x v="5"/>
    <x v="83"/>
    <n v="2245.06"/>
  </r>
  <r>
    <x v="31"/>
    <x v="32"/>
    <x v="5"/>
    <x v="83"/>
    <n v="2531466.92"/>
  </r>
  <r>
    <x v="1"/>
    <x v="1"/>
    <x v="5"/>
    <x v="83"/>
    <n v="12407335.130000001"/>
  </r>
  <r>
    <x v="14"/>
    <x v="14"/>
    <x v="5"/>
    <x v="83"/>
    <n v="105624771.59999999"/>
  </r>
  <r>
    <x v="28"/>
    <x v="29"/>
    <x v="5"/>
    <x v="83"/>
    <n v="6558025.04"/>
  </r>
  <r>
    <x v="3"/>
    <x v="3"/>
    <x v="5"/>
    <x v="83"/>
    <n v="302333.32"/>
  </r>
  <r>
    <x v="4"/>
    <x v="4"/>
    <x v="5"/>
    <x v="83"/>
    <n v="0.98"/>
  </r>
  <r>
    <x v="6"/>
    <x v="6"/>
    <x v="5"/>
    <x v="83"/>
    <n v="34870625.710000001"/>
  </r>
  <r>
    <x v="7"/>
    <x v="7"/>
    <x v="5"/>
    <x v="83"/>
    <n v="2012741.13"/>
  </r>
  <r>
    <x v="25"/>
    <x v="25"/>
    <x v="5"/>
    <x v="83"/>
    <n v="5913384.7300000004"/>
  </r>
  <r>
    <x v="14"/>
    <x v="14"/>
    <x v="5"/>
    <x v="5"/>
    <n v="288136216.69"/>
  </r>
  <r>
    <x v="28"/>
    <x v="29"/>
    <x v="5"/>
    <x v="5"/>
    <n v="7224897.2000000002"/>
  </r>
  <r>
    <x v="6"/>
    <x v="6"/>
    <x v="5"/>
    <x v="5"/>
    <n v="8683.94"/>
  </r>
  <r>
    <x v="24"/>
    <x v="24"/>
    <x v="5"/>
    <x v="5"/>
    <n v="2360408.5499999998"/>
  </r>
  <r>
    <x v="19"/>
    <x v="19"/>
    <x v="5"/>
    <x v="5"/>
    <n v="1173909.71"/>
  </r>
  <r>
    <x v="37"/>
    <x v="38"/>
    <x v="5"/>
    <x v="5"/>
    <n v="2160866.2400000002"/>
  </r>
  <r>
    <x v="10"/>
    <x v="10"/>
    <x v="5"/>
    <x v="5"/>
    <n v="321.14"/>
  </r>
  <r>
    <x v="11"/>
    <x v="11"/>
    <x v="5"/>
    <x v="84"/>
    <n v="-1676898.89"/>
  </r>
  <r>
    <x v="0"/>
    <x v="0"/>
    <x v="5"/>
    <x v="84"/>
    <n v="29303736.559999999"/>
  </r>
  <r>
    <x v="1"/>
    <x v="1"/>
    <x v="5"/>
    <x v="84"/>
    <n v="1734003.23"/>
  </r>
  <r>
    <x v="19"/>
    <x v="28"/>
    <x v="5"/>
    <x v="84"/>
    <n v="17115189.699999999"/>
  </r>
  <r>
    <x v="21"/>
    <x v="21"/>
    <x v="5"/>
    <x v="84"/>
    <n v="4578537.59"/>
  </r>
  <r>
    <x v="5"/>
    <x v="5"/>
    <x v="5"/>
    <x v="84"/>
    <n v="4653075.6399999997"/>
  </r>
  <r>
    <x v="8"/>
    <x v="8"/>
    <x v="5"/>
    <x v="84"/>
    <n v="707440.47"/>
  </r>
  <r>
    <x v="41"/>
    <x v="42"/>
    <x v="5"/>
    <x v="84"/>
    <n v="2816302.18"/>
  </r>
  <r>
    <x v="9"/>
    <x v="9"/>
    <x v="5"/>
    <x v="84"/>
    <n v="1261385.3400000001"/>
  </r>
  <r>
    <x v="34"/>
    <x v="35"/>
    <x v="5"/>
    <x v="84"/>
    <n v="7959189.1500000004"/>
  </r>
  <r>
    <x v="25"/>
    <x v="25"/>
    <x v="5"/>
    <x v="84"/>
    <n v="4342154.42"/>
  </r>
  <r>
    <x v="13"/>
    <x v="13"/>
    <x v="5"/>
    <x v="33"/>
    <n v="6397091.5999999996"/>
  </r>
  <r>
    <x v="20"/>
    <x v="20"/>
    <x v="5"/>
    <x v="33"/>
    <n v="28632995.280000001"/>
  </r>
  <r>
    <x v="5"/>
    <x v="5"/>
    <x v="5"/>
    <x v="33"/>
    <n v="1692.97"/>
  </r>
  <r>
    <x v="8"/>
    <x v="8"/>
    <x v="5"/>
    <x v="33"/>
    <n v="711680.71"/>
  </r>
  <r>
    <x v="29"/>
    <x v="30"/>
    <x v="5"/>
    <x v="33"/>
    <n v="3069134.92"/>
  </r>
  <r>
    <x v="38"/>
    <x v="39"/>
    <x v="5"/>
    <x v="33"/>
    <n v="1184.47"/>
  </r>
  <r>
    <x v="11"/>
    <x v="11"/>
    <x v="5"/>
    <x v="85"/>
    <n v="-3980427.33"/>
  </r>
  <r>
    <x v="22"/>
    <x v="22"/>
    <x v="5"/>
    <x v="85"/>
    <n v="15542425.67"/>
  </r>
  <r>
    <x v="0"/>
    <x v="0"/>
    <x v="5"/>
    <x v="85"/>
    <n v="1345.83"/>
  </r>
  <r>
    <x v="1"/>
    <x v="1"/>
    <x v="5"/>
    <x v="85"/>
    <n v="619.91999999999996"/>
  </r>
  <r>
    <x v="14"/>
    <x v="14"/>
    <x v="5"/>
    <x v="85"/>
    <n v="103873178.17"/>
  </r>
  <r>
    <x v="3"/>
    <x v="3"/>
    <x v="5"/>
    <x v="85"/>
    <n v="848812.72"/>
  </r>
  <r>
    <x v="4"/>
    <x v="4"/>
    <x v="5"/>
    <x v="85"/>
    <n v="8766853.4199999999"/>
  </r>
  <r>
    <x v="5"/>
    <x v="5"/>
    <x v="5"/>
    <x v="85"/>
    <n v="1849854.13"/>
  </r>
  <r>
    <x v="16"/>
    <x v="16"/>
    <x v="5"/>
    <x v="85"/>
    <n v="17995479.449999999"/>
  </r>
  <r>
    <x v="8"/>
    <x v="8"/>
    <x v="5"/>
    <x v="85"/>
    <n v="420227.21"/>
  </r>
  <r>
    <x v="41"/>
    <x v="42"/>
    <x v="5"/>
    <x v="85"/>
    <n v="1292221.05"/>
  </r>
  <r>
    <x v="18"/>
    <x v="18"/>
    <x v="5"/>
    <x v="85"/>
    <n v="3730.82"/>
  </r>
  <r>
    <x v="19"/>
    <x v="19"/>
    <x v="5"/>
    <x v="85"/>
    <n v="2994451.86"/>
  </r>
  <r>
    <x v="37"/>
    <x v="38"/>
    <x v="5"/>
    <x v="85"/>
    <n v="15562118.9"/>
  </r>
  <r>
    <x v="10"/>
    <x v="10"/>
    <x v="5"/>
    <x v="85"/>
    <n v="45990891.240000002"/>
  </r>
  <r>
    <x v="34"/>
    <x v="35"/>
    <x v="5"/>
    <x v="85"/>
    <n v="17084265.309999999"/>
  </r>
  <r>
    <x v="11"/>
    <x v="11"/>
    <x v="5"/>
    <x v="10"/>
    <n v="-1225598.68"/>
  </r>
  <r>
    <x v="13"/>
    <x v="13"/>
    <x v="5"/>
    <x v="10"/>
    <n v="1283071.6000000001"/>
  </r>
  <r>
    <x v="27"/>
    <x v="27"/>
    <x v="5"/>
    <x v="10"/>
    <n v="30668974.52"/>
  </r>
  <r>
    <x v="1"/>
    <x v="1"/>
    <x v="5"/>
    <x v="10"/>
    <n v="1563.29"/>
  </r>
  <r>
    <x v="3"/>
    <x v="3"/>
    <x v="5"/>
    <x v="10"/>
    <n v="9371.34"/>
  </r>
  <r>
    <x v="5"/>
    <x v="5"/>
    <x v="5"/>
    <x v="10"/>
    <n v="0.02"/>
  </r>
  <r>
    <x v="6"/>
    <x v="6"/>
    <x v="5"/>
    <x v="10"/>
    <n v="49931882.25"/>
  </r>
  <r>
    <x v="32"/>
    <x v="33"/>
    <x v="5"/>
    <x v="10"/>
    <n v="1722934.86"/>
  </r>
  <r>
    <x v="16"/>
    <x v="16"/>
    <x v="5"/>
    <x v="10"/>
    <n v="2669438.4"/>
  </r>
  <r>
    <x v="7"/>
    <x v="7"/>
    <x v="5"/>
    <x v="10"/>
    <n v="2137112.25"/>
  </r>
  <r>
    <x v="9"/>
    <x v="9"/>
    <x v="5"/>
    <x v="10"/>
    <n v="9438.7999999999993"/>
  </r>
  <r>
    <x v="19"/>
    <x v="19"/>
    <x v="5"/>
    <x v="10"/>
    <n v="5413903.4800000004"/>
  </r>
  <r>
    <x v="23"/>
    <x v="23"/>
    <x v="5"/>
    <x v="86"/>
    <n v="3190769.2"/>
  </r>
  <r>
    <x v="20"/>
    <x v="20"/>
    <x v="5"/>
    <x v="86"/>
    <n v="29025864.789999999"/>
  </r>
  <r>
    <x v="21"/>
    <x v="21"/>
    <x v="5"/>
    <x v="86"/>
    <n v="4190461.84"/>
  </r>
  <r>
    <x v="7"/>
    <x v="7"/>
    <x v="5"/>
    <x v="86"/>
    <n v="2810072.77"/>
  </r>
  <r>
    <x v="33"/>
    <x v="34"/>
    <x v="5"/>
    <x v="86"/>
    <n v="4631660"/>
  </r>
  <r>
    <x v="24"/>
    <x v="24"/>
    <x v="5"/>
    <x v="86"/>
    <n v="4208876.54"/>
  </r>
  <r>
    <x v="41"/>
    <x v="42"/>
    <x v="5"/>
    <x v="86"/>
    <n v="679496.27"/>
  </r>
  <r>
    <x v="29"/>
    <x v="30"/>
    <x v="5"/>
    <x v="86"/>
    <n v="899975.48"/>
  </r>
  <r>
    <x v="9"/>
    <x v="9"/>
    <x v="5"/>
    <x v="86"/>
    <n v="3293317.54"/>
  </r>
  <r>
    <x v="34"/>
    <x v="35"/>
    <x v="5"/>
    <x v="86"/>
    <n v="6476598.7699999996"/>
  </r>
  <r>
    <x v="13"/>
    <x v="13"/>
    <x v="5"/>
    <x v="87"/>
    <n v="1503242.34"/>
  </r>
  <r>
    <x v="20"/>
    <x v="20"/>
    <x v="5"/>
    <x v="87"/>
    <n v="20934483.670000002"/>
  </r>
  <r>
    <x v="31"/>
    <x v="32"/>
    <x v="5"/>
    <x v="87"/>
    <n v="7047918.9800000004"/>
  </r>
  <r>
    <x v="21"/>
    <x v="21"/>
    <x v="5"/>
    <x v="87"/>
    <n v="2461471.86"/>
  </r>
  <r>
    <x v="32"/>
    <x v="33"/>
    <x v="5"/>
    <x v="87"/>
    <n v="2245905.4900000002"/>
  </r>
  <r>
    <x v="7"/>
    <x v="7"/>
    <x v="5"/>
    <x v="87"/>
    <n v="4640809.8"/>
  </r>
  <r>
    <x v="33"/>
    <x v="34"/>
    <x v="5"/>
    <x v="87"/>
    <n v="3439849.32"/>
  </r>
  <r>
    <x v="8"/>
    <x v="8"/>
    <x v="5"/>
    <x v="87"/>
    <n v="6046.34"/>
  </r>
  <r>
    <x v="24"/>
    <x v="24"/>
    <x v="5"/>
    <x v="87"/>
    <n v="1263469.48"/>
  </r>
  <r>
    <x v="18"/>
    <x v="18"/>
    <x v="5"/>
    <x v="87"/>
    <n v="0.66"/>
  </r>
  <r>
    <x v="37"/>
    <x v="38"/>
    <x v="5"/>
    <x v="87"/>
    <n v="9474192.8399999999"/>
  </r>
  <r>
    <x v="10"/>
    <x v="10"/>
    <x v="5"/>
    <x v="87"/>
    <n v="24972147.899999999"/>
  </r>
  <r>
    <x v="34"/>
    <x v="35"/>
    <x v="5"/>
    <x v="87"/>
    <n v="10841640.9"/>
  </r>
  <r>
    <x v="12"/>
    <x v="12"/>
    <x v="5"/>
    <x v="75"/>
    <n v="5559903.3499999996"/>
  </r>
  <r>
    <x v="23"/>
    <x v="23"/>
    <x v="5"/>
    <x v="75"/>
    <n v="5960970.6699999999"/>
  </r>
  <r>
    <x v="31"/>
    <x v="32"/>
    <x v="5"/>
    <x v="75"/>
    <n v="10456432.66"/>
  </r>
  <r>
    <x v="3"/>
    <x v="3"/>
    <x v="5"/>
    <x v="75"/>
    <n v="538110.42000000004"/>
  </r>
  <r>
    <x v="5"/>
    <x v="5"/>
    <x v="5"/>
    <x v="75"/>
    <n v="3022593.15"/>
  </r>
  <r>
    <x v="16"/>
    <x v="16"/>
    <x v="5"/>
    <x v="75"/>
    <n v="0.25"/>
  </r>
  <r>
    <x v="33"/>
    <x v="34"/>
    <x v="5"/>
    <x v="75"/>
    <n v="2998674.5"/>
  </r>
  <r>
    <x v="37"/>
    <x v="38"/>
    <x v="5"/>
    <x v="75"/>
    <n v="4706643.12"/>
  </r>
  <r>
    <x v="25"/>
    <x v="25"/>
    <x v="5"/>
    <x v="75"/>
    <n v="3164779.48"/>
  </r>
  <r>
    <x v="13"/>
    <x v="13"/>
    <x v="5"/>
    <x v="40"/>
    <n v="1634850.37"/>
  </r>
  <r>
    <x v="23"/>
    <x v="23"/>
    <x v="5"/>
    <x v="40"/>
    <n v="6139372.3399999999"/>
  </r>
  <r>
    <x v="27"/>
    <x v="27"/>
    <x v="5"/>
    <x v="40"/>
    <n v="31584707.23"/>
  </r>
  <r>
    <x v="31"/>
    <x v="32"/>
    <x v="5"/>
    <x v="40"/>
    <n v="17975415.050000001"/>
  </r>
  <r>
    <x v="14"/>
    <x v="14"/>
    <x v="5"/>
    <x v="40"/>
    <n v="1547.35"/>
  </r>
  <r>
    <x v="28"/>
    <x v="29"/>
    <x v="5"/>
    <x v="40"/>
    <n v="2632842.38"/>
  </r>
  <r>
    <x v="21"/>
    <x v="21"/>
    <x v="5"/>
    <x v="40"/>
    <n v="2094330.9"/>
  </r>
  <r>
    <x v="5"/>
    <x v="5"/>
    <x v="5"/>
    <x v="40"/>
    <n v="947090.66"/>
  </r>
  <r>
    <x v="6"/>
    <x v="6"/>
    <x v="5"/>
    <x v="40"/>
    <n v="18102506.07"/>
  </r>
  <r>
    <x v="33"/>
    <x v="34"/>
    <x v="5"/>
    <x v="40"/>
    <n v="5669247.0899999999"/>
  </r>
  <r>
    <x v="8"/>
    <x v="8"/>
    <x v="5"/>
    <x v="40"/>
    <n v="7621.43"/>
  </r>
  <r>
    <x v="24"/>
    <x v="24"/>
    <x v="5"/>
    <x v="40"/>
    <n v="5912796.4500000002"/>
  </r>
  <r>
    <x v="18"/>
    <x v="18"/>
    <x v="5"/>
    <x v="40"/>
    <n v="1.24"/>
  </r>
  <r>
    <x v="29"/>
    <x v="30"/>
    <x v="5"/>
    <x v="40"/>
    <n v="382943.38"/>
  </r>
  <r>
    <x v="9"/>
    <x v="9"/>
    <x v="5"/>
    <x v="40"/>
    <n v="2790678.76"/>
  </r>
  <r>
    <x v="12"/>
    <x v="12"/>
    <x v="5"/>
    <x v="77"/>
    <n v="8564726.8100000005"/>
  </r>
  <r>
    <x v="26"/>
    <x v="26"/>
    <x v="5"/>
    <x v="77"/>
    <n v="806.58"/>
  </r>
  <r>
    <x v="20"/>
    <x v="20"/>
    <x v="5"/>
    <x v="77"/>
    <n v="23106508.149999999"/>
  </r>
  <r>
    <x v="14"/>
    <x v="14"/>
    <x v="5"/>
    <x v="77"/>
    <n v="109487177.56999999"/>
  </r>
  <r>
    <x v="32"/>
    <x v="33"/>
    <x v="5"/>
    <x v="77"/>
    <n v="2393671.12"/>
  </r>
  <r>
    <x v="33"/>
    <x v="34"/>
    <x v="5"/>
    <x v="77"/>
    <n v="11036.87"/>
  </r>
  <r>
    <x v="8"/>
    <x v="8"/>
    <x v="5"/>
    <x v="77"/>
    <n v="1001402.41"/>
  </r>
  <r>
    <x v="9"/>
    <x v="9"/>
    <x v="5"/>
    <x v="77"/>
    <n v="1720387.36"/>
  </r>
  <r>
    <x v="19"/>
    <x v="19"/>
    <x v="5"/>
    <x v="77"/>
    <n v="2297892.0299999998"/>
  </r>
  <r>
    <x v="38"/>
    <x v="39"/>
    <x v="5"/>
    <x v="77"/>
    <n v="2342916.59"/>
  </r>
  <r>
    <x v="34"/>
    <x v="35"/>
    <x v="5"/>
    <x v="77"/>
    <n v="6596027.9100000001"/>
  </r>
  <r>
    <x v="12"/>
    <x v="12"/>
    <x v="5"/>
    <x v="64"/>
    <n v="4280274.75"/>
  </r>
  <r>
    <x v="26"/>
    <x v="26"/>
    <x v="5"/>
    <x v="64"/>
    <n v="60909810.170000002"/>
  </r>
  <r>
    <x v="27"/>
    <x v="27"/>
    <x v="5"/>
    <x v="64"/>
    <n v="27898412.399999999"/>
  </r>
  <r>
    <x v="31"/>
    <x v="32"/>
    <x v="5"/>
    <x v="64"/>
    <n v="6024027.6299999999"/>
  </r>
  <r>
    <x v="14"/>
    <x v="14"/>
    <x v="5"/>
    <x v="64"/>
    <n v="17131.8"/>
  </r>
  <r>
    <x v="3"/>
    <x v="3"/>
    <x v="5"/>
    <x v="64"/>
    <n v="447035.95"/>
  </r>
  <r>
    <x v="6"/>
    <x v="6"/>
    <x v="5"/>
    <x v="64"/>
    <n v="23177878.940000001"/>
  </r>
  <r>
    <x v="32"/>
    <x v="33"/>
    <x v="5"/>
    <x v="64"/>
    <n v="3060185.87"/>
  </r>
  <r>
    <x v="16"/>
    <x v="16"/>
    <x v="5"/>
    <x v="64"/>
    <n v="5609795.0300000003"/>
  </r>
  <r>
    <x v="18"/>
    <x v="18"/>
    <x v="5"/>
    <x v="64"/>
    <n v="16789.87"/>
  </r>
  <r>
    <x v="9"/>
    <x v="9"/>
    <x v="5"/>
    <x v="64"/>
    <n v="938158.67"/>
  </r>
  <r>
    <x v="23"/>
    <x v="23"/>
    <x v="5"/>
    <x v="16"/>
    <n v="7740972.7599999998"/>
  </r>
  <r>
    <x v="20"/>
    <x v="20"/>
    <x v="5"/>
    <x v="16"/>
    <n v="26288286.030000001"/>
  </r>
  <r>
    <x v="19"/>
    <x v="28"/>
    <x v="5"/>
    <x v="16"/>
    <n v="3527.3"/>
  </r>
  <r>
    <x v="5"/>
    <x v="5"/>
    <x v="5"/>
    <x v="16"/>
    <n v="1591822.09"/>
  </r>
  <r>
    <x v="24"/>
    <x v="24"/>
    <x v="5"/>
    <x v="16"/>
    <n v="794.39"/>
  </r>
  <r>
    <x v="19"/>
    <x v="19"/>
    <x v="5"/>
    <x v="16"/>
    <n v="1239241.08"/>
  </r>
  <r>
    <x v="10"/>
    <x v="10"/>
    <x v="5"/>
    <x v="16"/>
    <n v="761.47"/>
  </r>
  <r>
    <x v="34"/>
    <x v="35"/>
    <x v="5"/>
    <x v="16"/>
    <n v="212.5"/>
  </r>
  <r>
    <x v="25"/>
    <x v="25"/>
    <x v="5"/>
    <x v="16"/>
    <n v="3561985.19"/>
  </r>
  <r>
    <x v="13"/>
    <x v="13"/>
    <x v="5"/>
    <x v="88"/>
    <n v="2364614.27"/>
  </r>
  <r>
    <x v="26"/>
    <x v="26"/>
    <x v="5"/>
    <x v="88"/>
    <n v="63337355.350000001"/>
  </r>
  <r>
    <x v="23"/>
    <x v="23"/>
    <x v="5"/>
    <x v="88"/>
    <n v="13202387.689999999"/>
  </r>
  <r>
    <x v="20"/>
    <x v="20"/>
    <x v="5"/>
    <x v="88"/>
    <n v="13367698.52"/>
  </r>
  <r>
    <x v="1"/>
    <x v="1"/>
    <x v="5"/>
    <x v="88"/>
    <n v="9440.8799999999992"/>
  </r>
  <r>
    <x v="28"/>
    <x v="29"/>
    <x v="5"/>
    <x v="88"/>
    <n v="9081.73"/>
  </r>
  <r>
    <x v="32"/>
    <x v="33"/>
    <x v="5"/>
    <x v="88"/>
    <n v="1144057.6200000001"/>
  </r>
  <r>
    <x v="8"/>
    <x v="8"/>
    <x v="5"/>
    <x v="88"/>
    <n v="2406722.5600000001"/>
  </r>
  <r>
    <x v="41"/>
    <x v="42"/>
    <x v="5"/>
    <x v="88"/>
    <n v="254.12"/>
  </r>
  <r>
    <x v="18"/>
    <x v="18"/>
    <x v="5"/>
    <x v="88"/>
    <n v="10332346.119999999"/>
  </r>
  <r>
    <x v="9"/>
    <x v="9"/>
    <x v="5"/>
    <x v="88"/>
    <n v="5407112.8200000003"/>
  </r>
  <r>
    <x v="19"/>
    <x v="19"/>
    <x v="5"/>
    <x v="88"/>
    <n v="8092.32"/>
  </r>
  <r>
    <x v="25"/>
    <x v="25"/>
    <x v="5"/>
    <x v="88"/>
    <n v="7803093.8200000003"/>
  </r>
  <r>
    <x v="30"/>
    <x v="31"/>
    <x v="6"/>
    <x v="89"/>
    <n v="418.35"/>
  </r>
  <r>
    <x v="22"/>
    <x v="22"/>
    <x v="6"/>
    <x v="18"/>
    <n v="36752873.670000002"/>
  </r>
  <r>
    <x v="23"/>
    <x v="23"/>
    <x v="6"/>
    <x v="18"/>
    <n v="12189770.130000001"/>
  </r>
  <r>
    <x v="8"/>
    <x v="8"/>
    <x v="6"/>
    <x v="18"/>
    <n v="4227763.82"/>
  </r>
  <r>
    <x v="18"/>
    <x v="18"/>
    <x v="6"/>
    <x v="18"/>
    <n v="2323.81"/>
  </r>
  <r>
    <x v="1"/>
    <x v="1"/>
    <x v="6"/>
    <x v="4"/>
    <n v="11505509.359999999"/>
  </r>
  <r>
    <x v="2"/>
    <x v="2"/>
    <x v="6"/>
    <x v="4"/>
    <n v="9341307.6400000006"/>
  </r>
  <r>
    <x v="6"/>
    <x v="6"/>
    <x v="6"/>
    <x v="4"/>
    <n v="47669667.469999999"/>
  </r>
  <r>
    <x v="18"/>
    <x v="18"/>
    <x v="6"/>
    <x v="4"/>
    <n v="460.65"/>
  </r>
  <r>
    <x v="38"/>
    <x v="39"/>
    <x v="6"/>
    <x v="4"/>
    <n v="995394.07"/>
  </r>
  <r>
    <x v="25"/>
    <x v="25"/>
    <x v="6"/>
    <x v="4"/>
    <n v="6274281.5499999998"/>
  </r>
  <r>
    <x v="13"/>
    <x v="13"/>
    <x v="6"/>
    <x v="20"/>
    <n v="10195227.49"/>
  </r>
  <r>
    <x v="26"/>
    <x v="26"/>
    <x v="6"/>
    <x v="20"/>
    <n v="151854478.11000001"/>
  </r>
  <r>
    <x v="0"/>
    <x v="0"/>
    <x v="6"/>
    <x v="20"/>
    <n v="15340290.91"/>
  </r>
  <r>
    <x v="34"/>
    <x v="35"/>
    <x v="6"/>
    <x v="20"/>
    <n v="30076258.859999999"/>
  </r>
  <r>
    <x v="22"/>
    <x v="22"/>
    <x v="6"/>
    <x v="44"/>
    <n v="1748.24"/>
  </r>
  <r>
    <x v="20"/>
    <x v="20"/>
    <x v="6"/>
    <x v="44"/>
    <n v="36914252.490000002"/>
  </r>
  <r>
    <x v="17"/>
    <x v="17"/>
    <x v="6"/>
    <x v="44"/>
    <n v="6619225.5700000003"/>
  </r>
  <r>
    <x v="35"/>
    <x v="36"/>
    <x v="6"/>
    <x v="46"/>
    <n v="25211773.75"/>
  </r>
  <r>
    <x v="12"/>
    <x v="12"/>
    <x v="6"/>
    <x v="46"/>
    <n v="7724022.7199999997"/>
  </r>
  <r>
    <x v="13"/>
    <x v="13"/>
    <x v="6"/>
    <x v="46"/>
    <n v="8891076.3300000001"/>
  </r>
  <r>
    <x v="8"/>
    <x v="8"/>
    <x v="6"/>
    <x v="46"/>
    <n v="1740275.23"/>
  </r>
  <r>
    <x v="17"/>
    <x v="17"/>
    <x v="6"/>
    <x v="46"/>
    <n v="14608869.91"/>
  </r>
  <r>
    <x v="37"/>
    <x v="38"/>
    <x v="6"/>
    <x v="46"/>
    <n v="25131047.949999999"/>
  </r>
  <r>
    <x v="34"/>
    <x v="35"/>
    <x v="6"/>
    <x v="46"/>
    <n v="40702488.850000001"/>
  </r>
  <r>
    <x v="26"/>
    <x v="26"/>
    <x v="6"/>
    <x v="90"/>
    <n v="272.64"/>
  </r>
  <r>
    <x v="27"/>
    <x v="27"/>
    <x v="6"/>
    <x v="90"/>
    <n v="127791166.28"/>
  </r>
  <r>
    <x v="14"/>
    <x v="14"/>
    <x v="6"/>
    <x v="90"/>
    <n v="248451821.83000001"/>
  </r>
  <r>
    <x v="15"/>
    <x v="15"/>
    <x v="6"/>
    <x v="90"/>
    <n v="339.19"/>
  </r>
  <r>
    <x v="21"/>
    <x v="21"/>
    <x v="6"/>
    <x v="90"/>
    <n v="15775144"/>
  </r>
  <r>
    <x v="6"/>
    <x v="6"/>
    <x v="6"/>
    <x v="90"/>
    <n v="30168546.25"/>
  </r>
  <r>
    <x v="13"/>
    <x v="13"/>
    <x v="6"/>
    <x v="5"/>
    <n v="16509546.15"/>
  </r>
  <r>
    <x v="1"/>
    <x v="1"/>
    <x v="6"/>
    <x v="5"/>
    <n v="9331033.2200000007"/>
  </r>
  <r>
    <x v="18"/>
    <x v="18"/>
    <x v="6"/>
    <x v="5"/>
    <n v="5232126.29"/>
  </r>
  <r>
    <x v="19"/>
    <x v="19"/>
    <x v="6"/>
    <x v="5"/>
    <n v="14216014.32"/>
  </r>
  <r>
    <x v="31"/>
    <x v="32"/>
    <x v="6"/>
    <x v="69"/>
    <n v="84440331.459999993"/>
  </r>
  <r>
    <x v="0"/>
    <x v="0"/>
    <x v="6"/>
    <x v="69"/>
    <n v="94440182.540000007"/>
  </r>
  <r>
    <x v="2"/>
    <x v="2"/>
    <x v="6"/>
    <x v="69"/>
    <n v="24179720.800000001"/>
  </r>
  <r>
    <x v="17"/>
    <x v="17"/>
    <x v="6"/>
    <x v="69"/>
    <n v="18779848.649999999"/>
  </r>
  <r>
    <x v="38"/>
    <x v="39"/>
    <x v="6"/>
    <x v="91"/>
    <n v="2308072.54"/>
  </r>
  <r>
    <x v="34"/>
    <x v="35"/>
    <x v="6"/>
    <x v="91"/>
    <n v="32708887.390000001"/>
  </r>
  <r>
    <x v="12"/>
    <x v="12"/>
    <x v="6"/>
    <x v="92"/>
    <n v="23538205.02"/>
  </r>
  <r>
    <x v="22"/>
    <x v="22"/>
    <x v="6"/>
    <x v="92"/>
    <n v="30635641.010000002"/>
  </r>
  <r>
    <x v="23"/>
    <x v="23"/>
    <x v="6"/>
    <x v="92"/>
    <n v="40482568.780000001"/>
  </r>
  <r>
    <x v="20"/>
    <x v="20"/>
    <x v="6"/>
    <x v="92"/>
    <n v="44087439.270000003"/>
  </r>
  <r>
    <x v="15"/>
    <x v="15"/>
    <x v="6"/>
    <x v="92"/>
    <n v="5160715.33"/>
  </r>
  <r>
    <x v="10"/>
    <x v="10"/>
    <x v="6"/>
    <x v="92"/>
    <n v="4325.2700000000004"/>
  </r>
  <r>
    <x v="23"/>
    <x v="23"/>
    <x v="6"/>
    <x v="48"/>
    <n v="25495349.489999998"/>
  </r>
  <r>
    <x v="20"/>
    <x v="20"/>
    <x v="6"/>
    <x v="48"/>
    <n v="41807198.630000003"/>
  </r>
  <r>
    <x v="2"/>
    <x v="2"/>
    <x v="6"/>
    <x v="48"/>
    <n v="5601182.3300000001"/>
  </r>
  <r>
    <x v="17"/>
    <x v="17"/>
    <x v="6"/>
    <x v="48"/>
    <n v="11524222.869999999"/>
  </r>
  <r>
    <x v="12"/>
    <x v="12"/>
    <x v="6"/>
    <x v="93"/>
    <n v="6604940.4199999999"/>
  </r>
  <r>
    <x v="27"/>
    <x v="27"/>
    <x v="6"/>
    <x v="93"/>
    <n v="106528415.16"/>
  </r>
  <r>
    <x v="20"/>
    <x v="20"/>
    <x v="6"/>
    <x v="93"/>
    <n v="78329682.010000005"/>
  </r>
  <r>
    <x v="6"/>
    <x v="6"/>
    <x v="6"/>
    <x v="93"/>
    <n v="38150276.869999997"/>
  </r>
  <r>
    <x v="36"/>
    <x v="37"/>
    <x v="6"/>
    <x v="93"/>
    <n v="8340833.75"/>
  </r>
  <r>
    <x v="14"/>
    <x v="14"/>
    <x v="6"/>
    <x v="94"/>
    <n v="447538556.25"/>
  </r>
  <r>
    <x v="36"/>
    <x v="37"/>
    <x v="6"/>
    <x v="94"/>
    <n v="20972187.329999998"/>
  </r>
  <r>
    <x v="18"/>
    <x v="18"/>
    <x v="6"/>
    <x v="94"/>
    <n v="9115463.3399999999"/>
  </r>
  <r>
    <x v="30"/>
    <x v="31"/>
    <x v="6"/>
    <x v="70"/>
    <n v="286.18"/>
  </r>
  <r>
    <x v="26"/>
    <x v="26"/>
    <x v="6"/>
    <x v="70"/>
    <n v="156636375.56"/>
  </r>
  <r>
    <x v="23"/>
    <x v="23"/>
    <x v="6"/>
    <x v="70"/>
    <n v="2520.56"/>
  </r>
  <r>
    <x v="27"/>
    <x v="27"/>
    <x v="6"/>
    <x v="70"/>
    <n v="68929726.489999995"/>
  </r>
  <r>
    <x v="19"/>
    <x v="28"/>
    <x v="6"/>
    <x v="70"/>
    <n v="20486967.98"/>
  </r>
  <r>
    <x v="6"/>
    <x v="6"/>
    <x v="6"/>
    <x v="70"/>
    <n v="43293736.93"/>
  </r>
  <r>
    <x v="18"/>
    <x v="18"/>
    <x v="6"/>
    <x v="70"/>
    <n v="10596669.109999999"/>
  </r>
  <r>
    <x v="10"/>
    <x v="10"/>
    <x v="6"/>
    <x v="95"/>
    <n v="72360615.390000001"/>
  </r>
  <r>
    <x v="35"/>
    <x v="36"/>
    <x v="6"/>
    <x v="33"/>
    <n v="14145321.24"/>
  </r>
  <r>
    <x v="20"/>
    <x v="20"/>
    <x v="6"/>
    <x v="33"/>
    <n v="29379108.670000002"/>
  </r>
  <r>
    <x v="14"/>
    <x v="14"/>
    <x v="6"/>
    <x v="33"/>
    <n v="66091974.869999997"/>
  </r>
  <r>
    <x v="21"/>
    <x v="21"/>
    <x v="6"/>
    <x v="33"/>
    <n v="7058027.9500000002"/>
  </r>
  <r>
    <x v="40"/>
    <x v="41"/>
    <x v="6"/>
    <x v="33"/>
    <n v="573.27"/>
  </r>
  <r>
    <x v="25"/>
    <x v="25"/>
    <x v="6"/>
    <x v="33"/>
    <n v="4511790.4800000004"/>
  </r>
  <r>
    <x v="35"/>
    <x v="36"/>
    <x v="6"/>
    <x v="96"/>
    <n v="16685025.140000001"/>
  </r>
  <r>
    <x v="31"/>
    <x v="32"/>
    <x v="6"/>
    <x v="96"/>
    <n v="4754.21"/>
  </r>
  <r>
    <x v="36"/>
    <x v="37"/>
    <x v="6"/>
    <x v="96"/>
    <n v="7157253"/>
  </r>
  <r>
    <x v="31"/>
    <x v="32"/>
    <x v="6"/>
    <x v="34"/>
    <n v="68594278.989999995"/>
  </r>
  <r>
    <x v="21"/>
    <x v="21"/>
    <x v="6"/>
    <x v="34"/>
    <n v="15149972.35"/>
  </r>
  <r>
    <x v="19"/>
    <x v="19"/>
    <x v="6"/>
    <x v="34"/>
    <n v="11896809.960000001"/>
  </r>
  <r>
    <x v="10"/>
    <x v="10"/>
    <x v="6"/>
    <x v="34"/>
    <n v="61028698.299999997"/>
  </r>
  <r>
    <x v="25"/>
    <x v="25"/>
    <x v="6"/>
    <x v="34"/>
    <n v="7666.17"/>
  </r>
  <r>
    <x v="36"/>
    <x v="37"/>
    <x v="6"/>
    <x v="97"/>
    <n v="30925841.5"/>
  </r>
  <r>
    <x v="19"/>
    <x v="19"/>
    <x v="6"/>
    <x v="97"/>
    <n v="6571994.8499999996"/>
  </r>
  <r>
    <x v="40"/>
    <x v="41"/>
    <x v="6"/>
    <x v="97"/>
    <n v="42180911.880000003"/>
  </r>
  <r>
    <x v="30"/>
    <x v="31"/>
    <x v="6"/>
    <x v="25"/>
    <n v="15869053.710000001"/>
  </r>
  <r>
    <x v="20"/>
    <x v="20"/>
    <x v="6"/>
    <x v="25"/>
    <n v="114377057.09"/>
  </r>
  <r>
    <x v="6"/>
    <x v="6"/>
    <x v="6"/>
    <x v="25"/>
    <n v="66130385.979999997"/>
  </r>
  <r>
    <x v="36"/>
    <x v="37"/>
    <x v="6"/>
    <x v="25"/>
    <n v="21229341.66"/>
  </r>
  <r>
    <x v="8"/>
    <x v="8"/>
    <x v="6"/>
    <x v="25"/>
    <n v="134.13999999999999"/>
  </r>
  <r>
    <x v="19"/>
    <x v="19"/>
    <x v="6"/>
    <x v="25"/>
    <n v="12011452.02"/>
  </r>
  <r>
    <x v="10"/>
    <x v="10"/>
    <x v="6"/>
    <x v="25"/>
    <n v="109291126.97"/>
  </r>
  <r>
    <x v="35"/>
    <x v="36"/>
    <x v="6"/>
    <x v="8"/>
    <n v="6216437.7599999998"/>
  </r>
  <r>
    <x v="14"/>
    <x v="14"/>
    <x v="6"/>
    <x v="8"/>
    <n v="212066869.75999999"/>
  </r>
  <r>
    <x v="36"/>
    <x v="37"/>
    <x v="6"/>
    <x v="8"/>
    <n v="16516458.300000001"/>
  </r>
  <r>
    <x v="27"/>
    <x v="27"/>
    <x v="6"/>
    <x v="9"/>
    <n v="53625525.549999997"/>
  </r>
  <r>
    <x v="15"/>
    <x v="15"/>
    <x v="6"/>
    <x v="9"/>
    <n v="14164235.16"/>
  </r>
  <r>
    <x v="8"/>
    <x v="8"/>
    <x v="6"/>
    <x v="9"/>
    <n v="2652948.5"/>
  </r>
  <r>
    <x v="37"/>
    <x v="38"/>
    <x v="6"/>
    <x v="9"/>
    <n v="36865702.770000003"/>
  </r>
  <r>
    <x v="2"/>
    <x v="2"/>
    <x v="6"/>
    <x v="98"/>
    <n v="11914550.789999999"/>
  </r>
  <r>
    <x v="8"/>
    <x v="8"/>
    <x v="6"/>
    <x v="98"/>
    <n v="2377416.2599999998"/>
  </r>
  <r>
    <x v="38"/>
    <x v="39"/>
    <x v="6"/>
    <x v="98"/>
    <n v="4237422.57"/>
  </r>
  <r>
    <x v="20"/>
    <x v="20"/>
    <x v="6"/>
    <x v="72"/>
    <n v="3773.46"/>
  </r>
  <r>
    <x v="4"/>
    <x v="4"/>
    <x v="6"/>
    <x v="72"/>
    <n v="8361706.5700000003"/>
  </r>
  <r>
    <x v="5"/>
    <x v="5"/>
    <x v="6"/>
    <x v="72"/>
    <n v="7647052.71"/>
  </r>
  <r>
    <x v="8"/>
    <x v="8"/>
    <x v="6"/>
    <x v="72"/>
    <n v="3254297.72"/>
  </r>
  <r>
    <x v="34"/>
    <x v="35"/>
    <x v="6"/>
    <x v="72"/>
    <n v="641.66999999999996"/>
  </r>
  <r>
    <x v="14"/>
    <x v="14"/>
    <x v="6"/>
    <x v="73"/>
    <n v="187128985.53999999"/>
  </r>
  <r>
    <x v="1"/>
    <x v="1"/>
    <x v="6"/>
    <x v="11"/>
    <n v="12124925.869999999"/>
  </r>
  <r>
    <x v="15"/>
    <x v="15"/>
    <x v="6"/>
    <x v="11"/>
    <n v="10803416.369999999"/>
  </r>
  <r>
    <x v="2"/>
    <x v="2"/>
    <x v="6"/>
    <x v="11"/>
    <n v="16182933.390000001"/>
  </r>
  <r>
    <x v="40"/>
    <x v="41"/>
    <x v="6"/>
    <x v="11"/>
    <n v="70820766"/>
  </r>
  <r>
    <x v="10"/>
    <x v="10"/>
    <x v="6"/>
    <x v="11"/>
    <n v="119690633.20999999"/>
  </r>
  <r>
    <x v="12"/>
    <x v="12"/>
    <x v="6"/>
    <x v="12"/>
    <n v="16907126.539999999"/>
  </r>
  <r>
    <x v="23"/>
    <x v="23"/>
    <x v="6"/>
    <x v="12"/>
    <n v="13616941.41"/>
  </r>
  <r>
    <x v="0"/>
    <x v="0"/>
    <x v="6"/>
    <x v="12"/>
    <n v="1.22"/>
  </r>
  <r>
    <x v="21"/>
    <x v="21"/>
    <x v="6"/>
    <x v="12"/>
    <n v="21327512.949999999"/>
  </r>
  <r>
    <x v="4"/>
    <x v="4"/>
    <x v="6"/>
    <x v="12"/>
    <n v="8770235.5099999998"/>
  </r>
  <r>
    <x v="6"/>
    <x v="6"/>
    <x v="6"/>
    <x v="12"/>
    <n v="39131449.770000003"/>
  </r>
  <r>
    <x v="23"/>
    <x v="23"/>
    <x v="6"/>
    <x v="56"/>
    <n v="19682594.190000001"/>
  </r>
  <r>
    <x v="19"/>
    <x v="28"/>
    <x v="6"/>
    <x v="56"/>
    <n v="27169724.460000001"/>
  </r>
  <r>
    <x v="2"/>
    <x v="2"/>
    <x v="6"/>
    <x v="56"/>
    <n v="331.05"/>
  </r>
  <r>
    <x v="6"/>
    <x v="6"/>
    <x v="6"/>
    <x v="56"/>
    <n v="38229304.659999996"/>
  </r>
  <r>
    <x v="18"/>
    <x v="18"/>
    <x v="6"/>
    <x v="56"/>
    <n v="9867617.3599999994"/>
  </r>
  <r>
    <x v="38"/>
    <x v="39"/>
    <x v="6"/>
    <x v="56"/>
    <n v="1365.87"/>
  </r>
  <r>
    <x v="10"/>
    <x v="10"/>
    <x v="6"/>
    <x v="56"/>
    <n v="53757168.609999999"/>
  </r>
  <r>
    <x v="25"/>
    <x v="25"/>
    <x v="6"/>
    <x v="56"/>
    <n v="4927419.4400000004"/>
  </r>
  <r>
    <x v="35"/>
    <x v="36"/>
    <x v="6"/>
    <x v="60"/>
    <n v="7247347.5800000001"/>
  </r>
  <r>
    <x v="1"/>
    <x v="1"/>
    <x v="6"/>
    <x v="60"/>
    <n v="17425277.609999999"/>
  </r>
  <r>
    <x v="38"/>
    <x v="39"/>
    <x v="6"/>
    <x v="60"/>
    <n v="1.24"/>
  </r>
  <r>
    <x v="14"/>
    <x v="14"/>
    <x v="6"/>
    <x v="99"/>
    <n v="416468696.72000003"/>
  </r>
  <r>
    <x v="38"/>
    <x v="39"/>
    <x v="6"/>
    <x v="99"/>
    <n v="4072191.13"/>
  </r>
  <r>
    <x v="37"/>
    <x v="38"/>
    <x v="6"/>
    <x v="99"/>
    <n v="47396675.950000003"/>
  </r>
  <r>
    <x v="30"/>
    <x v="31"/>
    <x v="6"/>
    <x v="13"/>
    <n v="8189074.5199999996"/>
  </r>
  <r>
    <x v="23"/>
    <x v="23"/>
    <x v="6"/>
    <x v="13"/>
    <n v="22765252.129999999"/>
  </r>
  <r>
    <x v="5"/>
    <x v="5"/>
    <x v="6"/>
    <x v="13"/>
    <n v="5830537.6500000004"/>
  </r>
  <r>
    <x v="37"/>
    <x v="38"/>
    <x v="6"/>
    <x v="13"/>
    <n v="51457899.649999999"/>
  </r>
  <r>
    <x v="40"/>
    <x v="41"/>
    <x v="6"/>
    <x v="13"/>
    <n v="0.11"/>
  </r>
  <r>
    <x v="25"/>
    <x v="25"/>
    <x v="6"/>
    <x v="13"/>
    <n v="4226771.6100000003"/>
  </r>
  <r>
    <x v="35"/>
    <x v="36"/>
    <x v="6"/>
    <x v="28"/>
    <n v="8317410.8200000003"/>
  </r>
  <r>
    <x v="21"/>
    <x v="21"/>
    <x v="6"/>
    <x v="28"/>
    <n v="19393459.989999998"/>
  </r>
  <r>
    <x v="14"/>
    <x v="14"/>
    <x v="6"/>
    <x v="100"/>
    <n v="230996319.05000001"/>
  </r>
  <r>
    <x v="2"/>
    <x v="2"/>
    <x v="6"/>
    <x v="100"/>
    <n v="6342122.8600000003"/>
  </r>
  <r>
    <x v="38"/>
    <x v="39"/>
    <x v="6"/>
    <x v="100"/>
    <n v="2524076.84"/>
  </r>
  <r>
    <x v="30"/>
    <x v="31"/>
    <x v="6"/>
    <x v="64"/>
    <n v="19248314.039999999"/>
  </r>
  <r>
    <x v="23"/>
    <x v="23"/>
    <x v="6"/>
    <x v="64"/>
    <n v="33271670.5"/>
  </r>
  <r>
    <x v="14"/>
    <x v="14"/>
    <x v="6"/>
    <x v="64"/>
    <n v="0.79"/>
  </r>
  <r>
    <x v="18"/>
    <x v="18"/>
    <x v="6"/>
    <x v="64"/>
    <n v="11466921.52"/>
  </r>
  <r>
    <x v="19"/>
    <x v="19"/>
    <x v="6"/>
    <x v="64"/>
    <n v="4925.16"/>
  </r>
  <r>
    <x v="10"/>
    <x v="10"/>
    <x v="6"/>
    <x v="64"/>
    <n v="74414114.530000001"/>
  </r>
  <r>
    <x v="22"/>
    <x v="22"/>
    <x v="6"/>
    <x v="16"/>
    <n v="46261616.270000003"/>
  </r>
  <r>
    <x v="34"/>
    <x v="35"/>
    <x v="6"/>
    <x v="16"/>
    <n v="20946567.75"/>
  </r>
  <r>
    <x v="25"/>
    <x v="25"/>
    <x v="6"/>
    <x v="16"/>
    <n v="5673511"/>
  </r>
  <r>
    <x v="0"/>
    <x v="0"/>
    <x v="6"/>
    <x v="101"/>
    <n v="50151385.829999998"/>
  </r>
  <r>
    <x v="4"/>
    <x v="4"/>
    <x v="6"/>
    <x v="101"/>
    <n v="9456879.1799999997"/>
  </r>
  <r>
    <x v="34"/>
    <x v="35"/>
    <x v="6"/>
    <x v="101"/>
    <n v="40589327.359999999"/>
  </r>
  <r>
    <x v="30"/>
    <x v="31"/>
    <x v="6"/>
    <x v="102"/>
    <n v="26844543.899999999"/>
  </r>
  <r>
    <x v="13"/>
    <x v="13"/>
    <x v="6"/>
    <x v="102"/>
    <n v="10640300.109999999"/>
  </r>
  <r>
    <x v="27"/>
    <x v="27"/>
    <x v="6"/>
    <x v="102"/>
    <n v="67276426.879999995"/>
  </r>
  <r>
    <x v="21"/>
    <x v="21"/>
    <x v="6"/>
    <x v="102"/>
    <n v="7577248.0599999996"/>
  </r>
  <r>
    <x v="4"/>
    <x v="4"/>
    <x v="6"/>
    <x v="102"/>
    <n v="5858401.6900000004"/>
  </r>
  <r>
    <x v="36"/>
    <x v="37"/>
    <x v="6"/>
    <x v="102"/>
    <n v="15951508.27"/>
  </r>
  <r>
    <x v="34"/>
    <x v="35"/>
    <x v="6"/>
    <x v="102"/>
    <n v="127.13"/>
  </r>
  <r>
    <x v="26"/>
    <x v="26"/>
    <x v="6"/>
    <x v="103"/>
    <n v="237813371.25999999"/>
  </r>
  <r>
    <x v="19"/>
    <x v="28"/>
    <x v="6"/>
    <x v="103"/>
    <n v="1.0900000000000001"/>
  </r>
  <r>
    <x v="25"/>
    <x v="25"/>
    <x v="6"/>
    <x v="103"/>
    <n v="1993312.74"/>
  </r>
  <r>
    <x v="20"/>
    <x v="20"/>
    <x v="6"/>
    <x v="104"/>
    <n v="65425638.329999998"/>
  </r>
  <r>
    <x v="15"/>
    <x v="15"/>
    <x v="6"/>
    <x v="104"/>
    <n v="31979129.719999999"/>
  </r>
  <r>
    <x v="2"/>
    <x v="2"/>
    <x v="6"/>
    <x v="104"/>
    <n v="7001353.6600000001"/>
  </r>
  <r>
    <x v="5"/>
    <x v="5"/>
    <x v="6"/>
    <x v="104"/>
    <n v="15066300.25"/>
  </r>
  <r>
    <x v="38"/>
    <x v="39"/>
    <x v="6"/>
    <x v="104"/>
    <n v="1444.18"/>
  </r>
  <r>
    <x v="30"/>
    <x v="31"/>
    <x v="7"/>
    <x v="1"/>
    <n v="29087018.98"/>
  </r>
  <r>
    <x v="0"/>
    <x v="0"/>
    <x v="7"/>
    <x v="1"/>
    <n v="26526594.629999999"/>
  </r>
  <r>
    <x v="14"/>
    <x v="14"/>
    <x v="7"/>
    <x v="1"/>
    <n v="870037360.33000004"/>
  </r>
  <r>
    <x v="2"/>
    <x v="2"/>
    <x v="7"/>
    <x v="1"/>
    <n v="4481446.54"/>
  </r>
  <r>
    <x v="16"/>
    <x v="16"/>
    <x v="7"/>
    <x v="1"/>
    <n v="38968499.18"/>
  </r>
  <r>
    <x v="40"/>
    <x v="41"/>
    <x v="7"/>
    <x v="1"/>
    <n v="30496.22"/>
  </r>
  <r>
    <x v="12"/>
    <x v="12"/>
    <x v="7"/>
    <x v="105"/>
    <n v="4459501.1399999997"/>
  </r>
  <r>
    <x v="23"/>
    <x v="23"/>
    <x v="7"/>
    <x v="105"/>
    <n v="50745289.390000001"/>
  </r>
  <r>
    <x v="27"/>
    <x v="27"/>
    <x v="7"/>
    <x v="105"/>
    <n v="6114.78"/>
  </r>
  <r>
    <x v="3"/>
    <x v="3"/>
    <x v="7"/>
    <x v="105"/>
    <n v="1231104.0900000001"/>
  </r>
  <r>
    <x v="5"/>
    <x v="5"/>
    <x v="7"/>
    <x v="105"/>
    <n v="5305514.1100000003"/>
  </r>
  <r>
    <x v="32"/>
    <x v="33"/>
    <x v="7"/>
    <x v="105"/>
    <n v="15746954.279999999"/>
  </r>
  <r>
    <x v="35"/>
    <x v="36"/>
    <x v="7"/>
    <x v="89"/>
    <n v="2654053.7799999998"/>
  </r>
  <r>
    <x v="23"/>
    <x v="23"/>
    <x v="7"/>
    <x v="89"/>
    <n v="1129.68"/>
  </r>
  <r>
    <x v="3"/>
    <x v="3"/>
    <x v="7"/>
    <x v="89"/>
    <n v="1794076.87"/>
  </r>
  <r>
    <x v="8"/>
    <x v="8"/>
    <x v="7"/>
    <x v="89"/>
    <n v="4481838.25"/>
  </r>
  <r>
    <x v="40"/>
    <x v="41"/>
    <x v="7"/>
    <x v="89"/>
    <n v="9589.56"/>
  </r>
  <r>
    <x v="30"/>
    <x v="31"/>
    <x v="7"/>
    <x v="106"/>
    <n v="1147737.6000000001"/>
  </r>
  <r>
    <x v="14"/>
    <x v="14"/>
    <x v="7"/>
    <x v="106"/>
    <n v="645300036.48000002"/>
  </r>
  <r>
    <x v="3"/>
    <x v="3"/>
    <x v="7"/>
    <x v="106"/>
    <n v="598394.56999999995"/>
  </r>
  <r>
    <x v="4"/>
    <x v="4"/>
    <x v="7"/>
    <x v="106"/>
    <n v="1952780.07"/>
  </r>
  <r>
    <x v="5"/>
    <x v="5"/>
    <x v="7"/>
    <x v="106"/>
    <n v="7185244.4900000002"/>
  </r>
  <r>
    <x v="23"/>
    <x v="23"/>
    <x v="7"/>
    <x v="19"/>
    <n v="3262.86"/>
  </r>
  <r>
    <x v="27"/>
    <x v="27"/>
    <x v="7"/>
    <x v="19"/>
    <n v="115532126.70999999"/>
  </r>
  <r>
    <x v="7"/>
    <x v="7"/>
    <x v="7"/>
    <x v="19"/>
    <n v="0.74"/>
  </r>
  <r>
    <x v="41"/>
    <x v="42"/>
    <x v="7"/>
    <x v="19"/>
    <n v="4180535.78"/>
  </r>
  <r>
    <x v="9"/>
    <x v="9"/>
    <x v="7"/>
    <x v="19"/>
    <n v="10069440.390000001"/>
  </r>
  <r>
    <x v="19"/>
    <x v="19"/>
    <x v="7"/>
    <x v="19"/>
    <n v="14821054.84"/>
  </r>
  <r>
    <x v="23"/>
    <x v="23"/>
    <x v="7"/>
    <x v="31"/>
    <n v="23624400.609999999"/>
  </r>
  <r>
    <x v="9"/>
    <x v="9"/>
    <x v="7"/>
    <x v="31"/>
    <n v="5240726.2699999996"/>
  </r>
  <r>
    <x v="35"/>
    <x v="36"/>
    <x v="7"/>
    <x v="43"/>
    <n v="3404194.92"/>
  </r>
  <r>
    <x v="12"/>
    <x v="12"/>
    <x v="7"/>
    <x v="43"/>
    <n v="2228747.6"/>
  </r>
  <r>
    <x v="22"/>
    <x v="22"/>
    <x v="7"/>
    <x v="43"/>
    <n v="35949376.350000001"/>
  </r>
  <r>
    <x v="26"/>
    <x v="26"/>
    <x v="7"/>
    <x v="43"/>
    <n v="55643115.43"/>
  </r>
  <r>
    <x v="24"/>
    <x v="24"/>
    <x v="7"/>
    <x v="43"/>
    <n v="17965920.780000001"/>
  </r>
  <r>
    <x v="41"/>
    <x v="42"/>
    <x v="7"/>
    <x v="43"/>
    <n v="3877858.72"/>
  </r>
  <r>
    <x v="12"/>
    <x v="12"/>
    <x v="7"/>
    <x v="107"/>
    <n v="7157279.1399999997"/>
  </r>
  <r>
    <x v="27"/>
    <x v="27"/>
    <x v="7"/>
    <x v="107"/>
    <n v="6129.6"/>
  </r>
  <r>
    <x v="2"/>
    <x v="2"/>
    <x v="7"/>
    <x v="107"/>
    <n v="823.43"/>
  </r>
  <r>
    <x v="16"/>
    <x v="16"/>
    <x v="7"/>
    <x v="107"/>
    <n v="36241311.350000001"/>
  </r>
  <r>
    <x v="32"/>
    <x v="33"/>
    <x v="7"/>
    <x v="20"/>
    <n v="1699101.91"/>
  </r>
  <r>
    <x v="17"/>
    <x v="17"/>
    <x v="7"/>
    <x v="20"/>
    <n v="15071660.949999999"/>
  </r>
  <r>
    <x v="11"/>
    <x v="11"/>
    <x v="7"/>
    <x v="47"/>
    <n v="-4825557.9400000004"/>
  </r>
  <r>
    <x v="27"/>
    <x v="27"/>
    <x v="7"/>
    <x v="47"/>
    <n v="14836.54"/>
  </r>
  <r>
    <x v="24"/>
    <x v="24"/>
    <x v="7"/>
    <x v="47"/>
    <n v="13044277.439999999"/>
  </r>
  <r>
    <x v="41"/>
    <x v="42"/>
    <x v="7"/>
    <x v="47"/>
    <n v="2139333.2999999998"/>
  </r>
  <r>
    <x v="19"/>
    <x v="19"/>
    <x v="7"/>
    <x v="47"/>
    <n v="6989117.54"/>
  </r>
  <r>
    <x v="22"/>
    <x v="22"/>
    <x v="7"/>
    <x v="92"/>
    <n v="47249258.450000003"/>
  </r>
  <r>
    <x v="28"/>
    <x v="29"/>
    <x v="7"/>
    <x v="92"/>
    <n v="30306479.800000001"/>
  </r>
  <r>
    <x v="41"/>
    <x v="42"/>
    <x v="7"/>
    <x v="92"/>
    <n v="0.43"/>
  </r>
  <r>
    <x v="9"/>
    <x v="9"/>
    <x v="7"/>
    <x v="92"/>
    <n v="15385535.66"/>
  </r>
  <r>
    <x v="38"/>
    <x v="39"/>
    <x v="7"/>
    <x v="92"/>
    <n v="6043811.4800000004"/>
  </r>
  <r>
    <x v="37"/>
    <x v="38"/>
    <x v="7"/>
    <x v="92"/>
    <n v="134.21"/>
  </r>
  <r>
    <x v="13"/>
    <x v="13"/>
    <x v="7"/>
    <x v="108"/>
    <n v="2118501.52"/>
  </r>
  <r>
    <x v="26"/>
    <x v="26"/>
    <x v="7"/>
    <x v="108"/>
    <n v="27821631.940000001"/>
  </r>
  <r>
    <x v="23"/>
    <x v="23"/>
    <x v="7"/>
    <x v="108"/>
    <n v="10839764.960000001"/>
  </r>
  <r>
    <x v="19"/>
    <x v="28"/>
    <x v="7"/>
    <x v="108"/>
    <n v="3432216.61"/>
  </r>
  <r>
    <x v="9"/>
    <x v="9"/>
    <x v="7"/>
    <x v="108"/>
    <n v="561.15"/>
  </r>
  <r>
    <x v="37"/>
    <x v="38"/>
    <x v="7"/>
    <x v="108"/>
    <n v="26224818.91"/>
  </r>
  <r>
    <x v="30"/>
    <x v="31"/>
    <x v="7"/>
    <x v="49"/>
    <n v="8161445.4400000004"/>
  </r>
  <r>
    <x v="13"/>
    <x v="13"/>
    <x v="7"/>
    <x v="49"/>
    <n v="10251304.220000001"/>
  </r>
  <r>
    <x v="26"/>
    <x v="26"/>
    <x v="7"/>
    <x v="49"/>
    <n v="54884523.130000003"/>
  </r>
  <r>
    <x v="7"/>
    <x v="7"/>
    <x v="7"/>
    <x v="49"/>
    <n v="5861710.0099999998"/>
  </r>
  <r>
    <x v="33"/>
    <x v="34"/>
    <x v="7"/>
    <x v="49"/>
    <n v="15556754.52"/>
  </r>
  <r>
    <x v="11"/>
    <x v="11"/>
    <x v="7"/>
    <x v="109"/>
    <n v="-4046596.45"/>
  </r>
  <r>
    <x v="18"/>
    <x v="18"/>
    <x v="7"/>
    <x v="109"/>
    <n v="8733464.9600000009"/>
  </r>
  <r>
    <x v="19"/>
    <x v="19"/>
    <x v="7"/>
    <x v="109"/>
    <n v="18658699.23"/>
  </r>
  <r>
    <x v="40"/>
    <x v="41"/>
    <x v="7"/>
    <x v="109"/>
    <n v="1595.39"/>
  </r>
  <r>
    <x v="35"/>
    <x v="36"/>
    <x v="7"/>
    <x v="95"/>
    <n v="2085386.86"/>
  </r>
  <r>
    <x v="30"/>
    <x v="31"/>
    <x v="7"/>
    <x v="95"/>
    <n v="10071.14"/>
  </r>
  <r>
    <x v="7"/>
    <x v="7"/>
    <x v="7"/>
    <x v="95"/>
    <n v="9577224.3300000001"/>
  </r>
  <r>
    <x v="8"/>
    <x v="8"/>
    <x v="7"/>
    <x v="95"/>
    <n v="782529.98"/>
  </r>
  <r>
    <x v="0"/>
    <x v="0"/>
    <x v="7"/>
    <x v="110"/>
    <n v="24622951.02"/>
  </r>
  <r>
    <x v="1"/>
    <x v="1"/>
    <x v="7"/>
    <x v="110"/>
    <n v="7175.05"/>
  </r>
  <r>
    <x v="7"/>
    <x v="7"/>
    <x v="7"/>
    <x v="110"/>
    <n v="4888754.0999999996"/>
  </r>
  <r>
    <x v="18"/>
    <x v="18"/>
    <x v="7"/>
    <x v="110"/>
    <n v="8094928.4100000001"/>
  </r>
  <r>
    <x v="38"/>
    <x v="39"/>
    <x v="7"/>
    <x v="110"/>
    <n v="854715.58"/>
  </r>
  <r>
    <x v="35"/>
    <x v="36"/>
    <x v="7"/>
    <x v="111"/>
    <n v="6762905.79"/>
  </r>
  <r>
    <x v="23"/>
    <x v="23"/>
    <x v="7"/>
    <x v="111"/>
    <n v="20426809.82"/>
  </r>
  <r>
    <x v="28"/>
    <x v="29"/>
    <x v="7"/>
    <x v="111"/>
    <n v="15716124.5"/>
  </r>
  <r>
    <x v="5"/>
    <x v="5"/>
    <x v="7"/>
    <x v="111"/>
    <n v="8345600.4800000004"/>
  </r>
  <r>
    <x v="8"/>
    <x v="8"/>
    <x v="7"/>
    <x v="111"/>
    <n v="1542350.27"/>
  </r>
  <r>
    <x v="13"/>
    <x v="13"/>
    <x v="7"/>
    <x v="112"/>
    <n v="2345030.7000000002"/>
  </r>
  <r>
    <x v="27"/>
    <x v="27"/>
    <x v="7"/>
    <x v="112"/>
    <n v="94838438.379999995"/>
  </r>
  <r>
    <x v="14"/>
    <x v="14"/>
    <x v="7"/>
    <x v="112"/>
    <n v="9140.59"/>
  </r>
  <r>
    <x v="2"/>
    <x v="2"/>
    <x v="7"/>
    <x v="112"/>
    <n v="7936778.2400000002"/>
  </r>
  <r>
    <x v="32"/>
    <x v="33"/>
    <x v="7"/>
    <x v="112"/>
    <n v="17461668.460000001"/>
  </r>
  <r>
    <x v="16"/>
    <x v="16"/>
    <x v="7"/>
    <x v="112"/>
    <n v="1344.68"/>
  </r>
  <r>
    <x v="9"/>
    <x v="9"/>
    <x v="7"/>
    <x v="112"/>
    <n v="4261975.54"/>
  </r>
  <r>
    <x v="38"/>
    <x v="39"/>
    <x v="7"/>
    <x v="112"/>
    <n v="10035.049999999999"/>
  </r>
  <r>
    <x v="23"/>
    <x v="23"/>
    <x v="7"/>
    <x v="113"/>
    <n v="22969123.329999998"/>
  </r>
  <r>
    <x v="0"/>
    <x v="0"/>
    <x v="7"/>
    <x v="113"/>
    <n v="16682840.289999999"/>
  </r>
  <r>
    <x v="5"/>
    <x v="5"/>
    <x v="7"/>
    <x v="113"/>
    <n v="1478407.41"/>
  </r>
  <r>
    <x v="36"/>
    <x v="37"/>
    <x v="7"/>
    <x v="113"/>
    <n v="0.93"/>
  </r>
  <r>
    <x v="29"/>
    <x v="30"/>
    <x v="7"/>
    <x v="113"/>
    <n v="3077696.59"/>
  </r>
  <r>
    <x v="25"/>
    <x v="25"/>
    <x v="7"/>
    <x v="113"/>
    <n v="0.81"/>
  </r>
  <r>
    <x v="0"/>
    <x v="0"/>
    <x v="7"/>
    <x v="24"/>
    <n v="30716432.82"/>
  </r>
  <r>
    <x v="1"/>
    <x v="1"/>
    <x v="7"/>
    <x v="24"/>
    <n v="7102376.79"/>
  </r>
  <r>
    <x v="12"/>
    <x v="12"/>
    <x v="7"/>
    <x v="25"/>
    <n v="5159778.87"/>
  </r>
  <r>
    <x v="7"/>
    <x v="7"/>
    <x v="7"/>
    <x v="25"/>
    <n v="2191901.0699999998"/>
  </r>
  <r>
    <x v="17"/>
    <x v="17"/>
    <x v="7"/>
    <x v="25"/>
    <n v="10699633.380000001"/>
  </r>
  <r>
    <x v="37"/>
    <x v="38"/>
    <x v="7"/>
    <x v="25"/>
    <n v="25066380.879999999"/>
  </r>
  <r>
    <x v="30"/>
    <x v="31"/>
    <x v="7"/>
    <x v="114"/>
    <n v="4138690.53"/>
  </r>
  <r>
    <x v="3"/>
    <x v="3"/>
    <x v="7"/>
    <x v="114"/>
    <n v="1492218.4"/>
  </r>
  <r>
    <x v="4"/>
    <x v="4"/>
    <x v="7"/>
    <x v="114"/>
    <n v="2646987.5"/>
  </r>
  <r>
    <x v="41"/>
    <x v="42"/>
    <x v="7"/>
    <x v="114"/>
    <n v="4748487.3600000003"/>
  </r>
  <r>
    <x v="37"/>
    <x v="38"/>
    <x v="7"/>
    <x v="114"/>
    <n v="26342193.609999999"/>
  </r>
  <r>
    <x v="27"/>
    <x v="27"/>
    <x v="7"/>
    <x v="35"/>
    <n v="108090823.12"/>
  </r>
  <r>
    <x v="4"/>
    <x v="4"/>
    <x v="7"/>
    <x v="35"/>
    <n v="730628.4"/>
  </r>
  <r>
    <x v="24"/>
    <x v="24"/>
    <x v="7"/>
    <x v="35"/>
    <n v="22347484.609999999"/>
  </r>
  <r>
    <x v="9"/>
    <x v="9"/>
    <x v="7"/>
    <x v="35"/>
    <n v="4443.18"/>
  </r>
  <r>
    <x v="34"/>
    <x v="35"/>
    <x v="7"/>
    <x v="35"/>
    <n v="1.06"/>
  </r>
  <r>
    <x v="0"/>
    <x v="0"/>
    <x v="7"/>
    <x v="36"/>
    <n v="42071141.060000002"/>
  </r>
  <r>
    <x v="1"/>
    <x v="1"/>
    <x v="7"/>
    <x v="36"/>
    <n v="16039445.17"/>
  </r>
  <r>
    <x v="17"/>
    <x v="17"/>
    <x v="7"/>
    <x v="36"/>
    <n v="9371223.9299999997"/>
  </r>
  <r>
    <x v="29"/>
    <x v="30"/>
    <x v="7"/>
    <x v="36"/>
    <n v="4737484.58"/>
  </r>
  <r>
    <x v="40"/>
    <x v="41"/>
    <x v="7"/>
    <x v="36"/>
    <n v="97276058.599999994"/>
  </r>
  <r>
    <x v="11"/>
    <x v="11"/>
    <x v="7"/>
    <x v="10"/>
    <n v="-1545769.48"/>
  </r>
  <r>
    <x v="33"/>
    <x v="34"/>
    <x v="7"/>
    <x v="10"/>
    <n v="14288468.08"/>
  </r>
  <r>
    <x v="17"/>
    <x v="17"/>
    <x v="7"/>
    <x v="10"/>
    <n v="5896.7"/>
  </r>
  <r>
    <x v="18"/>
    <x v="18"/>
    <x v="7"/>
    <x v="10"/>
    <n v="6466017.04"/>
  </r>
  <r>
    <x v="29"/>
    <x v="30"/>
    <x v="7"/>
    <x v="10"/>
    <n v="10617826.92"/>
  </r>
  <r>
    <x v="25"/>
    <x v="25"/>
    <x v="7"/>
    <x v="10"/>
    <n v="27092884.359999999"/>
  </r>
  <r>
    <x v="12"/>
    <x v="12"/>
    <x v="7"/>
    <x v="115"/>
    <n v="4328779.75"/>
  </r>
  <r>
    <x v="26"/>
    <x v="26"/>
    <x v="7"/>
    <x v="115"/>
    <n v="39194861.280000001"/>
  </r>
  <r>
    <x v="3"/>
    <x v="3"/>
    <x v="7"/>
    <x v="115"/>
    <n v="1016437.8"/>
  </r>
  <r>
    <x v="4"/>
    <x v="4"/>
    <x v="7"/>
    <x v="115"/>
    <n v="4074299.13"/>
  </r>
  <r>
    <x v="11"/>
    <x v="11"/>
    <x v="7"/>
    <x v="11"/>
    <n v="-2242357.44"/>
  </r>
  <r>
    <x v="26"/>
    <x v="26"/>
    <x v="7"/>
    <x v="11"/>
    <n v="124686703.73999999"/>
  </r>
  <r>
    <x v="5"/>
    <x v="5"/>
    <x v="7"/>
    <x v="11"/>
    <n v="3366429.75"/>
  </r>
  <r>
    <x v="16"/>
    <x v="16"/>
    <x v="7"/>
    <x v="11"/>
    <n v="7219915.7400000002"/>
  </r>
  <r>
    <x v="18"/>
    <x v="18"/>
    <x v="7"/>
    <x v="11"/>
    <n v="10135938.17"/>
  </r>
  <r>
    <x v="9"/>
    <x v="9"/>
    <x v="7"/>
    <x v="11"/>
    <n v="13758.16"/>
  </r>
  <r>
    <x v="22"/>
    <x v="22"/>
    <x v="7"/>
    <x v="27"/>
    <n v="14499435.300000001"/>
  </r>
  <r>
    <x v="23"/>
    <x v="23"/>
    <x v="7"/>
    <x v="27"/>
    <n v="27851695.370000001"/>
  </r>
  <r>
    <x v="36"/>
    <x v="37"/>
    <x v="7"/>
    <x v="27"/>
    <n v="28837310.27"/>
  </r>
  <r>
    <x v="7"/>
    <x v="7"/>
    <x v="7"/>
    <x v="27"/>
    <n v="2587330.63"/>
  </r>
  <r>
    <x v="33"/>
    <x v="34"/>
    <x v="7"/>
    <x v="27"/>
    <n v="42708485.82"/>
  </r>
  <r>
    <x v="38"/>
    <x v="39"/>
    <x v="7"/>
    <x v="27"/>
    <n v="2379445"/>
  </r>
  <r>
    <x v="37"/>
    <x v="38"/>
    <x v="7"/>
    <x v="27"/>
    <n v="8268726.8799999999"/>
  </r>
  <r>
    <x v="37"/>
    <x v="38"/>
    <x v="7"/>
    <x v="13"/>
    <n v="33194946.879999999"/>
  </r>
  <r>
    <x v="25"/>
    <x v="25"/>
    <x v="7"/>
    <x v="13"/>
    <n v="24767237.829999998"/>
  </r>
  <r>
    <x v="11"/>
    <x v="11"/>
    <x v="7"/>
    <x v="116"/>
    <n v="-4726132.0999999996"/>
  </r>
  <r>
    <x v="12"/>
    <x v="12"/>
    <x v="7"/>
    <x v="116"/>
    <n v="6729272.7000000002"/>
  </r>
  <r>
    <x v="19"/>
    <x v="28"/>
    <x v="7"/>
    <x v="116"/>
    <n v="20394700.649999999"/>
  </r>
  <r>
    <x v="4"/>
    <x v="4"/>
    <x v="7"/>
    <x v="116"/>
    <n v="3164048.91"/>
  </r>
  <r>
    <x v="36"/>
    <x v="37"/>
    <x v="7"/>
    <x v="116"/>
    <n v="31049841.440000001"/>
  </r>
  <r>
    <x v="16"/>
    <x v="16"/>
    <x v="7"/>
    <x v="116"/>
    <n v="1347.87"/>
  </r>
  <r>
    <x v="7"/>
    <x v="7"/>
    <x v="7"/>
    <x v="116"/>
    <n v="2104197.96"/>
  </r>
  <r>
    <x v="18"/>
    <x v="18"/>
    <x v="7"/>
    <x v="116"/>
    <n v="2418093.0699999998"/>
  </r>
  <r>
    <x v="9"/>
    <x v="9"/>
    <x v="7"/>
    <x v="116"/>
    <n v="3092947.82"/>
  </r>
  <r>
    <x v="26"/>
    <x v="26"/>
    <x v="7"/>
    <x v="28"/>
    <n v="92367006.629999995"/>
  </r>
  <r>
    <x v="0"/>
    <x v="0"/>
    <x v="7"/>
    <x v="28"/>
    <n v="496.15"/>
  </r>
  <r>
    <x v="19"/>
    <x v="28"/>
    <x v="7"/>
    <x v="28"/>
    <n v="17850674.670000002"/>
  </r>
  <r>
    <x v="28"/>
    <x v="29"/>
    <x v="7"/>
    <x v="28"/>
    <n v="11781.61"/>
  </r>
  <r>
    <x v="3"/>
    <x v="3"/>
    <x v="7"/>
    <x v="28"/>
    <n v="779353.35"/>
  </r>
  <r>
    <x v="4"/>
    <x v="4"/>
    <x v="7"/>
    <x v="28"/>
    <n v="2008705.21"/>
  </r>
  <r>
    <x v="26"/>
    <x v="26"/>
    <x v="7"/>
    <x v="39"/>
    <n v="51586595.82"/>
  </r>
  <r>
    <x v="27"/>
    <x v="27"/>
    <x v="7"/>
    <x v="39"/>
    <n v="62235550.700000003"/>
  </r>
  <r>
    <x v="1"/>
    <x v="1"/>
    <x v="7"/>
    <x v="39"/>
    <n v="22249278.25"/>
  </r>
  <r>
    <x v="3"/>
    <x v="3"/>
    <x v="7"/>
    <x v="39"/>
    <n v="522037.64"/>
  </r>
  <r>
    <x v="8"/>
    <x v="8"/>
    <x v="7"/>
    <x v="39"/>
    <n v="2123980.86"/>
  </r>
  <r>
    <x v="18"/>
    <x v="18"/>
    <x v="7"/>
    <x v="39"/>
    <n v="5354119.3899999997"/>
  </r>
  <r>
    <x v="34"/>
    <x v="35"/>
    <x v="7"/>
    <x v="39"/>
    <n v="86323570.140000001"/>
  </r>
  <r>
    <x v="30"/>
    <x v="31"/>
    <x v="7"/>
    <x v="40"/>
    <n v="7363142.5999999996"/>
  </r>
  <r>
    <x v="2"/>
    <x v="2"/>
    <x v="7"/>
    <x v="40"/>
    <n v="10726777.82"/>
  </r>
  <r>
    <x v="38"/>
    <x v="39"/>
    <x v="7"/>
    <x v="40"/>
    <n v="3042362.68"/>
  </r>
  <r>
    <x v="12"/>
    <x v="12"/>
    <x v="7"/>
    <x v="76"/>
    <n v="5270.78"/>
  </r>
  <r>
    <x v="4"/>
    <x v="4"/>
    <x v="7"/>
    <x v="76"/>
    <n v="2838066.97"/>
  </r>
  <r>
    <x v="5"/>
    <x v="5"/>
    <x v="7"/>
    <x v="76"/>
    <n v="8086.39"/>
  </r>
  <r>
    <x v="36"/>
    <x v="37"/>
    <x v="7"/>
    <x v="76"/>
    <n v="46943394.460000001"/>
  </r>
  <r>
    <x v="8"/>
    <x v="8"/>
    <x v="7"/>
    <x v="76"/>
    <n v="3266841.71"/>
  </r>
  <r>
    <x v="17"/>
    <x v="17"/>
    <x v="7"/>
    <x v="76"/>
    <n v="5519706.0099999998"/>
  </r>
  <r>
    <x v="41"/>
    <x v="42"/>
    <x v="7"/>
    <x v="76"/>
    <n v="3652065.52"/>
  </r>
  <r>
    <x v="37"/>
    <x v="38"/>
    <x v="7"/>
    <x v="76"/>
    <n v="31620635.010000002"/>
  </r>
  <r>
    <x v="12"/>
    <x v="12"/>
    <x v="7"/>
    <x v="17"/>
    <n v="10198882.189999999"/>
  </r>
  <r>
    <x v="4"/>
    <x v="4"/>
    <x v="7"/>
    <x v="17"/>
    <n v="2693791.4"/>
  </r>
  <r>
    <x v="5"/>
    <x v="5"/>
    <x v="7"/>
    <x v="17"/>
    <n v="1772815.73"/>
  </r>
  <r>
    <x v="34"/>
    <x v="35"/>
    <x v="7"/>
    <x v="17"/>
    <n v="453.05"/>
  </r>
  <r>
    <x v="30"/>
    <x v="31"/>
    <x v="7"/>
    <x v="117"/>
    <n v="10637609.66"/>
  </r>
  <r>
    <x v="13"/>
    <x v="13"/>
    <x v="7"/>
    <x v="117"/>
    <n v="3794927.09"/>
  </r>
  <r>
    <x v="1"/>
    <x v="1"/>
    <x v="7"/>
    <x v="117"/>
    <n v="0.73"/>
  </r>
  <r>
    <x v="8"/>
    <x v="8"/>
    <x v="7"/>
    <x v="117"/>
    <n v="986566.86"/>
  </r>
  <r>
    <x v="29"/>
    <x v="30"/>
    <x v="7"/>
    <x v="117"/>
    <n v="4731261.1100000003"/>
  </r>
  <r>
    <x v="34"/>
    <x v="35"/>
    <x v="7"/>
    <x v="117"/>
    <n v="62434599.340000004"/>
  </r>
  <r>
    <x v="30"/>
    <x v="31"/>
    <x v="8"/>
    <x v="1"/>
    <n v="156.05000000000001"/>
  </r>
  <r>
    <x v="27"/>
    <x v="27"/>
    <x v="8"/>
    <x v="1"/>
    <n v="63528096"/>
  </r>
  <r>
    <x v="3"/>
    <x v="3"/>
    <x v="8"/>
    <x v="1"/>
    <n v="2147044.98"/>
  </r>
  <r>
    <x v="21"/>
    <x v="21"/>
    <x v="8"/>
    <x v="1"/>
    <n v="1.35"/>
  </r>
  <r>
    <x v="36"/>
    <x v="37"/>
    <x v="8"/>
    <x v="1"/>
    <n v="16851823.559999999"/>
  </r>
  <r>
    <x v="33"/>
    <x v="34"/>
    <x v="8"/>
    <x v="1"/>
    <n v="10719209.77"/>
  </r>
  <r>
    <x v="18"/>
    <x v="18"/>
    <x v="8"/>
    <x v="1"/>
    <n v="3765207"/>
  </r>
  <r>
    <x v="29"/>
    <x v="30"/>
    <x v="8"/>
    <x v="1"/>
    <n v="2750064.19"/>
  </r>
  <r>
    <x v="38"/>
    <x v="39"/>
    <x v="8"/>
    <x v="1"/>
    <n v="1952.32"/>
  </r>
  <r>
    <x v="34"/>
    <x v="35"/>
    <x v="8"/>
    <x v="1"/>
    <n v="17845661.23"/>
  </r>
  <r>
    <x v="12"/>
    <x v="12"/>
    <x v="8"/>
    <x v="105"/>
    <n v="16410160.41"/>
  </r>
  <r>
    <x v="1"/>
    <x v="1"/>
    <x v="8"/>
    <x v="105"/>
    <n v="5893437.6399999997"/>
  </r>
  <r>
    <x v="19"/>
    <x v="28"/>
    <x v="8"/>
    <x v="105"/>
    <n v="3687296.3"/>
  </r>
  <r>
    <x v="7"/>
    <x v="7"/>
    <x v="8"/>
    <x v="105"/>
    <n v="9104.5499999999993"/>
  </r>
  <r>
    <x v="24"/>
    <x v="24"/>
    <x v="8"/>
    <x v="105"/>
    <n v="3240825.54"/>
  </r>
  <r>
    <x v="40"/>
    <x v="41"/>
    <x v="8"/>
    <x v="105"/>
    <n v="28334001.940000001"/>
  </r>
  <r>
    <x v="2"/>
    <x v="2"/>
    <x v="8"/>
    <x v="2"/>
    <n v="6439925.5499999998"/>
  </r>
  <r>
    <x v="21"/>
    <x v="21"/>
    <x v="8"/>
    <x v="2"/>
    <n v="8997636.6400000006"/>
  </r>
  <r>
    <x v="5"/>
    <x v="5"/>
    <x v="8"/>
    <x v="2"/>
    <n v="10112874.039999999"/>
  </r>
  <r>
    <x v="33"/>
    <x v="34"/>
    <x v="8"/>
    <x v="2"/>
    <n v="10643734.289999999"/>
  </r>
  <r>
    <x v="8"/>
    <x v="8"/>
    <x v="8"/>
    <x v="2"/>
    <n v="0.75"/>
  </r>
  <r>
    <x v="17"/>
    <x v="17"/>
    <x v="8"/>
    <x v="2"/>
    <n v="9789384.8100000005"/>
  </r>
  <r>
    <x v="18"/>
    <x v="18"/>
    <x v="8"/>
    <x v="2"/>
    <n v="10708112.26"/>
  </r>
  <r>
    <x v="29"/>
    <x v="30"/>
    <x v="8"/>
    <x v="2"/>
    <n v="3250887.8"/>
  </r>
  <r>
    <x v="10"/>
    <x v="10"/>
    <x v="8"/>
    <x v="2"/>
    <n v="105024831"/>
  </r>
  <r>
    <x v="23"/>
    <x v="23"/>
    <x v="8"/>
    <x v="89"/>
    <n v="19161941"/>
  </r>
  <r>
    <x v="0"/>
    <x v="0"/>
    <x v="8"/>
    <x v="89"/>
    <n v="254.52"/>
  </r>
  <r>
    <x v="3"/>
    <x v="3"/>
    <x v="8"/>
    <x v="89"/>
    <n v="1380641.23"/>
  </r>
  <r>
    <x v="16"/>
    <x v="16"/>
    <x v="8"/>
    <x v="89"/>
    <n v="11801924.32"/>
  </r>
  <r>
    <x v="24"/>
    <x v="24"/>
    <x v="8"/>
    <x v="89"/>
    <n v="7515809.6699999999"/>
  </r>
  <r>
    <x v="29"/>
    <x v="30"/>
    <x v="8"/>
    <x v="89"/>
    <n v="7022882.1900000004"/>
  </r>
  <r>
    <x v="22"/>
    <x v="22"/>
    <x v="8"/>
    <x v="3"/>
    <n v="8633681.8499999996"/>
  </r>
  <r>
    <x v="20"/>
    <x v="20"/>
    <x v="8"/>
    <x v="3"/>
    <n v="36552431.280000001"/>
  </r>
  <r>
    <x v="1"/>
    <x v="1"/>
    <x v="8"/>
    <x v="3"/>
    <n v="10739485.92"/>
  </r>
  <r>
    <x v="21"/>
    <x v="21"/>
    <x v="8"/>
    <x v="3"/>
    <n v="15435465.17"/>
  </r>
  <r>
    <x v="5"/>
    <x v="5"/>
    <x v="8"/>
    <x v="3"/>
    <n v="3931429.82"/>
  </r>
  <r>
    <x v="32"/>
    <x v="33"/>
    <x v="8"/>
    <x v="3"/>
    <n v="5335197.97"/>
  </r>
  <r>
    <x v="7"/>
    <x v="7"/>
    <x v="8"/>
    <x v="3"/>
    <n v="6089052.4699999997"/>
  </r>
  <r>
    <x v="17"/>
    <x v="17"/>
    <x v="8"/>
    <x v="3"/>
    <n v="7298392.5999999996"/>
  </r>
  <r>
    <x v="39"/>
    <x v="40"/>
    <x v="8"/>
    <x v="3"/>
    <n v="8250640.1799999997"/>
  </r>
  <r>
    <x v="10"/>
    <x v="10"/>
    <x v="8"/>
    <x v="3"/>
    <n v="10572.49"/>
  </r>
  <r>
    <x v="34"/>
    <x v="35"/>
    <x v="8"/>
    <x v="3"/>
    <n v="36537939.380000003"/>
  </r>
  <r>
    <x v="30"/>
    <x v="31"/>
    <x v="8"/>
    <x v="106"/>
    <n v="4244528.28"/>
  </r>
  <r>
    <x v="13"/>
    <x v="13"/>
    <x v="8"/>
    <x v="106"/>
    <n v="12533.39"/>
  </r>
  <r>
    <x v="20"/>
    <x v="20"/>
    <x v="8"/>
    <x v="106"/>
    <n v="89372173.840000004"/>
  </r>
  <r>
    <x v="19"/>
    <x v="28"/>
    <x v="8"/>
    <x v="106"/>
    <n v="3055688.05"/>
  </r>
  <r>
    <x v="21"/>
    <x v="21"/>
    <x v="8"/>
    <x v="106"/>
    <n v="4511.9799999999996"/>
  </r>
  <r>
    <x v="32"/>
    <x v="33"/>
    <x v="8"/>
    <x v="106"/>
    <n v="1490865.18"/>
  </r>
  <r>
    <x v="41"/>
    <x v="42"/>
    <x v="8"/>
    <x v="106"/>
    <n v="7145644.1299999999"/>
  </r>
  <r>
    <x v="29"/>
    <x v="30"/>
    <x v="8"/>
    <x v="106"/>
    <n v="1100306.1399999999"/>
  </r>
  <r>
    <x v="22"/>
    <x v="22"/>
    <x v="8"/>
    <x v="107"/>
    <n v="1180.8900000000001"/>
  </r>
  <r>
    <x v="7"/>
    <x v="7"/>
    <x v="8"/>
    <x v="107"/>
    <n v="5991944.25"/>
  </r>
  <r>
    <x v="19"/>
    <x v="19"/>
    <x v="8"/>
    <x v="107"/>
    <n v="10261499.279999999"/>
  </r>
  <r>
    <x v="37"/>
    <x v="38"/>
    <x v="8"/>
    <x v="107"/>
    <n v="9425941.5700000003"/>
  </r>
  <r>
    <x v="25"/>
    <x v="25"/>
    <x v="8"/>
    <x v="107"/>
    <n v="11213447.68"/>
  </r>
  <r>
    <x v="35"/>
    <x v="36"/>
    <x v="8"/>
    <x v="68"/>
    <n v="1864219.33"/>
  </r>
  <r>
    <x v="0"/>
    <x v="0"/>
    <x v="8"/>
    <x v="68"/>
    <n v="18834304.800000001"/>
  </r>
  <r>
    <x v="3"/>
    <x v="3"/>
    <x v="8"/>
    <x v="68"/>
    <n v="815468.65"/>
  </r>
  <r>
    <x v="33"/>
    <x v="34"/>
    <x v="8"/>
    <x v="68"/>
    <n v="667.34"/>
  </r>
  <r>
    <x v="18"/>
    <x v="18"/>
    <x v="8"/>
    <x v="68"/>
    <n v="6261666.0499999998"/>
  </r>
  <r>
    <x v="39"/>
    <x v="40"/>
    <x v="8"/>
    <x v="68"/>
    <n v="4238872.05"/>
  </r>
  <r>
    <x v="34"/>
    <x v="35"/>
    <x v="8"/>
    <x v="68"/>
    <n v="18245044.379999999"/>
  </r>
  <r>
    <x v="25"/>
    <x v="25"/>
    <x v="8"/>
    <x v="68"/>
    <n v="0.78"/>
  </r>
  <r>
    <x v="14"/>
    <x v="14"/>
    <x v="8"/>
    <x v="69"/>
    <n v="365800288.57999998"/>
  </r>
  <r>
    <x v="2"/>
    <x v="2"/>
    <x v="8"/>
    <x v="69"/>
    <n v="5129995.62"/>
  </r>
  <r>
    <x v="5"/>
    <x v="5"/>
    <x v="8"/>
    <x v="69"/>
    <n v="313.85000000000002"/>
  </r>
  <r>
    <x v="16"/>
    <x v="16"/>
    <x v="8"/>
    <x v="69"/>
    <n v="24481267.48"/>
  </r>
  <r>
    <x v="17"/>
    <x v="17"/>
    <x v="8"/>
    <x v="69"/>
    <n v="0.54"/>
  </r>
  <r>
    <x v="37"/>
    <x v="38"/>
    <x v="8"/>
    <x v="69"/>
    <n v="11287784.07"/>
  </r>
  <r>
    <x v="12"/>
    <x v="12"/>
    <x v="8"/>
    <x v="118"/>
    <n v="14016.12"/>
  </r>
  <r>
    <x v="1"/>
    <x v="1"/>
    <x v="8"/>
    <x v="118"/>
    <n v="679.21"/>
  </r>
  <r>
    <x v="6"/>
    <x v="6"/>
    <x v="8"/>
    <x v="118"/>
    <n v="11764.54"/>
  </r>
  <r>
    <x v="8"/>
    <x v="8"/>
    <x v="8"/>
    <x v="118"/>
    <n v="2781399.24"/>
  </r>
  <r>
    <x v="24"/>
    <x v="24"/>
    <x v="8"/>
    <x v="118"/>
    <n v="7965749.6600000001"/>
  </r>
  <r>
    <x v="41"/>
    <x v="42"/>
    <x v="8"/>
    <x v="118"/>
    <n v="9716.01"/>
  </r>
  <r>
    <x v="37"/>
    <x v="38"/>
    <x v="8"/>
    <x v="118"/>
    <n v="7070118.9000000004"/>
  </r>
  <r>
    <x v="35"/>
    <x v="36"/>
    <x v="8"/>
    <x v="49"/>
    <n v="1324851.42"/>
  </r>
  <r>
    <x v="23"/>
    <x v="23"/>
    <x v="8"/>
    <x v="49"/>
    <n v="21986836.859999999"/>
  </r>
  <r>
    <x v="20"/>
    <x v="20"/>
    <x v="8"/>
    <x v="49"/>
    <n v="39191433.969999999"/>
  </r>
  <r>
    <x v="31"/>
    <x v="32"/>
    <x v="8"/>
    <x v="49"/>
    <n v="12416815.539999999"/>
  </r>
  <r>
    <x v="0"/>
    <x v="0"/>
    <x v="8"/>
    <x v="49"/>
    <n v="23802325.949999999"/>
  </r>
  <r>
    <x v="18"/>
    <x v="18"/>
    <x v="8"/>
    <x v="49"/>
    <n v="1697.55"/>
  </r>
  <r>
    <x v="35"/>
    <x v="36"/>
    <x v="8"/>
    <x v="21"/>
    <n v="3275002.84"/>
  </r>
  <r>
    <x v="23"/>
    <x v="23"/>
    <x v="8"/>
    <x v="21"/>
    <n v="25332960.18"/>
  </r>
  <r>
    <x v="27"/>
    <x v="27"/>
    <x v="8"/>
    <x v="21"/>
    <n v="132164834.54000001"/>
  </r>
  <r>
    <x v="16"/>
    <x v="16"/>
    <x v="8"/>
    <x v="21"/>
    <n v="13894605.890000001"/>
  </r>
  <r>
    <x v="10"/>
    <x v="10"/>
    <x v="8"/>
    <x v="21"/>
    <n v="9439.39"/>
  </r>
  <r>
    <x v="34"/>
    <x v="35"/>
    <x v="8"/>
    <x v="21"/>
    <n v="11155.66"/>
  </r>
  <r>
    <x v="30"/>
    <x v="31"/>
    <x v="8"/>
    <x v="51"/>
    <n v="11056696.98"/>
  </r>
  <r>
    <x v="6"/>
    <x v="6"/>
    <x v="8"/>
    <x v="51"/>
    <n v="45597894.18"/>
  </r>
  <r>
    <x v="33"/>
    <x v="34"/>
    <x v="8"/>
    <x v="51"/>
    <n v="14251496.1"/>
  </r>
  <r>
    <x v="17"/>
    <x v="17"/>
    <x v="8"/>
    <x v="51"/>
    <n v="1.1599999999999999"/>
  </r>
  <r>
    <x v="29"/>
    <x v="30"/>
    <x v="8"/>
    <x v="51"/>
    <n v="2612098.02"/>
  </r>
  <r>
    <x v="37"/>
    <x v="38"/>
    <x v="8"/>
    <x v="51"/>
    <n v="15549190.710000001"/>
  </r>
  <r>
    <x v="11"/>
    <x v="11"/>
    <x v="8"/>
    <x v="112"/>
    <n v="-5072335.12"/>
  </r>
  <r>
    <x v="12"/>
    <x v="12"/>
    <x v="8"/>
    <x v="112"/>
    <n v="3946199.65"/>
  </r>
  <r>
    <x v="0"/>
    <x v="0"/>
    <x v="8"/>
    <x v="112"/>
    <n v="9358311.9499999993"/>
  </r>
  <r>
    <x v="14"/>
    <x v="14"/>
    <x v="8"/>
    <x v="112"/>
    <n v="180577015.55000001"/>
  </r>
  <r>
    <x v="6"/>
    <x v="6"/>
    <x v="8"/>
    <x v="112"/>
    <n v="33829181.799999997"/>
  </r>
  <r>
    <x v="36"/>
    <x v="37"/>
    <x v="8"/>
    <x v="112"/>
    <n v="3048879.05"/>
  </r>
  <r>
    <x v="32"/>
    <x v="33"/>
    <x v="8"/>
    <x v="112"/>
    <n v="11009935.75"/>
  </r>
  <r>
    <x v="7"/>
    <x v="7"/>
    <x v="8"/>
    <x v="112"/>
    <n v="5083049.5"/>
  </r>
  <r>
    <x v="33"/>
    <x v="34"/>
    <x v="8"/>
    <x v="112"/>
    <n v="4073685.33"/>
  </r>
  <r>
    <x v="8"/>
    <x v="8"/>
    <x v="8"/>
    <x v="112"/>
    <n v="4101700.42"/>
  </r>
  <r>
    <x v="24"/>
    <x v="24"/>
    <x v="8"/>
    <x v="112"/>
    <n v="8280513.2300000004"/>
  </r>
  <r>
    <x v="37"/>
    <x v="38"/>
    <x v="8"/>
    <x v="112"/>
    <n v="11310880.460000001"/>
  </r>
  <r>
    <x v="34"/>
    <x v="35"/>
    <x v="8"/>
    <x v="112"/>
    <n v="5279154.16"/>
  </r>
  <r>
    <x v="31"/>
    <x v="32"/>
    <x v="8"/>
    <x v="97"/>
    <n v="11830641.15"/>
  </r>
  <r>
    <x v="0"/>
    <x v="0"/>
    <x v="8"/>
    <x v="97"/>
    <n v="33205444.82"/>
  </r>
  <r>
    <x v="23"/>
    <x v="23"/>
    <x v="8"/>
    <x v="114"/>
    <n v="5764.51"/>
  </r>
  <r>
    <x v="31"/>
    <x v="32"/>
    <x v="8"/>
    <x v="114"/>
    <n v="29110042.059999999"/>
  </r>
  <r>
    <x v="1"/>
    <x v="1"/>
    <x v="8"/>
    <x v="114"/>
    <n v="5636327.6699999999"/>
  </r>
  <r>
    <x v="2"/>
    <x v="2"/>
    <x v="8"/>
    <x v="114"/>
    <n v="3466116.43"/>
  </r>
  <r>
    <x v="18"/>
    <x v="18"/>
    <x v="8"/>
    <x v="114"/>
    <n v="5378164.04"/>
  </r>
  <r>
    <x v="38"/>
    <x v="39"/>
    <x v="8"/>
    <x v="114"/>
    <n v="4432387.58"/>
  </r>
  <r>
    <x v="37"/>
    <x v="38"/>
    <x v="8"/>
    <x v="114"/>
    <n v="17682180.77"/>
  </r>
  <r>
    <x v="39"/>
    <x v="40"/>
    <x v="8"/>
    <x v="114"/>
    <n v="3870593.72"/>
  </r>
  <r>
    <x v="35"/>
    <x v="36"/>
    <x v="8"/>
    <x v="9"/>
    <n v="2105588.0099999998"/>
  </r>
  <r>
    <x v="30"/>
    <x v="31"/>
    <x v="8"/>
    <x v="9"/>
    <n v="4911813.8499999996"/>
  </r>
  <r>
    <x v="12"/>
    <x v="12"/>
    <x v="8"/>
    <x v="9"/>
    <n v="8275347.1299999999"/>
  </r>
  <r>
    <x v="23"/>
    <x v="23"/>
    <x v="8"/>
    <x v="9"/>
    <n v="10593654.140000001"/>
  </r>
  <r>
    <x v="20"/>
    <x v="20"/>
    <x v="8"/>
    <x v="9"/>
    <n v="3424.44"/>
  </r>
  <r>
    <x v="6"/>
    <x v="6"/>
    <x v="8"/>
    <x v="9"/>
    <n v="0.22"/>
  </r>
  <r>
    <x v="32"/>
    <x v="33"/>
    <x v="8"/>
    <x v="9"/>
    <n v="6185597.0999999996"/>
  </r>
  <r>
    <x v="33"/>
    <x v="34"/>
    <x v="8"/>
    <x v="9"/>
    <n v="8728.7800000000007"/>
  </r>
  <r>
    <x v="41"/>
    <x v="42"/>
    <x v="8"/>
    <x v="9"/>
    <n v="3495670.73"/>
  </r>
  <r>
    <x v="10"/>
    <x v="10"/>
    <x v="8"/>
    <x v="9"/>
    <n v="42519017.43"/>
  </r>
  <r>
    <x v="35"/>
    <x v="36"/>
    <x v="8"/>
    <x v="36"/>
    <n v="579.25"/>
  </r>
  <r>
    <x v="30"/>
    <x v="31"/>
    <x v="8"/>
    <x v="36"/>
    <n v="11603065.880000001"/>
  </r>
  <r>
    <x v="12"/>
    <x v="12"/>
    <x v="8"/>
    <x v="36"/>
    <n v="4862452.0199999996"/>
  </r>
  <r>
    <x v="22"/>
    <x v="22"/>
    <x v="8"/>
    <x v="36"/>
    <n v="15826409.32"/>
  </r>
  <r>
    <x v="19"/>
    <x v="28"/>
    <x v="8"/>
    <x v="36"/>
    <n v="401.7"/>
  </r>
  <r>
    <x v="19"/>
    <x v="19"/>
    <x v="8"/>
    <x v="36"/>
    <n v="6559444.1900000004"/>
  </r>
  <r>
    <x v="40"/>
    <x v="41"/>
    <x v="8"/>
    <x v="36"/>
    <n v="27381209.710000001"/>
  </r>
  <r>
    <x v="25"/>
    <x v="25"/>
    <x v="8"/>
    <x v="36"/>
    <n v="3996017.98"/>
  </r>
  <r>
    <x v="12"/>
    <x v="12"/>
    <x v="8"/>
    <x v="72"/>
    <n v="12088.94"/>
  </r>
  <r>
    <x v="22"/>
    <x v="22"/>
    <x v="8"/>
    <x v="72"/>
    <n v="17847351.699999999"/>
  </r>
  <r>
    <x v="20"/>
    <x v="20"/>
    <x v="8"/>
    <x v="72"/>
    <n v="7831447.7400000002"/>
  </r>
  <r>
    <x v="32"/>
    <x v="33"/>
    <x v="8"/>
    <x v="72"/>
    <n v="2139821.36"/>
  </r>
  <r>
    <x v="19"/>
    <x v="19"/>
    <x v="8"/>
    <x v="72"/>
    <n v="12895680.859999999"/>
  </r>
  <r>
    <x v="11"/>
    <x v="11"/>
    <x v="8"/>
    <x v="73"/>
    <n v="0.25"/>
  </r>
  <r>
    <x v="27"/>
    <x v="27"/>
    <x v="8"/>
    <x v="73"/>
    <n v="70845052.040000007"/>
  </r>
  <r>
    <x v="2"/>
    <x v="2"/>
    <x v="8"/>
    <x v="73"/>
    <n v="4152753.44"/>
  </r>
  <r>
    <x v="3"/>
    <x v="3"/>
    <x v="8"/>
    <x v="73"/>
    <n v="9623.18"/>
  </r>
  <r>
    <x v="41"/>
    <x v="42"/>
    <x v="8"/>
    <x v="73"/>
    <n v="3976277.03"/>
  </r>
  <r>
    <x v="37"/>
    <x v="38"/>
    <x v="8"/>
    <x v="73"/>
    <n v="16486472.32"/>
  </r>
  <r>
    <x v="40"/>
    <x v="41"/>
    <x v="8"/>
    <x v="73"/>
    <n v="14977422.67"/>
  </r>
  <r>
    <x v="13"/>
    <x v="13"/>
    <x v="8"/>
    <x v="119"/>
    <n v="2520547.7999999998"/>
  </r>
  <r>
    <x v="20"/>
    <x v="20"/>
    <x v="8"/>
    <x v="119"/>
    <n v="59870219.630000003"/>
  </r>
  <r>
    <x v="0"/>
    <x v="0"/>
    <x v="8"/>
    <x v="119"/>
    <n v="10342558.859999999"/>
  </r>
  <r>
    <x v="1"/>
    <x v="1"/>
    <x v="8"/>
    <x v="119"/>
    <n v="4007731.18"/>
  </r>
  <r>
    <x v="19"/>
    <x v="28"/>
    <x v="8"/>
    <x v="119"/>
    <n v="6043873.96"/>
  </r>
  <r>
    <x v="2"/>
    <x v="2"/>
    <x v="8"/>
    <x v="119"/>
    <n v="4650997.88"/>
  </r>
  <r>
    <x v="16"/>
    <x v="16"/>
    <x v="8"/>
    <x v="119"/>
    <n v="9119796.2899999991"/>
  </r>
  <r>
    <x v="33"/>
    <x v="34"/>
    <x v="8"/>
    <x v="119"/>
    <n v="15861271.93"/>
  </r>
  <r>
    <x v="18"/>
    <x v="18"/>
    <x v="8"/>
    <x v="119"/>
    <n v="210.17"/>
  </r>
  <r>
    <x v="37"/>
    <x v="38"/>
    <x v="8"/>
    <x v="119"/>
    <n v="17822997.43"/>
  </r>
  <r>
    <x v="10"/>
    <x v="10"/>
    <x v="8"/>
    <x v="119"/>
    <n v="7922.31"/>
  </r>
  <r>
    <x v="25"/>
    <x v="25"/>
    <x v="8"/>
    <x v="119"/>
    <n v="6389.62"/>
  </r>
  <r>
    <x v="30"/>
    <x v="31"/>
    <x v="8"/>
    <x v="115"/>
    <n v="1268.8599999999999"/>
  </r>
  <r>
    <x v="15"/>
    <x v="15"/>
    <x v="8"/>
    <x v="115"/>
    <n v="12469610.43"/>
  </r>
  <r>
    <x v="6"/>
    <x v="6"/>
    <x v="8"/>
    <x v="115"/>
    <n v="78932271.709999993"/>
  </r>
  <r>
    <x v="39"/>
    <x v="40"/>
    <x v="8"/>
    <x v="115"/>
    <n v="3287605.52"/>
  </r>
  <r>
    <x v="30"/>
    <x v="31"/>
    <x v="8"/>
    <x v="27"/>
    <n v="9185777.1099999994"/>
  </r>
  <r>
    <x v="31"/>
    <x v="32"/>
    <x v="8"/>
    <x v="27"/>
    <n v="9179427.4700000007"/>
  </r>
  <r>
    <x v="0"/>
    <x v="0"/>
    <x v="8"/>
    <x v="27"/>
    <n v="1341.29"/>
  </r>
  <r>
    <x v="14"/>
    <x v="14"/>
    <x v="8"/>
    <x v="27"/>
    <n v="528451193.01999998"/>
  </r>
  <r>
    <x v="21"/>
    <x v="21"/>
    <x v="8"/>
    <x v="27"/>
    <n v="14594741.939999999"/>
  </r>
  <r>
    <x v="36"/>
    <x v="37"/>
    <x v="8"/>
    <x v="27"/>
    <n v="9765381.25"/>
  </r>
  <r>
    <x v="8"/>
    <x v="8"/>
    <x v="8"/>
    <x v="27"/>
    <n v="1716113.31"/>
  </r>
  <r>
    <x v="24"/>
    <x v="24"/>
    <x v="8"/>
    <x v="27"/>
    <n v="5921138.0599999996"/>
  </r>
  <r>
    <x v="38"/>
    <x v="39"/>
    <x v="8"/>
    <x v="27"/>
    <n v="3745057.61"/>
  </r>
  <r>
    <x v="34"/>
    <x v="35"/>
    <x v="8"/>
    <x v="27"/>
    <n v="29081350.809999999"/>
  </r>
  <r>
    <x v="30"/>
    <x v="31"/>
    <x v="8"/>
    <x v="87"/>
    <n v="5169904.0599999996"/>
  </r>
  <r>
    <x v="12"/>
    <x v="12"/>
    <x v="8"/>
    <x v="87"/>
    <n v="3366623.42"/>
  </r>
  <r>
    <x v="23"/>
    <x v="23"/>
    <x v="8"/>
    <x v="87"/>
    <n v="1.36"/>
  </r>
  <r>
    <x v="31"/>
    <x v="32"/>
    <x v="8"/>
    <x v="87"/>
    <n v="15419891.01"/>
  </r>
  <r>
    <x v="15"/>
    <x v="15"/>
    <x v="8"/>
    <x v="87"/>
    <n v="22534916.140000001"/>
  </r>
  <r>
    <x v="3"/>
    <x v="3"/>
    <x v="8"/>
    <x v="87"/>
    <n v="1020068.76"/>
  </r>
  <r>
    <x v="36"/>
    <x v="37"/>
    <x v="8"/>
    <x v="87"/>
    <n v="45637724.229999997"/>
  </r>
  <r>
    <x v="24"/>
    <x v="24"/>
    <x v="8"/>
    <x v="87"/>
    <n v="2695568.95"/>
  </r>
  <r>
    <x v="17"/>
    <x v="17"/>
    <x v="8"/>
    <x v="87"/>
    <n v="3985866.92"/>
  </r>
  <r>
    <x v="38"/>
    <x v="39"/>
    <x v="8"/>
    <x v="87"/>
    <n v="932510.03"/>
  </r>
  <r>
    <x v="39"/>
    <x v="40"/>
    <x v="8"/>
    <x v="87"/>
    <n v="6835573.0800000001"/>
  </r>
  <r>
    <x v="10"/>
    <x v="10"/>
    <x v="8"/>
    <x v="87"/>
    <n v="74882723.799999997"/>
  </r>
  <r>
    <x v="35"/>
    <x v="36"/>
    <x v="8"/>
    <x v="120"/>
    <n v="2306205.4"/>
  </r>
  <r>
    <x v="11"/>
    <x v="11"/>
    <x v="8"/>
    <x v="120"/>
    <n v="-2893832.98"/>
  </r>
  <r>
    <x v="13"/>
    <x v="13"/>
    <x v="8"/>
    <x v="120"/>
    <n v="0.08"/>
  </r>
  <r>
    <x v="22"/>
    <x v="22"/>
    <x v="8"/>
    <x v="120"/>
    <n v="4939391.2"/>
  </r>
  <r>
    <x v="1"/>
    <x v="1"/>
    <x v="8"/>
    <x v="120"/>
    <n v="6297837.3200000003"/>
  </r>
  <r>
    <x v="12"/>
    <x v="12"/>
    <x v="8"/>
    <x v="38"/>
    <n v="9628758.6099999994"/>
  </r>
  <r>
    <x v="13"/>
    <x v="13"/>
    <x v="8"/>
    <x v="38"/>
    <n v="3740250.29"/>
  </r>
  <r>
    <x v="22"/>
    <x v="22"/>
    <x v="8"/>
    <x v="38"/>
    <n v="13981366.6"/>
  </r>
  <r>
    <x v="19"/>
    <x v="28"/>
    <x v="8"/>
    <x v="38"/>
    <n v="5607336.5599999996"/>
  </r>
  <r>
    <x v="8"/>
    <x v="8"/>
    <x v="8"/>
    <x v="38"/>
    <n v="13126.74"/>
  </r>
  <r>
    <x v="25"/>
    <x v="25"/>
    <x v="8"/>
    <x v="38"/>
    <n v="5743121.0700000003"/>
  </r>
  <r>
    <x v="22"/>
    <x v="22"/>
    <x v="8"/>
    <x v="28"/>
    <n v="8241762.9900000002"/>
  </r>
  <r>
    <x v="20"/>
    <x v="20"/>
    <x v="8"/>
    <x v="28"/>
    <n v="23294729.93"/>
  </r>
  <r>
    <x v="0"/>
    <x v="0"/>
    <x v="8"/>
    <x v="28"/>
    <n v="10007915.609999999"/>
  </r>
  <r>
    <x v="19"/>
    <x v="28"/>
    <x v="8"/>
    <x v="28"/>
    <n v="1.26"/>
  </r>
  <r>
    <x v="15"/>
    <x v="15"/>
    <x v="8"/>
    <x v="28"/>
    <n v="1166.03"/>
  </r>
  <r>
    <x v="8"/>
    <x v="8"/>
    <x v="8"/>
    <x v="28"/>
    <n v="1043792.09"/>
  </r>
  <r>
    <x v="35"/>
    <x v="36"/>
    <x v="8"/>
    <x v="39"/>
    <n v="2341535.5099999998"/>
  </r>
  <r>
    <x v="23"/>
    <x v="23"/>
    <x v="8"/>
    <x v="39"/>
    <n v="30388341"/>
  </r>
  <r>
    <x v="31"/>
    <x v="32"/>
    <x v="8"/>
    <x v="39"/>
    <n v="14689228.41"/>
  </r>
  <r>
    <x v="19"/>
    <x v="28"/>
    <x v="8"/>
    <x v="39"/>
    <n v="4578766.7"/>
  </r>
  <r>
    <x v="5"/>
    <x v="5"/>
    <x v="8"/>
    <x v="39"/>
    <n v="4588799.91"/>
  </r>
  <r>
    <x v="24"/>
    <x v="24"/>
    <x v="8"/>
    <x v="39"/>
    <n v="3227306.1"/>
  </r>
  <r>
    <x v="17"/>
    <x v="17"/>
    <x v="8"/>
    <x v="39"/>
    <n v="10698693.57"/>
  </r>
  <r>
    <x v="10"/>
    <x v="10"/>
    <x v="8"/>
    <x v="39"/>
    <n v="78032154.640000001"/>
  </r>
  <r>
    <x v="20"/>
    <x v="20"/>
    <x v="8"/>
    <x v="121"/>
    <n v="1319.22"/>
  </r>
  <r>
    <x v="19"/>
    <x v="28"/>
    <x v="8"/>
    <x v="121"/>
    <n v="4451368.76"/>
  </r>
  <r>
    <x v="21"/>
    <x v="21"/>
    <x v="8"/>
    <x v="121"/>
    <n v="12792884.720000001"/>
  </r>
  <r>
    <x v="6"/>
    <x v="6"/>
    <x v="8"/>
    <x v="121"/>
    <n v="41233365.039999999"/>
  </r>
  <r>
    <x v="21"/>
    <x v="21"/>
    <x v="9"/>
    <x v="1"/>
    <n v="3081879.68"/>
  </r>
  <r>
    <x v="7"/>
    <x v="7"/>
    <x v="9"/>
    <x v="1"/>
    <n v="6686090.9900000002"/>
  </r>
  <r>
    <x v="33"/>
    <x v="34"/>
    <x v="9"/>
    <x v="1"/>
    <n v="2995683.64"/>
  </r>
  <r>
    <x v="9"/>
    <x v="9"/>
    <x v="9"/>
    <x v="1"/>
    <n v="1681856.42"/>
  </r>
  <r>
    <x v="10"/>
    <x v="10"/>
    <x v="9"/>
    <x v="1"/>
    <n v="38578316.350000001"/>
  </r>
  <r>
    <x v="26"/>
    <x v="26"/>
    <x v="9"/>
    <x v="18"/>
    <n v="42172518.630000003"/>
  </r>
  <r>
    <x v="0"/>
    <x v="0"/>
    <x v="9"/>
    <x v="18"/>
    <n v="19036699.25"/>
  </r>
  <r>
    <x v="21"/>
    <x v="21"/>
    <x v="9"/>
    <x v="18"/>
    <n v="4336761.7699999996"/>
  </r>
  <r>
    <x v="33"/>
    <x v="34"/>
    <x v="9"/>
    <x v="18"/>
    <n v="7514279.8399999999"/>
  </r>
  <r>
    <x v="41"/>
    <x v="42"/>
    <x v="9"/>
    <x v="18"/>
    <n v="2508073.83"/>
  </r>
  <r>
    <x v="37"/>
    <x v="38"/>
    <x v="9"/>
    <x v="18"/>
    <n v="26408865.07"/>
  </r>
  <r>
    <x v="40"/>
    <x v="41"/>
    <x v="9"/>
    <x v="18"/>
    <n v="19838583.809999999"/>
  </r>
  <r>
    <x v="10"/>
    <x v="10"/>
    <x v="9"/>
    <x v="18"/>
    <n v="178.21"/>
  </r>
  <r>
    <x v="25"/>
    <x v="25"/>
    <x v="9"/>
    <x v="18"/>
    <n v="12616451.57"/>
  </r>
  <r>
    <x v="22"/>
    <x v="22"/>
    <x v="9"/>
    <x v="43"/>
    <n v="12858631.220000001"/>
  </r>
  <r>
    <x v="26"/>
    <x v="26"/>
    <x v="9"/>
    <x v="43"/>
    <n v="27547016.02"/>
  </r>
  <r>
    <x v="27"/>
    <x v="27"/>
    <x v="9"/>
    <x v="43"/>
    <n v="28476108.59"/>
  </r>
  <r>
    <x v="0"/>
    <x v="0"/>
    <x v="9"/>
    <x v="43"/>
    <n v="8855106.0199999996"/>
  </r>
  <r>
    <x v="2"/>
    <x v="2"/>
    <x v="9"/>
    <x v="43"/>
    <n v="1519787.35"/>
  </r>
  <r>
    <x v="16"/>
    <x v="16"/>
    <x v="9"/>
    <x v="43"/>
    <n v="3093631.15"/>
  </r>
  <r>
    <x v="7"/>
    <x v="7"/>
    <x v="9"/>
    <x v="43"/>
    <n v="1852133.03"/>
  </r>
  <r>
    <x v="33"/>
    <x v="34"/>
    <x v="9"/>
    <x v="43"/>
    <n v="12296697.9"/>
  </r>
  <r>
    <x v="29"/>
    <x v="30"/>
    <x v="9"/>
    <x v="43"/>
    <n v="1072725.75"/>
  </r>
  <r>
    <x v="10"/>
    <x v="10"/>
    <x v="9"/>
    <x v="43"/>
    <n v="26907473.809999999"/>
  </r>
  <r>
    <x v="22"/>
    <x v="22"/>
    <x v="9"/>
    <x v="122"/>
    <n v="16742172.310000001"/>
  </r>
  <r>
    <x v="26"/>
    <x v="26"/>
    <x v="9"/>
    <x v="122"/>
    <n v="22605295.550000001"/>
  </r>
  <r>
    <x v="21"/>
    <x v="21"/>
    <x v="9"/>
    <x v="122"/>
    <n v="3457531.56"/>
  </r>
  <r>
    <x v="5"/>
    <x v="5"/>
    <x v="9"/>
    <x v="122"/>
    <n v="3513214.51"/>
  </r>
  <r>
    <x v="16"/>
    <x v="16"/>
    <x v="9"/>
    <x v="122"/>
    <n v="4390034.33"/>
  </r>
  <r>
    <x v="7"/>
    <x v="7"/>
    <x v="9"/>
    <x v="122"/>
    <n v="2120801.8199999998"/>
  </r>
  <r>
    <x v="18"/>
    <x v="18"/>
    <x v="9"/>
    <x v="122"/>
    <n v="1866515.94"/>
  </r>
  <r>
    <x v="10"/>
    <x v="10"/>
    <x v="9"/>
    <x v="122"/>
    <n v="23597527.16"/>
  </r>
  <r>
    <x v="31"/>
    <x v="32"/>
    <x v="9"/>
    <x v="123"/>
    <n v="17023037.84"/>
  </r>
  <r>
    <x v="21"/>
    <x v="21"/>
    <x v="9"/>
    <x v="123"/>
    <n v="4855048.74"/>
  </r>
  <r>
    <x v="41"/>
    <x v="42"/>
    <x v="9"/>
    <x v="123"/>
    <n v="499674.07"/>
  </r>
  <r>
    <x v="38"/>
    <x v="39"/>
    <x v="9"/>
    <x v="123"/>
    <n v="9539.32"/>
  </r>
  <r>
    <x v="10"/>
    <x v="10"/>
    <x v="9"/>
    <x v="123"/>
    <n v="25262014.030000001"/>
  </r>
  <r>
    <x v="2"/>
    <x v="2"/>
    <x v="9"/>
    <x v="124"/>
    <n v="1100482.31"/>
  </r>
  <r>
    <x v="21"/>
    <x v="21"/>
    <x v="9"/>
    <x v="124"/>
    <n v="4802141.08"/>
  </r>
  <r>
    <x v="4"/>
    <x v="4"/>
    <x v="9"/>
    <x v="124"/>
    <n v="2008527.14"/>
  </r>
  <r>
    <x v="7"/>
    <x v="7"/>
    <x v="9"/>
    <x v="124"/>
    <n v="1020138.05"/>
  </r>
  <r>
    <x v="18"/>
    <x v="18"/>
    <x v="9"/>
    <x v="124"/>
    <n v="5249817.1399999997"/>
  </r>
  <r>
    <x v="40"/>
    <x v="41"/>
    <x v="9"/>
    <x v="124"/>
    <n v="4853394.7"/>
  </r>
  <r>
    <x v="25"/>
    <x v="25"/>
    <x v="9"/>
    <x v="124"/>
    <n v="2357791.4900000002"/>
  </r>
  <r>
    <x v="31"/>
    <x v="32"/>
    <x v="9"/>
    <x v="93"/>
    <n v="5793272.0700000003"/>
  </r>
  <r>
    <x v="14"/>
    <x v="14"/>
    <x v="9"/>
    <x v="93"/>
    <n v="206145613.06"/>
  </r>
  <r>
    <x v="28"/>
    <x v="29"/>
    <x v="9"/>
    <x v="93"/>
    <n v="1756.47"/>
  </r>
  <r>
    <x v="2"/>
    <x v="2"/>
    <x v="9"/>
    <x v="93"/>
    <n v="731919.15"/>
  </r>
  <r>
    <x v="21"/>
    <x v="21"/>
    <x v="9"/>
    <x v="93"/>
    <n v="5607446.4299999997"/>
  </r>
  <r>
    <x v="9"/>
    <x v="9"/>
    <x v="9"/>
    <x v="93"/>
    <n v="2613488.23"/>
  </r>
  <r>
    <x v="39"/>
    <x v="40"/>
    <x v="9"/>
    <x v="93"/>
    <n v="0.99"/>
  </r>
  <r>
    <x v="25"/>
    <x v="25"/>
    <x v="9"/>
    <x v="93"/>
    <n v="6110692.7999999998"/>
  </r>
  <r>
    <x v="11"/>
    <x v="11"/>
    <x v="9"/>
    <x v="7"/>
    <n v="-1226996.75"/>
  </r>
  <r>
    <x v="20"/>
    <x v="20"/>
    <x v="9"/>
    <x v="7"/>
    <n v="30097423.75"/>
  </r>
  <r>
    <x v="31"/>
    <x v="32"/>
    <x v="9"/>
    <x v="7"/>
    <n v="14330442.890000001"/>
  </r>
  <r>
    <x v="16"/>
    <x v="16"/>
    <x v="9"/>
    <x v="7"/>
    <n v="17901006.91"/>
  </r>
  <r>
    <x v="33"/>
    <x v="34"/>
    <x v="9"/>
    <x v="7"/>
    <n v="3971946.46"/>
  </r>
  <r>
    <x v="29"/>
    <x v="30"/>
    <x v="9"/>
    <x v="7"/>
    <n v="3498951.91"/>
  </r>
  <r>
    <x v="37"/>
    <x v="38"/>
    <x v="9"/>
    <x v="7"/>
    <n v="17778519.550000001"/>
  </r>
  <r>
    <x v="23"/>
    <x v="23"/>
    <x v="9"/>
    <x v="33"/>
    <n v="12301599.32"/>
  </r>
  <r>
    <x v="20"/>
    <x v="20"/>
    <x v="9"/>
    <x v="33"/>
    <n v="39692016.32"/>
  </r>
  <r>
    <x v="0"/>
    <x v="0"/>
    <x v="9"/>
    <x v="33"/>
    <n v="10126832.98"/>
  </r>
  <r>
    <x v="2"/>
    <x v="2"/>
    <x v="9"/>
    <x v="33"/>
    <n v="1311440.69"/>
  </r>
  <r>
    <x v="7"/>
    <x v="7"/>
    <x v="9"/>
    <x v="33"/>
    <n v="3391266.08"/>
  </r>
  <r>
    <x v="19"/>
    <x v="19"/>
    <x v="9"/>
    <x v="33"/>
    <n v="2444944.31"/>
  </r>
  <r>
    <x v="40"/>
    <x v="41"/>
    <x v="9"/>
    <x v="33"/>
    <n v="5497.79"/>
  </r>
  <r>
    <x v="26"/>
    <x v="26"/>
    <x v="9"/>
    <x v="23"/>
    <n v="12011256.43"/>
  </r>
  <r>
    <x v="20"/>
    <x v="20"/>
    <x v="9"/>
    <x v="23"/>
    <n v="43816045.539999999"/>
  </r>
  <r>
    <x v="19"/>
    <x v="28"/>
    <x v="9"/>
    <x v="23"/>
    <n v="2125877.71"/>
  </r>
  <r>
    <x v="14"/>
    <x v="14"/>
    <x v="9"/>
    <x v="23"/>
    <n v="99661763.870000005"/>
  </r>
  <r>
    <x v="6"/>
    <x v="6"/>
    <x v="9"/>
    <x v="23"/>
    <n v="20676617.640000001"/>
  </r>
  <r>
    <x v="39"/>
    <x v="40"/>
    <x v="9"/>
    <x v="23"/>
    <n v="8394309.1899999995"/>
  </r>
  <r>
    <x v="40"/>
    <x v="41"/>
    <x v="9"/>
    <x v="23"/>
    <n v="12922550.84"/>
  </r>
  <r>
    <x v="12"/>
    <x v="12"/>
    <x v="9"/>
    <x v="71"/>
    <n v="2922394.45"/>
  </r>
  <r>
    <x v="27"/>
    <x v="27"/>
    <x v="9"/>
    <x v="71"/>
    <n v="38655669.420000002"/>
  </r>
  <r>
    <x v="0"/>
    <x v="0"/>
    <x v="9"/>
    <x v="71"/>
    <n v="9454327.1199999992"/>
  </r>
  <r>
    <x v="19"/>
    <x v="28"/>
    <x v="9"/>
    <x v="71"/>
    <n v="2303132.91"/>
  </r>
  <r>
    <x v="2"/>
    <x v="2"/>
    <x v="9"/>
    <x v="71"/>
    <n v="1999923.85"/>
  </r>
  <r>
    <x v="5"/>
    <x v="5"/>
    <x v="9"/>
    <x v="71"/>
    <n v="1394496.33"/>
  </r>
  <r>
    <x v="6"/>
    <x v="6"/>
    <x v="9"/>
    <x v="71"/>
    <n v="32713558.239999998"/>
  </r>
  <r>
    <x v="16"/>
    <x v="16"/>
    <x v="9"/>
    <x v="71"/>
    <n v="10304794.59"/>
  </r>
  <r>
    <x v="18"/>
    <x v="18"/>
    <x v="9"/>
    <x v="71"/>
    <n v="3988857.82"/>
  </r>
  <r>
    <x v="29"/>
    <x v="30"/>
    <x v="9"/>
    <x v="71"/>
    <n v="1159984.82"/>
  </r>
  <r>
    <x v="19"/>
    <x v="19"/>
    <x v="9"/>
    <x v="71"/>
    <n v="1682511.58"/>
  </r>
  <r>
    <x v="30"/>
    <x v="31"/>
    <x v="9"/>
    <x v="125"/>
    <n v="9395000.6500000004"/>
  </r>
  <r>
    <x v="0"/>
    <x v="0"/>
    <x v="9"/>
    <x v="125"/>
    <n v="10011375.279999999"/>
  </r>
  <r>
    <x v="14"/>
    <x v="14"/>
    <x v="9"/>
    <x v="125"/>
    <n v="92105985.420000002"/>
  </r>
  <r>
    <x v="28"/>
    <x v="29"/>
    <x v="9"/>
    <x v="125"/>
    <n v="9317307.9600000009"/>
  </r>
  <r>
    <x v="4"/>
    <x v="4"/>
    <x v="9"/>
    <x v="125"/>
    <n v="7881.6"/>
  </r>
  <r>
    <x v="7"/>
    <x v="7"/>
    <x v="9"/>
    <x v="125"/>
    <n v="2474427.17"/>
  </r>
  <r>
    <x v="19"/>
    <x v="19"/>
    <x v="9"/>
    <x v="125"/>
    <n v="1927318.23"/>
  </r>
  <r>
    <x v="38"/>
    <x v="39"/>
    <x v="9"/>
    <x v="125"/>
    <n v="2147004.8199999998"/>
  </r>
  <r>
    <x v="30"/>
    <x v="31"/>
    <x v="9"/>
    <x v="86"/>
    <n v="12452284.18"/>
  </r>
  <r>
    <x v="12"/>
    <x v="12"/>
    <x v="9"/>
    <x v="86"/>
    <n v="2195784.54"/>
  </r>
  <r>
    <x v="31"/>
    <x v="32"/>
    <x v="9"/>
    <x v="86"/>
    <n v="1897866.48"/>
  </r>
  <r>
    <x v="2"/>
    <x v="2"/>
    <x v="9"/>
    <x v="86"/>
    <n v="2338613.7200000002"/>
  </r>
  <r>
    <x v="5"/>
    <x v="5"/>
    <x v="9"/>
    <x v="86"/>
    <n v="3607432.93"/>
  </r>
  <r>
    <x v="6"/>
    <x v="6"/>
    <x v="9"/>
    <x v="86"/>
    <n v="6941788.5"/>
  </r>
  <r>
    <x v="11"/>
    <x v="11"/>
    <x v="9"/>
    <x v="12"/>
    <n v="-2117420.38"/>
  </r>
  <r>
    <x v="18"/>
    <x v="18"/>
    <x v="9"/>
    <x v="12"/>
    <n v="3582737.95"/>
  </r>
  <r>
    <x v="29"/>
    <x v="30"/>
    <x v="9"/>
    <x v="12"/>
    <n v="889199.76"/>
  </r>
  <r>
    <x v="9"/>
    <x v="9"/>
    <x v="9"/>
    <x v="12"/>
    <n v="1.03"/>
  </r>
  <r>
    <x v="35"/>
    <x v="36"/>
    <x v="9"/>
    <x v="56"/>
    <n v="11062964.470000001"/>
  </r>
  <r>
    <x v="22"/>
    <x v="22"/>
    <x v="9"/>
    <x v="56"/>
    <n v="10712889.4"/>
  </r>
  <r>
    <x v="26"/>
    <x v="26"/>
    <x v="9"/>
    <x v="56"/>
    <n v="27316243.68"/>
  </r>
  <r>
    <x v="41"/>
    <x v="42"/>
    <x v="9"/>
    <x v="56"/>
    <n v="839384.29"/>
  </r>
  <r>
    <x v="29"/>
    <x v="30"/>
    <x v="9"/>
    <x v="56"/>
    <n v="1760818.07"/>
  </r>
  <r>
    <x v="9"/>
    <x v="9"/>
    <x v="9"/>
    <x v="56"/>
    <n v="5986597.8799999999"/>
  </r>
  <r>
    <x v="19"/>
    <x v="19"/>
    <x v="9"/>
    <x v="56"/>
    <n v="0.89"/>
  </r>
  <r>
    <x v="37"/>
    <x v="38"/>
    <x v="9"/>
    <x v="56"/>
    <n v="540.59"/>
  </r>
  <r>
    <x v="39"/>
    <x v="40"/>
    <x v="9"/>
    <x v="56"/>
    <n v="0.43"/>
  </r>
  <r>
    <x v="40"/>
    <x v="41"/>
    <x v="9"/>
    <x v="56"/>
    <n v="7917365.29"/>
  </r>
  <r>
    <x v="35"/>
    <x v="36"/>
    <x v="9"/>
    <x v="99"/>
    <n v="1544.12"/>
  </r>
  <r>
    <x v="30"/>
    <x v="31"/>
    <x v="9"/>
    <x v="99"/>
    <n v="8340795.8899999997"/>
  </r>
  <r>
    <x v="22"/>
    <x v="22"/>
    <x v="9"/>
    <x v="99"/>
    <n v="6707623.3899999997"/>
  </r>
  <r>
    <x v="26"/>
    <x v="26"/>
    <x v="9"/>
    <x v="99"/>
    <n v="14088207.800000001"/>
  </r>
  <r>
    <x v="14"/>
    <x v="14"/>
    <x v="9"/>
    <x v="99"/>
    <n v="99917674.629999995"/>
  </r>
  <r>
    <x v="4"/>
    <x v="4"/>
    <x v="9"/>
    <x v="99"/>
    <n v="1946789.9"/>
  </r>
  <r>
    <x v="6"/>
    <x v="6"/>
    <x v="9"/>
    <x v="99"/>
    <n v="21851170.43"/>
  </r>
  <r>
    <x v="9"/>
    <x v="9"/>
    <x v="9"/>
    <x v="99"/>
    <n v="8518613.4600000009"/>
  </r>
  <r>
    <x v="37"/>
    <x v="38"/>
    <x v="9"/>
    <x v="99"/>
    <n v="12321474.91"/>
  </r>
  <r>
    <x v="10"/>
    <x v="10"/>
    <x v="9"/>
    <x v="99"/>
    <n v="15782118.369999999"/>
  </r>
  <r>
    <x v="25"/>
    <x v="25"/>
    <x v="9"/>
    <x v="99"/>
    <n v="5591836.5499999998"/>
  </r>
  <r>
    <x v="27"/>
    <x v="27"/>
    <x v="9"/>
    <x v="120"/>
    <n v="88295418.219999999"/>
  </r>
  <r>
    <x v="0"/>
    <x v="0"/>
    <x v="9"/>
    <x v="120"/>
    <n v="6538831.3700000001"/>
  </r>
  <r>
    <x v="19"/>
    <x v="28"/>
    <x v="9"/>
    <x v="120"/>
    <n v="5620164.25"/>
  </r>
  <r>
    <x v="28"/>
    <x v="29"/>
    <x v="9"/>
    <x v="120"/>
    <n v="6071861.29"/>
  </r>
  <r>
    <x v="2"/>
    <x v="2"/>
    <x v="9"/>
    <x v="120"/>
    <n v="923183.83"/>
  </r>
  <r>
    <x v="7"/>
    <x v="7"/>
    <x v="9"/>
    <x v="120"/>
    <n v="1674191.63"/>
  </r>
  <r>
    <x v="33"/>
    <x v="34"/>
    <x v="9"/>
    <x v="120"/>
    <n v="6418998.2400000002"/>
  </r>
  <r>
    <x v="12"/>
    <x v="12"/>
    <x v="9"/>
    <x v="38"/>
    <n v="1337622.02"/>
  </r>
  <r>
    <x v="6"/>
    <x v="6"/>
    <x v="9"/>
    <x v="38"/>
    <n v="34152164.719999999"/>
  </r>
  <r>
    <x v="19"/>
    <x v="19"/>
    <x v="9"/>
    <x v="38"/>
    <n v="3277953.44"/>
  </r>
  <r>
    <x v="38"/>
    <x v="39"/>
    <x v="9"/>
    <x v="38"/>
    <n v="3825077.21"/>
  </r>
  <r>
    <x v="12"/>
    <x v="12"/>
    <x v="9"/>
    <x v="65"/>
    <n v="1102622.03"/>
  </r>
  <r>
    <x v="23"/>
    <x v="23"/>
    <x v="9"/>
    <x v="65"/>
    <n v="24397450.359999999"/>
  </r>
  <r>
    <x v="5"/>
    <x v="5"/>
    <x v="9"/>
    <x v="65"/>
    <n v="3034538.5"/>
  </r>
  <r>
    <x v="6"/>
    <x v="6"/>
    <x v="9"/>
    <x v="65"/>
    <n v="17898421.23"/>
  </r>
  <r>
    <x v="29"/>
    <x v="30"/>
    <x v="9"/>
    <x v="65"/>
    <n v="920747.68"/>
  </r>
  <r>
    <x v="37"/>
    <x v="38"/>
    <x v="9"/>
    <x v="65"/>
    <n v="16514896.92"/>
  </r>
  <r>
    <x v="10"/>
    <x v="10"/>
    <x v="9"/>
    <x v="65"/>
    <n v="49776818.600000001"/>
  </r>
  <r>
    <x v="25"/>
    <x v="25"/>
    <x v="9"/>
    <x v="65"/>
    <n v="5819.22"/>
  </r>
  <r>
    <x v="20"/>
    <x v="20"/>
    <x v="9"/>
    <x v="101"/>
    <n v="31762497.859999999"/>
  </r>
  <r>
    <x v="19"/>
    <x v="28"/>
    <x v="9"/>
    <x v="101"/>
    <n v="7616258.2599999998"/>
  </r>
  <r>
    <x v="28"/>
    <x v="29"/>
    <x v="9"/>
    <x v="101"/>
    <n v="16434890.68"/>
  </r>
  <r>
    <x v="21"/>
    <x v="21"/>
    <x v="9"/>
    <x v="101"/>
    <n v="4875652.67"/>
  </r>
  <r>
    <x v="41"/>
    <x v="42"/>
    <x v="9"/>
    <x v="101"/>
    <n v="5223389.07"/>
  </r>
  <r>
    <x v="11"/>
    <x v="11"/>
    <x v="9"/>
    <x v="79"/>
    <n v="-3890607"/>
  </r>
  <r>
    <x v="26"/>
    <x v="26"/>
    <x v="9"/>
    <x v="79"/>
    <n v="53118031.549999997"/>
  </r>
  <r>
    <x v="28"/>
    <x v="29"/>
    <x v="9"/>
    <x v="79"/>
    <n v="1.88"/>
  </r>
  <r>
    <x v="2"/>
    <x v="2"/>
    <x v="9"/>
    <x v="79"/>
    <n v="1808118.09"/>
  </r>
  <r>
    <x v="21"/>
    <x v="21"/>
    <x v="9"/>
    <x v="79"/>
    <n v="3956408.13"/>
  </r>
  <r>
    <x v="4"/>
    <x v="4"/>
    <x v="9"/>
    <x v="79"/>
    <n v="9578580.8900000006"/>
  </r>
  <r>
    <x v="6"/>
    <x v="6"/>
    <x v="9"/>
    <x v="79"/>
    <n v="8027.83"/>
  </r>
  <r>
    <x v="19"/>
    <x v="19"/>
    <x v="9"/>
    <x v="79"/>
    <n v="7024711.0599999996"/>
  </r>
  <r>
    <x v="31"/>
    <x v="32"/>
    <x v="9"/>
    <x v="103"/>
    <n v="19916837.23"/>
  </r>
  <r>
    <x v="19"/>
    <x v="28"/>
    <x v="9"/>
    <x v="103"/>
    <n v="1175928.18"/>
  </r>
  <r>
    <x v="14"/>
    <x v="14"/>
    <x v="9"/>
    <x v="103"/>
    <n v="179948005.96000001"/>
  </r>
  <r>
    <x v="28"/>
    <x v="29"/>
    <x v="9"/>
    <x v="103"/>
    <n v="14432.47"/>
  </r>
  <r>
    <x v="7"/>
    <x v="7"/>
    <x v="9"/>
    <x v="103"/>
    <n v="2308488.59"/>
  </r>
  <r>
    <x v="10"/>
    <x v="10"/>
    <x v="9"/>
    <x v="103"/>
    <n v="22734879.559999999"/>
  </r>
  <r>
    <x v="35"/>
    <x v="36"/>
    <x v="9"/>
    <x v="126"/>
    <n v="16039548.210000001"/>
  </r>
  <r>
    <x v="23"/>
    <x v="23"/>
    <x v="9"/>
    <x v="126"/>
    <n v="28838527.079999998"/>
  </r>
  <r>
    <x v="14"/>
    <x v="14"/>
    <x v="9"/>
    <x v="126"/>
    <n v="1145.49"/>
  </r>
  <r>
    <x v="18"/>
    <x v="18"/>
    <x v="9"/>
    <x v="126"/>
    <n v="2273238.98"/>
  </r>
  <r>
    <x v="19"/>
    <x v="19"/>
    <x v="9"/>
    <x v="126"/>
    <n v="1011704.08"/>
  </r>
  <r>
    <x v="39"/>
    <x v="40"/>
    <x v="9"/>
    <x v="126"/>
    <n v="8245335.7599999998"/>
  </r>
  <r>
    <x v="25"/>
    <x v="25"/>
    <x v="9"/>
    <x v="126"/>
    <n v="8612199.5700000003"/>
  </r>
  <r>
    <x v="13"/>
    <x v="13"/>
    <x v="10"/>
    <x v="127"/>
    <n v="507.15"/>
  </r>
  <r>
    <x v="20"/>
    <x v="20"/>
    <x v="10"/>
    <x v="127"/>
    <n v="13351863.17"/>
  </r>
  <r>
    <x v="31"/>
    <x v="32"/>
    <x v="10"/>
    <x v="127"/>
    <n v="8556290.9700000007"/>
  </r>
  <r>
    <x v="14"/>
    <x v="14"/>
    <x v="10"/>
    <x v="127"/>
    <n v="147341383.78999999"/>
  </r>
  <r>
    <x v="33"/>
    <x v="34"/>
    <x v="10"/>
    <x v="127"/>
    <n v="3268658.81"/>
  </r>
  <r>
    <x v="17"/>
    <x v="17"/>
    <x v="10"/>
    <x v="127"/>
    <n v="2785115.86"/>
  </r>
  <r>
    <x v="41"/>
    <x v="42"/>
    <x v="10"/>
    <x v="127"/>
    <n v="652105.18999999994"/>
  </r>
  <r>
    <x v="25"/>
    <x v="25"/>
    <x v="10"/>
    <x v="127"/>
    <n v="1650779.18"/>
  </r>
  <r>
    <x v="35"/>
    <x v="36"/>
    <x v="10"/>
    <x v="89"/>
    <n v="10635088.359999999"/>
  </r>
  <r>
    <x v="30"/>
    <x v="31"/>
    <x v="10"/>
    <x v="89"/>
    <n v="8108087.9400000004"/>
  </r>
  <r>
    <x v="0"/>
    <x v="0"/>
    <x v="10"/>
    <x v="89"/>
    <n v="13277425.91"/>
  </r>
  <r>
    <x v="1"/>
    <x v="1"/>
    <x v="10"/>
    <x v="89"/>
    <n v="1931999.79"/>
  </r>
  <r>
    <x v="28"/>
    <x v="29"/>
    <x v="10"/>
    <x v="89"/>
    <n v="5884731.3200000003"/>
  </r>
  <r>
    <x v="2"/>
    <x v="2"/>
    <x v="10"/>
    <x v="89"/>
    <n v="4469.12"/>
  </r>
  <r>
    <x v="3"/>
    <x v="3"/>
    <x v="10"/>
    <x v="89"/>
    <n v="652705.80000000005"/>
  </r>
  <r>
    <x v="5"/>
    <x v="5"/>
    <x v="10"/>
    <x v="89"/>
    <n v="2413504.61"/>
  </r>
  <r>
    <x v="33"/>
    <x v="34"/>
    <x v="10"/>
    <x v="89"/>
    <n v="3849337.29"/>
  </r>
  <r>
    <x v="17"/>
    <x v="17"/>
    <x v="10"/>
    <x v="89"/>
    <n v="4686300.97"/>
  </r>
  <r>
    <x v="41"/>
    <x v="42"/>
    <x v="10"/>
    <x v="89"/>
    <n v="794593.99"/>
  </r>
  <r>
    <x v="9"/>
    <x v="9"/>
    <x v="10"/>
    <x v="89"/>
    <n v="2088269.21"/>
  </r>
  <r>
    <x v="19"/>
    <x v="19"/>
    <x v="10"/>
    <x v="89"/>
    <n v="1110.93"/>
  </r>
  <r>
    <x v="39"/>
    <x v="40"/>
    <x v="10"/>
    <x v="89"/>
    <n v="4576583.07"/>
  </r>
  <r>
    <x v="12"/>
    <x v="12"/>
    <x v="10"/>
    <x v="128"/>
    <n v="618450.13"/>
  </r>
  <r>
    <x v="14"/>
    <x v="14"/>
    <x v="10"/>
    <x v="128"/>
    <n v="73812859.390000001"/>
  </r>
  <r>
    <x v="28"/>
    <x v="29"/>
    <x v="10"/>
    <x v="128"/>
    <n v="2894268.07"/>
  </r>
  <r>
    <x v="15"/>
    <x v="15"/>
    <x v="10"/>
    <x v="128"/>
    <n v="4051313.41"/>
  </r>
  <r>
    <x v="5"/>
    <x v="5"/>
    <x v="10"/>
    <x v="128"/>
    <n v="6850097.3499999996"/>
  </r>
  <r>
    <x v="16"/>
    <x v="16"/>
    <x v="10"/>
    <x v="128"/>
    <n v="9899.59"/>
  </r>
  <r>
    <x v="9"/>
    <x v="9"/>
    <x v="10"/>
    <x v="128"/>
    <n v="4319813.3099999996"/>
  </r>
  <r>
    <x v="35"/>
    <x v="36"/>
    <x v="10"/>
    <x v="47"/>
    <n v="4473385.79"/>
  </r>
  <r>
    <x v="20"/>
    <x v="20"/>
    <x v="10"/>
    <x v="47"/>
    <n v="24358312.579999998"/>
  </r>
  <r>
    <x v="3"/>
    <x v="3"/>
    <x v="10"/>
    <x v="47"/>
    <n v="410515.32"/>
  </r>
  <r>
    <x v="24"/>
    <x v="24"/>
    <x v="10"/>
    <x v="47"/>
    <n v="4625668.4400000004"/>
  </r>
  <r>
    <x v="17"/>
    <x v="17"/>
    <x v="10"/>
    <x v="47"/>
    <n v="1372.92"/>
  </r>
  <r>
    <x v="41"/>
    <x v="42"/>
    <x v="10"/>
    <x v="47"/>
    <n v="812626.46"/>
  </r>
  <r>
    <x v="39"/>
    <x v="40"/>
    <x v="10"/>
    <x v="47"/>
    <n v="2057636.41"/>
  </r>
  <r>
    <x v="10"/>
    <x v="10"/>
    <x v="10"/>
    <x v="47"/>
    <n v="21130974.649999999"/>
  </r>
  <r>
    <x v="25"/>
    <x v="25"/>
    <x v="10"/>
    <x v="47"/>
    <n v="6856217.3399999999"/>
  </r>
  <r>
    <x v="11"/>
    <x v="11"/>
    <x v="10"/>
    <x v="129"/>
    <n v="9840.51"/>
  </r>
  <r>
    <x v="22"/>
    <x v="22"/>
    <x v="10"/>
    <x v="129"/>
    <n v="6216405.6900000004"/>
  </r>
  <r>
    <x v="21"/>
    <x v="21"/>
    <x v="10"/>
    <x v="129"/>
    <n v="775121.98"/>
  </r>
  <r>
    <x v="4"/>
    <x v="4"/>
    <x v="10"/>
    <x v="129"/>
    <n v="3063674.24"/>
  </r>
  <r>
    <x v="36"/>
    <x v="37"/>
    <x v="10"/>
    <x v="129"/>
    <n v="1281.32"/>
  </r>
  <r>
    <x v="7"/>
    <x v="7"/>
    <x v="10"/>
    <x v="129"/>
    <n v="453238.19"/>
  </r>
  <r>
    <x v="37"/>
    <x v="38"/>
    <x v="10"/>
    <x v="129"/>
    <n v="7296292.8899999997"/>
  </r>
  <r>
    <x v="13"/>
    <x v="13"/>
    <x v="10"/>
    <x v="95"/>
    <n v="5294007.05"/>
  </r>
  <r>
    <x v="20"/>
    <x v="20"/>
    <x v="10"/>
    <x v="95"/>
    <n v="32896517.379999999"/>
  </r>
  <r>
    <x v="19"/>
    <x v="28"/>
    <x v="10"/>
    <x v="95"/>
    <n v="14686.87"/>
  </r>
  <r>
    <x v="28"/>
    <x v="29"/>
    <x v="10"/>
    <x v="95"/>
    <n v="2524168.2799999998"/>
  </r>
  <r>
    <x v="4"/>
    <x v="4"/>
    <x v="10"/>
    <x v="95"/>
    <n v="3076197.53"/>
  </r>
  <r>
    <x v="16"/>
    <x v="16"/>
    <x v="10"/>
    <x v="95"/>
    <n v="3854.28"/>
  </r>
  <r>
    <x v="33"/>
    <x v="34"/>
    <x v="10"/>
    <x v="95"/>
    <n v="3628999.53"/>
  </r>
  <r>
    <x v="41"/>
    <x v="42"/>
    <x v="10"/>
    <x v="95"/>
    <n v="1072565.05"/>
  </r>
  <r>
    <x v="19"/>
    <x v="19"/>
    <x v="10"/>
    <x v="95"/>
    <n v="4507857.53"/>
  </r>
  <r>
    <x v="37"/>
    <x v="38"/>
    <x v="10"/>
    <x v="95"/>
    <n v="10760337.26"/>
  </r>
  <r>
    <x v="11"/>
    <x v="11"/>
    <x v="10"/>
    <x v="22"/>
    <n v="-1900992.07"/>
  </r>
  <r>
    <x v="12"/>
    <x v="12"/>
    <x v="10"/>
    <x v="22"/>
    <n v="870322.62"/>
  </r>
  <r>
    <x v="13"/>
    <x v="13"/>
    <x v="10"/>
    <x v="22"/>
    <n v="0.16"/>
  </r>
  <r>
    <x v="3"/>
    <x v="3"/>
    <x v="10"/>
    <x v="22"/>
    <n v="471428.11"/>
  </r>
  <r>
    <x v="21"/>
    <x v="21"/>
    <x v="10"/>
    <x v="22"/>
    <n v="278930.93"/>
  </r>
  <r>
    <x v="4"/>
    <x v="4"/>
    <x v="10"/>
    <x v="22"/>
    <n v="1312757.69"/>
  </r>
  <r>
    <x v="16"/>
    <x v="16"/>
    <x v="10"/>
    <x v="22"/>
    <n v="5948281.7300000004"/>
  </r>
  <r>
    <x v="7"/>
    <x v="7"/>
    <x v="10"/>
    <x v="22"/>
    <n v="797978.45"/>
  </r>
  <r>
    <x v="18"/>
    <x v="18"/>
    <x v="10"/>
    <x v="22"/>
    <n v="3987595.82"/>
  </r>
  <r>
    <x v="29"/>
    <x v="30"/>
    <x v="10"/>
    <x v="22"/>
    <n v="2088471.35"/>
  </r>
  <r>
    <x v="9"/>
    <x v="9"/>
    <x v="10"/>
    <x v="22"/>
    <n v="575.48"/>
  </r>
  <r>
    <x v="10"/>
    <x v="10"/>
    <x v="10"/>
    <x v="22"/>
    <n v="26340957.84"/>
  </r>
  <r>
    <x v="11"/>
    <x v="11"/>
    <x v="10"/>
    <x v="85"/>
    <n v="-693537.35"/>
  </r>
  <r>
    <x v="12"/>
    <x v="12"/>
    <x v="10"/>
    <x v="85"/>
    <n v="973809.33"/>
  </r>
  <r>
    <x v="22"/>
    <x v="22"/>
    <x v="10"/>
    <x v="85"/>
    <n v="8653896.75"/>
  </r>
  <r>
    <x v="26"/>
    <x v="26"/>
    <x v="10"/>
    <x v="85"/>
    <n v="62278071.990000002"/>
  </r>
  <r>
    <x v="1"/>
    <x v="1"/>
    <x v="10"/>
    <x v="85"/>
    <n v="1039.79"/>
  </r>
  <r>
    <x v="2"/>
    <x v="2"/>
    <x v="10"/>
    <x v="85"/>
    <n v="2208328.19"/>
  </r>
  <r>
    <x v="33"/>
    <x v="34"/>
    <x v="10"/>
    <x v="85"/>
    <n v="4513015.71"/>
  </r>
  <r>
    <x v="18"/>
    <x v="18"/>
    <x v="10"/>
    <x v="85"/>
    <n v="3472223.16"/>
  </r>
  <r>
    <x v="9"/>
    <x v="9"/>
    <x v="10"/>
    <x v="85"/>
    <n v="1882275.49"/>
  </r>
  <r>
    <x v="19"/>
    <x v="19"/>
    <x v="10"/>
    <x v="85"/>
    <n v="5197878.5999999996"/>
  </r>
  <r>
    <x v="39"/>
    <x v="40"/>
    <x v="10"/>
    <x v="85"/>
    <n v="2464266.4500000002"/>
  </r>
  <r>
    <x v="34"/>
    <x v="35"/>
    <x v="10"/>
    <x v="85"/>
    <n v="7746487.9900000002"/>
  </r>
  <r>
    <x v="12"/>
    <x v="12"/>
    <x v="10"/>
    <x v="55"/>
    <n v="530762.37"/>
  </r>
  <r>
    <x v="1"/>
    <x v="1"/>
    <x v="10"/>
    <x v="55"/>
    <n v="1499450.64"/>
  </r>
  <r>
    <x v="2"/>
    <x v="2"/>
    <x v="10"/>
    <x v="55"/>
    <n v="2183063.2799999998"/>
  </r>
  <r>
    <x v="4"/>
    <x v="4"/>
    <x v="10"/>
    <x v="55"/>
    <n v="731627.01"/>
  </r>
  <r>
    <x v="16"/>
    <x v="16"/>
    <x v="10"/>
    <x v="55"/>
    <n v="4929157.13"/>
  </r>
  <r>
    <x v="33"/>
    <x v="34"/>
    <x v="10"/>
    <x v="55"/>
    <n v="2293027.69"/>
  </r>
  <r>
    <x v="9"/>
    <x v="9"/>
    <x v="10"/>
    <x v="55"/>
    <n v="0.82"/>
  </r>
  <r>
    <x v="39"/>
    <x v="40"/>
    <x v="10"/>
    <x v="55"/>
    <n v="2039235.84"/>
  </r>
  <r>
    <x v="30"/>
    <x v="31"/>
    <x v="10"/>
    <x v="73"/>
    <n v="4314620.99"/>
  </r>
  <r>
    <x v="22"/>
    <x v="22"/>
    <x v="10"/>
    <x v="73"/>
    <n v="12036051.9"/>
  </r>
  <r>
    <x v="27"/>
    <x v="27"/>
    <x v="10"/>
    <x v="73"/>
    <n v="0.03"/>
  </r>
  <r>
    <x v="20"/>
    <x v="20"/>
    <x v="10"/>
    <x v="73"/>
    <n v="27756195.350000001"/>
  </r>
  <r>
    <x v="1"/>
    <x v="1"/>
    <x v="10"/>
    <x v="73"/>
    <n v="3419272.62"/>
  </r>
  <r>
    <x v="14"/>
    <x v="14"/>
    <x v="10"/>
    <x v="73"/>
    <n v="0.48"/>
  </r>
  <r>
    <x v="15"/>
    <x v="15"/>
    <x v="10"/>
    <x v="73"/>
    <n v="4142193.9"/>
  </r>
  <r>
    <x v="2"/>
    <x v="2"/>
    <x v="10"/>
    <x v="73"/>
    <n v="3766569"/>
  </r>
  <r>
    <x v="5"/>
    <x v="5"/>
    <x v="10"/>
    <x v="73"/>
    <n v="1884750.28"/>
  </r>
  <r>
    <x v="16"/>
    <x v="16"/>
    <x v="10"/>
    <x v="73"/>
    <n v="5205543.79"/>
  </r>
  <r>
    <x v="17"/>
    <x v="17"/>
    <x v="10"/>
    <x v="73"/>
    <n v="1673304.73"/>
  </r>
  <r>
    <x v="25"/>
    <x v="25"/>
    <x v="10"/>
    <x v="73"/>
    <n v="912.41"/>
  </r>
  <r>
    <x v="22"/>
    <x v="22"/>
    <x v="10"/>
    <x v="130"/>
    <n v="8966152.9100000001"/>
  </r>
  <r>
    <x v="7"/>
    <x v="7"/>
    <x v="10"/>
    <x v="130"/>
    <n v="916047.84"/>
  </r>
  <r>
    <x v="18"/>
    <x v="18"/>
    <x v="10"/>
    <x v="130"/>
    <n v="1771188.72"/>
  </r>
  <r>
    <x v="34"/>
    <x v="35"/>
    <x v="10"/>
    <x v="130"/>
    <n v="11387984.65"/>
  </r>
  <r>
    <x v="0"/>
    <x v="0"/>
    <x v="10"/>
    <x v="57"/>
    <n v="670.9"/>
  </r>
  <r>
    <x v="28"/>
    <x v="29"/>
    <x v="10"/>
    <x v="57"/>
    <n v="2141745.69"/>
  </r>
  <r>
    <x v="2"/>
    <x v="2"/>
    <x v="10"/>
    <x v="57"/>
    <n v="2378449.38"/>
  </r>
  <r>
    <x v="21"/>
    <x v="21"/>
    <x v="10"/>
    <x v="57"/>
    <n v="1303717.6299999999"/>
  </r>
  <r>
    <x v="7"/>
    <x v="7"/>
    <x v="10"/>
    <x v="57"/>
    <n v="690234.71"/>
  </r>
  <r>
    <x v="12"/>
    <x v="12"/>
    <x v="10"/>
    <x v="131"/>
    <n v="1183102.29"/>
  </r>
  <r>
    <x v="31"/>
    <x v="32"/>
    <x v="10"/>
    <x v="131"/>
    <n v="11634664.720000001"/>
  </r>
  <r>
    <x v="14"/>
    <x v="14"/>
    <x v="10"/>
    <x v="131"/>
    <n v="87885131.040000007"/>
  </r>
  <r>
    <x v="21"/>
    <x v="21"/>
    <x v="10"/>
    <x v="131"/>
    <n v="2470873.13"/>
  </r>
  <r>
    <x v="16"/>
    <x v="16"/>
    <x v="10"/>
    <x v="131"/>
    <n v="8394892.6699999999"/>
  </r>
  <r>
    <x v="7"/>
    <x v="7"/>
    <x v="10"/>
    <x v="131"/>
    <n v="465310.65"/>
  </r>
  <r>
    <x v="17"/>
    <x v="17"/>
    <x v="10"/>
    <x v="131"/>
    <n v="1970423.33"/>
  </r>
  <r>
    <x v="41"/>
    <x v="42"/>
    <x v="10"/>
    <x v="131"/>
    <n v="1489259.7"/>
  </r>
  <r>
    <x v="18"/>
    <x v="18"/>
    <x v="10"/>
    <x v="131"/>
    <n v="1670573.19"/>
  </r>
  <r>
    <x v="29"/>
    <x v="30"/>
    <x v="10"/>
    <x v="131"/>
    <n v="3991722.3"/>
  </r>
  <r>
    <x v="9"/>
    <x v="9"/>
    <x v="10"/>
    <x v="131"/>
    <n v="5543581.2199999997"/>
  </r>
  <r>
    <x v="39"/>
    <x v="40"/>
    <x v="10"/>
    <x v="131"/>
    <n v="1622450.97"/>
  </r>
  <r>
    <x v="10"/>
    <x v="10"/>
    <x v="10"/>
    <x v="131"/>
    <n v="25910827.73"/>
  </r>
  <r>
    <x v="34"/>
    <x v="35"/>
    <x v="10"/>
    <x v="131"/>
    <n v="10771909.34"/>
  </r>
  <r>
    <x v="0"/>
    <x v="0"/>
    <x v="10"/>
    <x v="87"/>
    <n v="11022404.050000001"/>
  </r>
  <r>
    <x v="15"/>
    <x v="15"/>
    <x v="10"/>
    <x v="87"/>
    <n v="2568964.4300000002"/>
  </r>
  <r>
    <x v="2"/>
    <x v="2"/>
    <x v="10"/>
    <x v="87"/>
    <n v="6808736.8200000003"/>
  </r>
  <r>
    <x v="3"/>
    <x v="3"/>
    <x v="10"/>
    <x v="87"/>
    <n v="369090.02"/>
  </r>
  <r>
    <x v="41"/>
    <x v="42"/>
    <x v="10"/>
    <x v="87"/>
    <n v="1787258.65"/>
  </r>
  <r>
    <x v="29"/>
    <x v="30"/>
    <x v="10"/>
    <x v="87"/>
    <n v="1221136.27"/>
  </r>
  <r>
    <x v="37"/>
    <x v="38"/>
    <x v="10"/>
    <x v="87"/>
    <n v="4022893.76"/>
  </r>
  <r>
    <x v="10"/>
    <x v="10"/>
    <x v="10"/>
    <x v="87"/>
    <n v="36049172.5"/>
  </r>
  <r>
    <x v="30"/>
    <x v="31"/>
    <x v="10"/>
    <x v="132"/>
    <n v="4661781.0599999996"/>
  </r>
  <r>
    <x v="0"/>
    <x v="0"/>
    <x v="10"/>
    <x v="132"/>
    <n v="12889.47"/>
  </r>
  <r>
    <x v="1"/>
    <x v="1"/>
    <x v="10"/>
    <x v="132"/>
    <n v="1053515.48"/>
  </r>
  <r>
    <x v="15"/>
    <x v="15"/>
    <x v="10"/>
    <x v="132"/>
    <n v="1158.49"/>
  </r>
  <r>
    <x v="18"/>
    <x v="18"/>
    <x v="10"/>
    <x v="132"/>
    <n v="1290202.53"/>
  </r>
  <r>
    <x v="29"/>
    <x v="30"/>
    <x v="10"/>
    <x v="132"/>
    <n v="1326.96"/>
  </r>
  <r>
    <x v="39"/>
    <x v="40"/>
    <x v="10"/>
    <x v="132"/>
    <n v="2158753.2000000002"/>
  </r>
  <r>
    <x v="35"/>
    <x v="36"/>
    <x v="10"/>
    <x v="133"/>
    <n v="4478332.71"/>
  </r>
  <r>
    <x v="12"/>
    <x v="12"/>
    <x v="10"/>
    <x v="133"/>
    <n v="981523.42"/>
  </r>
  <r>
    <x v="26"/>
    <x v="26"/>
    <x v="10"/>
    <x v="133"/>
    <n v="792.8"/>
  </r>
  <r>
    <x v="27"/>
    <x v="27"/>
    <x v="10"/>
    <x v="133"/>
    <n v="52730045.770000003"/>
  </r>
  <r>
    <x v="20"/>
    <x v="20"/>
    <x v="10"/>
    <x v="133"/>
    <n v="20538601.920000002"/>
  </r>
  <r>
    <x v="0"/>
    <x v="0"/>
    <x v="10"/>
    <x v="133"/>
    <n v="23260426.190000001"/>
  </r>
  <r>
    <x v="1"/>
    <x v="1"/>
    <x v="10"/>
    <x v="133"/>
    <n v="2531368.23"/>
  </r>
  <r>
    <x v="28"/>
    <x v="29"/>
    <x v="10"/>
    <x v="133"/>
    <n v="3767730.85"/>
  </r>
  <r>
    <x v="2"/>
    <x v="2"/>
    <x v="10"/>
    <x v="133"/>
    <n v="2120023.5499999998"/>
  </r>
  <r>
    <x v="36"/>
    <x v="37"/>
    <x v="10"/>
    <x v="133"/>
    <n v="16170630.76"/>
  </r>
  <r>
    <x v="35"/>
    <x v="36"/>
    <x v="10"/>
    <x v="75"/>
    <n v="5673155.3600000003"/>
  </r>
  <r>
    <x v="30"/>
    <x v="31"/>
    <x v="10"/>
    <x v="75"/>
    <n v="6113571"/>
  </r>
  <r>
    <x v="12"/>
    <x v="12"/>
    <x v="10"/>
    <x v="75"/>
    <n v="771202.18"/>
  </r>
  <r>
    <x v="13"/>
    <x v="13"/>
    <x v="10"/>
    <x v="75"/>
    <n v="3794703.21"/>
  </r>
  <r>
    <x v="1"/>
    <x v="1"/>
    <x v="10"/>
    <x v="75"/>
    <n v="4899055.5199999996"/>
  </r>
  <r>
    <x v="19"/>
    <x v="28"/>
    <x v="10"/>
    <x v="75"/>
    <n v="11804.08"/>
  </r>
  <r>
    <x v="4"/>
    <x v="4"/>
    <x v="10"/>
    <x v="75"/>
    <n v="1850794.28"/>
  </r>
  <r>
    <x v="33"/>
    <x v="34"/>
    <x v="10"/>
    <x v="75"/>
    <n v="1958076.6"/>
  </r>
  <r>
    <x v="13"/>
    <x v="13"/>
    <x v="10"/>
    <x v="77"/>
    <n v="1685824.31"/>
  </r>
  <r>
    <x v="19"/>
    <x v="28"/>
    <x v="10"/>
    <x v="77"/>
    <n v="6476161.0099999998"/>
  </r>
  <r>
    <x v="14"/>
    <x v="14"/>
    <x v="10"/>
    <x v="77"/>
    <n v="145384570.93000001"/>
  </r>
  <r>
    <x v="16"/>
    <x v="16"/>
    <x v="10"/>
    <x v="77"/>
    <n v="9734729.2899999991"/>
  </r>
  <r>
    <x v="7"/>
    <x v="7"/>
    <x v="10"/>
    <x v="77"/>
    <n v="554449.71"/>
  </r>
  <r>
    <x v="29"/>
    <x v="30"/>
    <x v="10"/>
    <x v="77"/>
    <n v="1132516.55"/>
  </r>
  <r>
    <x v="19"/>
    <x v="19"/>
    <x v="10"/>
    <x v="77"/>
    <n v="0.1"/>
  </r>
  <r>
    <x v="31"/>
    <x v="32"/>
    <x v="10"/>
    <x v="78"/>
    <n v="29181112.18"/>
  </r>
  <r>
    <x v="19"/>
    <x v="28"/>
    <x v="10"/>
    <x v="78"/>
    <n v="10145393.1"/>
  </r>
  <r>
    <x v="28"/>
    <x v="29"/>
    <x v="10"/>
    <x v="78"/>
    <n v="3228029.13"/>
  </r>
  <r>
    <x v="5"/>
    <x v="5"/>
    <x v="10"/>
    <x v="78"/>
    <n v="2157.92"/>
  </r>
  <r>
    <x v="24"/>
    <x v="24"/>
    <x v="10"/>
    <x v="78"/>
    <n v="2782014.08"/>
  </r>
  <r>
    <x v="17"/>
    <x v="17"/>
    <x v="10"/>
    <x v="78"/>
    <n v="1735302.95"/>
  </r>
  <r>
    <x v="19"/>
    <x v="19"/>
    <x v="10"/>
    <x v="78"/>
    <n v="1186.57"/>
  </r>
  <r>
    <x v="37"/>
    <x v="38"/>
    <x v="10"/>
    <x v="78"/>
    <n v="17605812.82"/>
  </r>
  <r>
    <x v="39"/>
    <x v="40"/>
    <x v="10"/>
    <x v="78"/>
    <n v="1350034.59"/>
  </r>
  <r>
    <x v="34"/>
    <x v="35"/>
    <x v="10"/>
    <x v="78"/>
    <n v="7113727.3499999996"/>
  </r>
  <r>
    <x v="35"/>
    <x v="36"/>
    <x v="10"/>
    <x v="15"/>
    <n v="1357.96"/>
  </r>
  <r>
    <x v="20"/>
    <x v="20"/>
    <x v="10"/>
    <x v="15"/>
    <n v="13907326.24"/>
  </r>
  <r>
    <x v="0"/>
    <x v="0"/>
    <x v="10"/>
    <x v="15"/>
    <n v="3214.13"/>
  </r>
  <r>
    <x v="15"/>
    <x v="15"/>
    <x v="10"/>
    <x v="15"/>
    <n v="2414156.29"/>
  </r>
  <r>
    <x v="3"/>
    <x v="3"/>
    <x v="10"/>
    <x v="15"/>
    <n v="826889.99"/>
  </r>
  <r>
    <x v="21"/>
    <x v="21"/>
    <x v="10"/>
    <x v="15"/>
    <n v="807942.57"/>
  </r>
  <r>
    <x v="33"/>
    <x v="34"/>
    <x v="10"/>
    <x v="15"/>
    <n v="7713783.8399999999"/>
  </r>
  <r>
    <x v="41"/>
    <x v="42"/>
    <x v="10"/>
    <x v="15"/>
    <n v="889057.09"/>
  </r>
  <r>
    <x v="18"/>
    <x v="18"/>
    <x v="10"/>
    <x v="15"/>
    <n v="2758733.36"/>
  </r>
  <r>
    <x v="37"/>
    <x v="38"/>
    <x v="10"/>
    <x v="15"/>
    <n v="2949.92"/>
  </r>
  <r>
    <x v="27"/>
    <x v="27"/>
    <x v="10"/>
    <x v="30"/>
    <n v="56116293.670000002"/>
  </r>
  <r>
    <x v="14"/>
    <x v="14"/>
    <x v="10"/>
    <x v="30"/>
    <n v="142056556.06"/>
  </r>
  <r>
    <x v="15"/>
    <x v="15"/>
    <x v="10"/>
    <x v="30"/>
    <n v="3131108.19"/>
  </r>
  <r>
    <x v="4"/>
    <x v="4"/>
    <x v="10"/>
    <x v="30"/>
    <n v="1868808.83"/>
  </r>
  <r>
    <x v="36"/>
    <x v="37"/>
    <x v="10"/>
    <x v="30"/>
    <n v="15144313.380000001"/>
  </r>
  <r>
    <x v="33"/>
    <x v="34"/>
    <x v="10"/>
    <x v="30"/>
    <n v="3321940.14"/>
  </r>
  <r>
    <x v="17"/>
    <x v="17"/>
    <x v="10"/>
    <x v="30"/>
    <n v="989483.42"/>
  </r>
  <r>
    <x v="9"/>
    <x v="9"/>
    <x v="10"/>
    <x v="30"/>
    <n v="1753900.4"/>
  </r>
  <r>
    <x v="37"/>
    <x v="38"/>
    <x v="10"/>
    <x v="30"/>
    <n v="6545745.4299999997"/>
  </r>
  <r>
    <x v="34"/>
    <x v="35"/>
    <x v="10"/>
    <x v="30"/>
    <n v="24348859.5"/>
  </r>
  <r>
    <x v="30"/>
    <x v="31"/>
    <x v="10"/>
    <x v="117"/>
    <n v="8522.06"/>
  </r>
  <r>
    <x v="26"/>
    <x v="26"/>
    <x v="10"/>
    <x v="117"/>
    <n v="86559054.709999993"/>
  </r>
  <r>
    <x v="27"/>
    <x v="27"/>
    <x v="10"/>
    <x v="117"/>
    <n v="42900633.189999998"/>
  </r>
  <r>
    <x v="36"/>
    <x v="37"/>
    <x v="10"/>
    <x v="117"/>
    <n v="16624849.75"/>
  </r>
  <r>
    <x v="7"/>
    <x v="7"/>
    <x v="10"/>
    <x v="117"/>
    <n v="119515.31"/>
  </r>
  <r>
    <x v="17"/>
    <x v="17"/>
    <x v="10"/>
    <x v="117"/>
    <n v="4245760.62"/>
  </r>
  <r>
    <x v="19"/>
    <x v="19"/>
    <x v="10"/>
    <x v="117"/>
    <n v="5756576.3399999999"/>
  </r>
  <r>
    <x v="10"/>
    <x v="10"/>
    <x v="10"/>
    <x v="117"/>
    <n v="25583815.84"/>
  </r>
  <r>
    <x v="25"/>
    <x v="25"/>
    <x v="10"/>
    <x v="117"/>
    <n v="1839915.91"/>
  </r>
  <r>
    <x v="11"/>
    <x v="11"/>
    <x v="10"/>
    <x v="103"/>
    <n v="-1858222.95"/>
  </r>
  <r>
    <x v="12"/>
    <x v="12"/>
    <x v="10"/>
    <x v="103"/>
    <n v="380585.68"/>
  </r>
  <r>
    <x v="26"/>
    <x v="26"/>
    <x v="10"/>
    <x v="103"/>
    <n v="45670266.640000001"/>
  </r>
  <r>
    <x v="0"/>
    <x v="0"/>
    <x v="10"/>
    <x v="103"/>
    <n v="9702224.5199999996"/>
  </r>
  <r>
    <x v="1"/>
    <x v="1"/>
    <x v="10"/>
    <x v="103"/>
    <n v="1746843.71"/>
  </r>
  <r>
    <x v="15"/>
    <x v="15"/>
    <x v="10"/>
    <x v="103"/>
    <n v="3323859.24"/>
  </r>
  <r>
    <x v="2"/>
    <x v="2"/>
    <x v="10"/>
    <x v="103"/>
    <n v="3174999.74"/>
  </r>
  <r>
    <x v="37"/>
    <x v="38"/>
    <x v="10"/>
    <x v="103"/>
    <n v="9915471.2699999996"/>
  </r>
  <r>
    <x v="25"/>
    <x v="25"/>
    <x v="10"/>
    <x v="103"/>
    <n v="5098800.9400000004"/>
  </r>
  <r>
    <x v="35"/>
    <x v="36"/>
    <x v="10"/>
    <x v="88"/>
    <n v="6204667.3099999996"/>
  </r>
  <r>
    <x v="11"/>
    <x v="11"/>
    <x v="10"/>
    <x v="88"/>
    <n v="0.67"/>
  </r>
  <r>
    <x v="22"/>
    <x v="22"/>
    <x v="10"/>
    <x v="88"/>
    <n v="1165.05"/>
  </r>
  <r>
    <x v="7"/>
    <x v="7"/>
    <x v="10"/>
    <x v="88"/>
    <n v="1133074.29"/>
  </r>
  <r>
    <x v="24"/>
    <x v="24"/>
    <x v="10"/>
    <x v="88"/>
    <n v="14917266.689999999"/>
  </r>
  <r>
    <x v="10"/>
    <x v="10"/>
    <x v="10"/>
    <x v="88"/>
    <n v="27294536.600000001"/>
  </r>
  <r>
    <x v="35"/>
    <x v="36"/>
    <x v="11"/>
    <x v="3"/>
    <n v="0.24"/>
  </r>
  <r>
    <x v="30"/>
    <x v="31"/>
    <x v="11"/>
    <x v="3"/>
    <n v="2633530.54"/>
  </r>
  <r>
    <x v="26"/>
    <x v="26"/>
    <x v="11"/>
    <x v="3"/>
    <n v="13610919.41"/>
  </r>
  <r>
    <x v="23"/>
    <x v="23"/>
    <x v="11"/>
    <x v="3"/>
    <n v="28042537.129999999"/>
  </r>
  <r>
    <x v="31"/>
    <x v="32"/>
    <x v="11"/>
    <x v="3"/>
    <n v="5180.58"/>
  </r>
  <r>
    <x v="0"/>
    <x v="0"/>
    <x v="11"/>
    <x v="3"/>
    <n v="4316363.6900000004"/>
  </r>
  <r>
    <x v="28"/>
    <x v="29"/>
    <x v="11"/>
    <x v="3"/>
    <n v="751516.28"/>
  </r>
  <r>
    <x v="5"/>
    <x v="5"/>
    <x v="11"/>
    <x v="3"/>
    <n v="1468739.51"/>
  </r>
  <r>
    <x v="6"/>
    <x v="6"/>
    <x v="11"/>
    <x v="3"/>
    <n v="44722732.990000002"/>
  </r>
  <r>
    <x v="32"/>
    <x v="33"/>
    <x v="11"/>
    <x v="3"/>
    <n v="2934196.18"/>
  </r>
  <r>
    <x v="16"/>
    <x v="16"/>
    <x v="11"/>
    <x v="3"/>
    <n v="5252337.3099999996"/>
  </r>
  <r>
    <x v="33"/>
    <x v="34"/>
    <x v="11"/>
    <x v="3"/>
    <n v="0.78"/>
  </r>
  <r>
    <x v="19"/>
    <x v="19"/>
    <x v="11"/>
    <x v="3"/>
    <n v="2182.6"/>
  </r>
  <r>
    <x v="39"/>
    <x v="40"/>
    <x v="11"/>
    <x v="3"/>
    <n v="19591.509999999998"/>
  </r>
  <r>
    <x v="26"/>
    <x v="26"/>
    <x v="11"/>
    <x v="4"/>
    <n v="11971268.710000001"/>
  </r>
  <r>
    <x v="2"/>
    <x v="2"/>
    <x v="11"/>
    <x v="4"/>
    <n v="17265748.329999998"/>
  </r>
  <r>
    <x v="4"/>
    <x v="4"/>
    <x v="11"/>
    <x v="4"/>
    <n v="1876695.96"/>
  </r>
  <r>
    <x v="5"/>
    <x v="5"/>
    <x v="11"/>
    <x v="4"/>
    <n v="819576.72"/>
  </r>
  <r>
    <x v="36"/>
    <x v="37"/>
    <x v="11"/>
    <x v="4"/>
    <n v="10203.36"/>
  </r>
  <r>
    <x v="16"/>
    <x v="16"/>
    <x v="11"/>
    <x v="4"/>
    <n v="3574460.23"/>
  </r>
  <r>
    <x v="33"/>
    <x v="34"/>
    <x v="11"/>
    <x v="4"/>
    <n v="13953.82"/>
  </r>
  <r>
    <x v="8"/>
    <x v="8"/>
    <x v="11"/>
    <x v="4"/>
    <n v="878830.43"/>
  </r>
  <r>
    <x v="17"/>
    <x v="17"/>
    <x v="11"/>
    <x v="4"/>
    <n v="567700.99"/>
  </r>
  <r>
    <x v="9"/>
    <x v="9"/>
    <x v="11"/>
    <x v="4"/>
    <n v="1287984.6499999999"/>
  </r>
  <r>
    <x v="40"/>
    <x v="41"/>
    <x v="11"/>
    <x v="4"/>
    <n v="18560471.460000001"/>
  </r>
  <r>
    <x v="35"/>
    <x v="36"/>
    <x v="11"/>
    <x v="134"/>
    <n v="2586922.06"/>
  </r>
  <r>
    <x v="30"/>
    <x v="31"/>
    <x v="11"/>
    <x v="134"/>
    <n v="1756137.62"/>
  </r>
  <r>
    <x v="13"/>
    <x v="13"/>
    <x v="11"/>
    <x v="134"/>
    <n v="1274214.6000000001"/>
  </r>
  <r>
    <x v="31"/>
    <x v="32"/>
    <x v="11"/>
    <x v="134"/>
    <n v="1.36"/>
  </r>
  <r>
    <x v="1"/>
    <x v="1"/>
    <x v="11"/>
    <x v="134"/>
    <n v="1957323.5"/>
  </r>
  <r>
    <x v="28"/>
    <x v="29"/>
    <x v="11"/>
    <x v="134"/>
    <n v="1239295.83"/>
  </r>
  <r>
    <x v="15"/>
    <x v="15"/>
    <x v="11"/>
    <x v="134"/>
    <n v="6570420.5"/>
  </r>
  <r>
    <x v="3"/>
    <x v="3"/>
    <x v="11"/>
    <x v="134"/>
    <n v="499694.76"/>
  </r>
  <r>
    <x v="4"/>
    <x v="4"/>
    <x v="11"/>
    <x v="134"/>
    <n v="401052.7"/>
  </r>
  <r>
    <x v="5"/>
    <x v="5"/>
    <x v="11"/>
    <x v="134"/>
    <n v="955.73"/>
  </r>
  <r>
    <x v="6"/>
    <x v="6"/>
    <x v="11"/>
    <x v="134"/>
    <n v="299.82"/>
  </r>
  <r>
    <x v="36"/>
    <x v="37"/>
    <x v="11"/>
    <x v="134"/>
    <n v="3003490.45"/>
  </r>
  <r>
    <x v="32"/>
    <x v="33"/>
    <x v="11"/>
    <x v="134"/>
    <n v="1537929.79"/>
  </r>
  <r>
    <x v="7"/>
    <x v="7"/>
    <x v="11"/>
    <x v="134"/>
    <n v="2466638.5699999998"/>
  </r>
  <r>
    <x v="17"/>
    <x v="17"/>
    <x v="11"/>
    <x v="134"/>
    <n v="1311057.99"/>
  </r>
  <r>
    <x v="9"/>
    <x v="9"/>
    <x v="11"/>
    <x v="134"/>
    <n v="2733351.13"/>
  </r>
  <r>
    <x v="37"/>
    <x v="38"/>
    <x v="11"/>
    <x v="134"/>
    <n v="6606948.0899999999"/>
  </r>
  <r>
    <x v="25"/>
    <x v="25"/>
    <x v="11"/>
    <x v="134"/>
    <n v="3228617.63"/>
  </r>
  <r>
    <x v="11"/>
    <x v="11"/>
    <x v="11"/>
    <x v="82"/>
    <n v="-2175112.9"/>
  </r>
  <r>
    <x v="13"/>
    <x v="13"/>
    <x v="11"/>
    <x v="82"/>
    <n v="2205157.39"/>
  </r>
  <r>
    <x v="26"/>
    <x v="26"/>
    <x v="11"/>
    <x v="82"/>
    <n v="11697469.390000001"/>
  </r>
  <r>
    <x v="3"/>
    <x v="3"/>
    <x v="11"/>
    <x v="82"/>
    <n v="305807.71000000002"/>
  </r>
  <r>
    <x v="4"/>
    <x v="4"/>
    <x v="11"/>
    <x v="82"/>
    <n v="2892597.01"/>
  </r>
  <r>
    <x v="6"/>
    <x v="6"/>
    <x v="11"/>
    <x v="82"/>
    <n v="4786773.8099999996"/>
  </r>
  <r>
    <x v="32"/>
    <x v="33"/>
    <x v="11"/>
    <x v="82"/>
    <n v="1300892.29"/>
  </r>
  <r>
    <x v="17"/>
    <x v="17"/>
    <x v="11"/>
    <x v="82"/>
    <n v="932537.01"/>
  </r>
  <r>
    <x v="19"/>
    <x v="19"/>
    <x v="11"/>
    <x v="82"/>
    <n v="3992718.6"/>
  </r>
  <r>
    <x v="39"/>
    <x v="40"/>
    <x v="11"/>
    <x v="82"/>
    <n v="3482227.64"/>
  </r>
  <r>
    <x v="25"/>
    <x v="25"/>
    <x v="11"/>
    <x v="82"/>
    <n v="3869639.99"/>
  </r>
  <r>
    <x v="11"/>
    <x v="11"/>
    <x v="11"/>
    <x v="94"/>
    <n v="-1025600.34"/>
  </r>
  <r>
    <x v="31"/>
    <x v="32"/>
    <x v="11"/>
    <x v="94"/>
    <n v="8644227.9100000001"/>
  </r>
  <r>
    <x v="15"/>
    <x v="15"/>
    <x v="11"/>
    <x v="94"/>
    <n v="1966294.1"/>
  </r>
  <r>
    <x v="2"/>
    <x v="2"/>
    <x v="11"/>
    <x v="94"/>
    <n v="668.91"/>
  </r>
  <r>
    <x v="4"/>
    <x v="4"/>
    <x v="11"/>
    <x v="94"/>
    <n v="644722.99"/>
  </r>
  <r>
    <x v="5"/>
    <x v="5"/>
    <x v="11"/>
    <x v="94"/>
    <n v="1535512.11"/>
  </r>
  <r>
    <x v="6"/>
    <x v="6"/>
    <x v="11"/>
    <x v="94"/>
    <n v="6252122.7699999996"/>
  </r>
  <r>
    <x v="33"/>
    <x v="34"/>
    <x v="11"/>
    <x v="94"/>
    <n v="3730021.97"/>
  </r>
  <r>
    <x v="17"/>
    <x v="17"/>
    <x v="11"/>
    <x v="94"/>
    <n v="1613888.33"/>
  </r>
  <r>
    <x v="38"/>
    <x v="39"/>
    <x v="11"/>
    <x v="94"/>
    <n v="2173040.88"/>
  </r>
  <r>
    <x v="39"/>
    <x v="40"/>
    <x v="11"/>
    <x v="94"/>
    <n v="8119111.8200000003"/>
  </r>
  <r>
    <x v="11"/>
    <x v="11"/>
    <x v="11"/>
    <x v="52"/>
    <n v="-707372.41"/>
  </r>
  <r>
    <x v="30"/>
    <x v="31"/>
    <x v="11"/>
    <x v="52"/>
    <n v="3612780.42"/>
  </r>
  <r>
    <x v="26"/>
    <x v="26"/>
    <x v="11"/>
    <x v="52"/>
    <n v="22603441.57"/>
  </r>
  <r>
    <x v="31"/>
    <x v="32"/>
    <x v="11"/>
    <x v="52"/>
    <n v="8018988.2000000002"/>
  </r>
  <r>
    <x v="1"/>
    <x v="1"/>
    <x v="11"/>
    <x v="52"/>
    <n v="1843486.31"/>
  </r>
  <r>
    <x v="21"/>
    <x v="21"/>
    <x v="11"/>
    <x v="52"/>
    <n v="18558.8"/>
  </r>
  <r>
    <x v="5"/>
    <x v="5"/>
    <x v="11"/>
    <x v="52"/>
    <n v="762283"/>
  </r>
  <r>
    <x v="16"/>
    <x v="16"/>
    <x v="11"/>
    <x v="52"/>
    <n v="3791120.36"/>
  </r>
  <r>
    <x v="33"/>
    <x v="34"/>
    <x v="11"/>
    <x v="52"/>
    <n v="5190487.9400000004"/>
  </r>
  <r>
    <x v="8"/>
    <x v="8"/>
    <x v="11"/>
    <x v="52"/>
    <n v="626267.36"/>
  </r>
  <r>
    <x v="17"/>
    <x v="17"/>
    <x v="11"/>
    <x v="52"/>
    <n v="2295834.39"/>
  </r>
  <r>
    <x v="25"/>
    <x v="25"/>
    <x v="11"/>
    <x v="52"/>
    <n v="9049829.0600000005"/>
  </r>
  <r>
    <x v="35"/>
    <x v="36"/>
    <x v="11"/>
    <x v="34"/>
    <n v="1034465.05"/>
  </r>
  <r>
    <x v="12"/>
    <x v="12"/>
    <x v="11"/>
    <x v="34"/>
    <n v="11593.83"/>
  </r>
  <r>
    <x v="23"/>
    <x v="23"/>
    <x v="11"/>
    <x v="34"/>
    <n v="6115116.2199999997"/>
  </r>
  <r>
    <x v="19"/>
    <x v="28"/>
    <x v="11"/>
    <x v="34"/>
    <n v="15624.73"/>
  </r>
  <r>
    <x v="2"/>
    <x v="2"/>
    <x v="11"/>
    <x v="34"/>
    <n v="23743.69"/>
  </r>
  <r>
    <x v="21"/>
    <x v="21"/>
    <x v="11"/>
    <x v="34"/>
    <n v="18477531.739999998"/>
  </r>
  <r>
    <x v="16"/>
    <x v="16"/>
    <x v="11"/>
    <x v="34"/>
    <n v="2905945"/>
  </r>
  <r>
    <x v="7"/>
    <x v="7"/>
    <x v="11"/>
    <x v="34"/>
    <n v="2326511.64"/>
  </r>
  <r>
    <x v="33"/>
    <x v="34"/>
    <x v="11"/>
    <x v="34"/>
    <n v="1783971.31"/>
  </r>
  <r>
    <x v="8"/>
    <x v="8"/>
    <x v="11"/>
    <x v="34"/>
    <n v="736214.35"/>
  </r>
  <r>
    <x v="19"/>
    <x v="19"/>
    <x v="11"/>
    <x v="34"/>
    <n v="2114954.6"/>
  </r>
  <r>
    <x v="37"/>
    <x v="38"/>
    <x v="11"/>
    <x v="34"/>
    <n v="13854201.91"/>
  </r>
  <r>
    <x v="39"/>
    <x v="40"/>
    <x v="11"/>
    <x v="34"/>
    <n v="1682.87"/>
  </r>
  <r>
    <x v="35"/>
    <x v="36"/>
    <x v="11"/>
    <x v="115"/>
    <n v="554.84"/>
  </r>
  <r>
    <x v="30"/>
    <x v="31"/>
    <x v="11"/>
    <x v="115"/>
    <n v="0.47"/>
  </r>
  <r>
    <x v="12"/>
    <x v="12"/>
    <x v="11"/>
    <x v="115"/>
    <n v="9456443.1999999993"/>
  </r>
  <r>
    <x v="26"/>
    <x v="26"/>
    <x v="11"/>
    <x v="115"/>
    <n v="17692696.010000002"/>
  </r>
  <r>
    <x v="23"/>
    <x v="23"/>
    <x v="11"/>
    <x v="115"/>
    <n v="5266726.97"/>
  </r>
  <r>
    <x v="19"/>
    <x v="28"/>
    <x v="11"/>
    <x v="115"/>
    <n v="6674304.8200000003"/>
  </r>
  <r>
    <x v="28"/>
    <x v="29"/>
    <x v="11"/>
    <x v="115"/>
    <n v="9647.26"/>
  </r>
  <r>
    <x v="3"/>
    <x v="3"/>
    <x v="11"/>
    <x v="115"/>
    <n v="126572.96"/>
  </r>
  <r>
    <x v="6"/>
    <x v="6"/>
    <x v="11"/>
    <x v="115"/>
    <n v="14324.53"/>
  </r>
  <r>
    <x v="36"/>
    <x v="37"/>
    <x v="11"/>
    <x v="115"/>
    <n v="4282684.7699999996"/>
  </r>
  <r>
    <x v="33"/>
    <x v="34"/>
    <x v="11"/>
    <x v="115"/>
    <n v="7180351.46"/>
  </r>
  <r>
    <x v="18"/>
    <x v="18"/>
    <x v="11"/>
    <x v="115"/>
    <n v="6209744.7300000004"/>
  </r>
  <r>
    <x v="38"/>
    <x v="39"/>
    <x v="11"/>
    <x v="115"/>
    <n v="1040166.46"/>
  </r>
  <r>
    <x v="37"/>
    <x v="38"/>
    <x v="11"/>
    <x v="115"/>
    <n v="8810361.6099999994"/>
  </r>
  <r>
    <x v="35"/>
    <x v="36"/>
    <x v="11"/>
    <x v="130"/>
    <n v="3187101.5"/>
  </r>
  <r>
    <x v="11"/>
    <x v="11"/>
    <x v="11"/>
    <x v="130"/>
    <n v="-581160.92000000004"/>
  </r>
  <r>
    <x v="30"/>
    <x v="31"/>
    <x v="11"/>
    <x v="130"/>
    <n v="1753723.59"/>
  </r>
  <r>
    <x v="3"/>
    <x v="3"/>
    <x v="11"/>
    <x v="130"/>
    <n v="431669.73"/>
  </r>
  <r>
    <x v="4"/>
    <x v="4"/>
    <x v="11"/>
    <x v="130"/>
    <n v="1736040.55"/>
  </r>
  <r>
    <x v="5"/>
    <x v="5"/>
    <x v="11"/>
    <x v="130"/>
    <n v="608363.01"/>
  </r>
  <r>
    <x v="36"/>
    <x v="37"/>
    <x v="11"/>
    <x v="130"/>
    <n v="14242911.800000001"/>
  </r>
  <r>
    <x v="32"/>
    <x v="33"/>
    <x v="11"/>
    <x v="130"/>
    <n v="1721341.4"/>
  </r>
  <r>
    <x v="33"/>
    <x v="34"/>
    <x v="11"/>
    <x v="130"/>
    <n v="4335524.59"/>
  </r>
  <r>
    <x v="19"/>
    <x v="19"/>
    <x v="11"/>
    <x v="130"/>
    <n v="3415736.98"/>
  </r>
  <r>
    <x v="10"/>
    <x v="10"/>
    <x v="11"/>
    <x v="130"/>
    <n v="10447.040000000001"/>
  </r>
  <r>
    <x v="25"/>
    <x v="25"/>
    <x v="11"/>
    <x v="130"/>
    <n v="5323009.04"/>
  </r>
  <r>
    <x v="35"/>
    <x v="36"/>
    <x v="11"/>
    <x v="58"/>
    <n v="5089700.74"/>
  </r>
  <r>
    <x v="11"/>
    <x v="11"/>
    <x v="11"/>
    <x v="58"/>
    <n v="-382172.27"/>
  </r>
  <r>
    <x v="26"/>
    <x v="26"/>
    <x v="11"/>
    <x v="58"/>
    <n v="14241020.800000001"/>
  </r>
  <r>
    <x v="31"/>
    <x v="32"/>
    <x v="11"/>
    <x v="58"/>
    <n v="593.29"/>
  </r>
  <r>
    <x v="0"/>
    <x v="0"/>
    <x v="11"/>
    <x v="58"/>
    <n v="4131013.46"/>
  </r>
  <r>
    <x v="1"/>
    <x v="1"/>
    <x v="11"/>
    <x v="58"/>
    <n v="1503681.15"/>
  </r>
  <r>
    <x v="19"/>
    <x v="28"/>
    <x v="11"/>
    <x v="58"/>
    <n v="5156757.0599999996"/>
  </r>
  <r>
    <x v="28"/>
    <x v="29"/>
    <x v="11"/>
    <x v="58"/>
    <n v="2470970.4"/>
  </r>
  <r>
    <x v="3"/>
    <x v="3"/>
    <x v="11"/>
    <x v="58"/>
    <n v="426654.35"/>
  </r>
  <r>
    <x v="6"/>
    <x v="6"/>
    <x v="11"/>
    <x v="58"/>
    <n v="23601079.02"/>
  </r>
  <r>
    <x v="32"/>
    <x v="33"/>
    <x v="11"/>
    <x v="58"/>
    <n v="591532.38"/>
  </r>
  <r>
    <x v="33"/>
    <x v="34"/>
    <x v="11"/>
    <x v="58"/>
    <n v="7582.23"/>
  </r>
  <r>
    <x v="8"/>
    <x v="8"/>
    <x v="11"/>
    <x v="58"/>
    <n v="477024.61"/>
  </r>
  <r>
    <x v="29"/>
    <x v="30"/>
    <x v="11"/>
    <x v="58"/>
    <n v="4541529.83"/>
  </r>
  <r>
    <x v="19"/>
    <x v="19"/>
    <x v="11"/>
    <x v="58"/>
    <n v="2570265.1"/>
  </r>
  <r>
    <x v="38"/>
    <x v="39"/>
    <x v="11"/>
    <x v="58"/>
    <n v="598167.67000000004"/>
  </r>
  <r>
    <x v="37"/>
    <x v="38"/>
    <x v="11"/>
    <x v="58"/>
    <n v="10374571.25"/>
  </r>
  <r>
    <x v="10"/>
    <x v="10"/>
    <x v="11"/>
    <x v="58"/>
    <n v="25994484.940000001"/>
  </r>
  <r>
    <x v="26"/>
    <x v="26"/>
    <x v="11"/>
    <x v="60"/>
    <n v="12113174.439999999"/>
  </r>
  <r>
    <x v="23"/>
    <x v="23"/>
    <x v="11"/>
    <x v="60"/>
    <n v="104.87"/>
  </r>
  <r>
    <x v="31"/>
    <x v="32"/>
    <x v="11"/>
    <x v="60"/>
    <n v="4642271.37"/>
  </r>
  <r>
    <x v="0"/>
    <x v="0"/>
    <x v="11"/>
    <x v="60"/>
    <n v="31233721.949999999"/>
  </r>
  <r>
    <x v="1"/>
    <x v="1"/>
    <x v="11"/>
    <x v="60"/>
    <n v="3922056.88"/>
  </r>
  <r>
    <x v="32"/>
    <x v="33"/>
    <x v="11"/>
    <x v="60"/>
    <n v="1833991.69"/>
  </r>
  <r>
    <x v="16"/>
    <x v="16"/>
    <x v="11"/>
    <x v="60"/>
    <n v="1339962.1299999999"/>
  </r>
  <r>
    <x v="8"/>
    <x v="8"/>
    <x v="11"/>
    <x v="60"/>
    <n v="486259.97"/>
  </r>
  <r>
    <x v="17"/>
    <x v="17"/>
    <x v="11"/>
    <x v="60"/>
    <n v="3727344.16"/>
  </r>
  <r>
    <x v="29"/>
    <x v="30"/>
    <x v="11"/>
    <x v="60"/>
    <n v="2191042.1800000002"/>
  </r>
  <r>
    <x v="40"/>
    <x v="41"/>
    <x v="11"/>
    <x v="60"/>
    <n v="261.83999999999997"/>
  </r>
  <r>
    <x v="10"/>
    <x v="10"/>
    <x v="11"/>
    <x v="60"/>
    <n v="68690051.189999998"/>
  </r>
  <r>
    <x v="30"/>
    <x v="31"/>
    <x v="11"/>
    <x v="100"/>
    <n v="0.94"/>
  </r>
  <r>
    <x v="31"/>
    <x v="32"/>
    <x v="11"/>
    <x v="100"/>
    <n v="6683321.9100000001"/>
  </r>
  <r>
    <x v="3"/>
    <x v="3"/>
    <x v="11"/>
    <x v="100"/>
    <n v="190761.68"/>
  </r>
  <r>
    <x v="4"/>
    <x v="4"/>
    <x v="11"/>
    <x v="100"/>
    <n v="1128497.28"/>
  </r>
  <r>
    <x v="5"/>
    <x v="5"/>
    <x v="11"/>
    <x v="100"/>
    <n v="950117.8"/>
  </r>
  <r>
    <x v="16"/>
    <x v="16"/>
    <x v="11"/>
    <x v="100"/>
    <n v="5682499.6500000004"/>
  </r>
  <r>
    <x v="8"/>
    <x v="8"/>
    <x v="11"/>
    <x v="100"/>
    <n v="273676.28999999998"/>
  </r>
  <r>
    <x v="18"/>
    <x v="18"/>
    <x v="11"/>
    <x v="100"/>
    <n v="3969514.91"/>
  </r>
  <r>
    <x v="29"/>
    <x v="30"/>
    <x v="11"/>
    <x v="100"/>
    <n v="306.69"/>
  </r>
  <r>
    <x v="40"/>
    <x v="41"/>
    <x v="11"/>
    <x v="100"/>
    <n v="11769664.289999999"/>
  </r>
  <r>
    <x v="10"/>
    <x v="10"/>
    <x v="11"/>
    <x v="100"/>
    <n v="36753166.960000001"/>
  </r>
  <r>
    <x v="35"/>
    <x v="36"/>
    <x v="11"/>
    <x v="15"/>
    <n v="2020867.48"/>
  </r>
  <r>
    <x v="30"/>
    <x v="31"/>
    <x v="11"/>
    <x v="15"/>
    <n v="4126830.99"/>
  </r>
  <r>
    <x v="3"/>
    <x v="3"/>
    <x v="11"/>
    <x v="15"/>
    <n v="139791.39000000001"/>
  </r>
  <r>
    <x v="21"/>
    <x v="21"/>
    <x v="11"/>
    <x v="15"/>
    <n v="2933.24"/>
  </r>
  <r>
    <x v="4"/>
    <x v="4"/>
    <x v="11"/>
    <x v="15"/>
    <n v="864.31"/>
  </r>
  <r>
    <x v="32"/>
    <x v="33"/>
    <x v="11"/>
    <x v="15"/>
    <n v="600681.39"/>
  </r>
  <r>
    <x v="7"/>
    <x v="7"/>
    <x v="11"/>
    <x v="15"/>
    <n v="4385174.1900000004"/>
  </r>
  <r>
    <x v="17"/>
    <x v="17"/>
    <x v="11"/>
    <x v="15"/>
    <n v="1684325.75"/>
  </r>
  <r>
    <x v="18"/>
    <x v="18"/>
    <x v="11"/>
    <x v="15"/>
    <n v="1184440.22"/>
  </r>
  <r>
    <x v="9"/>
    <x v="9"/>
    <x v="11"/>
    <x v="15"/>
    <n v="3165772.59"/>
  </r>
  <r>
    <x v="25"/>
    <x v="25"/>
    <x v="11"/>
    <x v="15"/>
    <n v="13534.76"/>
  </r>
  <r>
    <x v="13"/>
    <x v="13"/>
    <x v="11"/>
    <x v="16"/>
    <n v="1125562.95"/>
  </r>
  <r>
    <x v="26"/>
    <x v="26"/>
    <x v="11"/>
    <x v="16"/>
    <n v="32886891.530000001"/>
  </r>
  <r>
    <x v="31"/>
    <x v="32"/>
    <x v="11"/>
    <x v="16"/>
    <n v="12397879.85"/>
  </r>
  <r>
    <x v="15"/>
    <x v="15"/>
    <x v="11"/>
    <x v="16"/>
    <n v="6517855.7800000003"/>
  </r>
  <r>
    <x v="4"/>
    <x v="4"/>
    <x v="11"/>
    <x v="16"/>
    <n v="1963393.57"/>
  </r>
  <r>
    <x v="5"/>
    <x v="5"/>
    <x v="11"/>
    <x v="16"/>
    <n v="1186166.23"/>
  </r>
  <r>
    <x v="7"/>
    <x v="7"/>
    <x v="11"/>
    <x v="16"/>
    <n v="2923981.85"/>
  </r>
  <r>
    <x v="8"/>
    <x v="8"/>
    <x v="11"/>
    <x v="16"/>
    <n v="136413.99"/>
  </r>
  <r>
    <x v="10"/>
    <x v="10"/>
    <x v="11"/>
    <x v="16"/>
    <n v="17285.78"/>
  </r>
  <r>
    <x v="35"/>
    <x v="36"/>
    <x v="11"/>
    <x v="117"/>
    <n v="3119232.18"/>
  </r>
  <r>
    <x v="11"/>
    <x v="11"/>
    <x v="11"/>
    <x v="117"/>
    <n v="-325565.8"/>
  </r>
  <r>
    <x v="30"/>
    <x v="31"/>
    <x v="11"/>
    <x v="117"/>
    <n v="2475678.56"/>
  </r>
  <r>
    <x v="12"/>
    <x v="12"/>
    <x v="11"/>
    <x v="117"/>
    <n v="9689706.3100000005"/>
  </r>
  <r>
    <x v="1"/>
    <x v="1"/>
    <x v="11"/>
    <x v="117"/>
    <n v="2395340.9"/>
  </r>
  <r>
    <x v="28"/>
    <x v="29"/>
    <x v="11"/>
    <x v="117"/>
    <n v="8160.44"/>
  </r>
  <r>
    <x v="6"/>
    <x v="6"/>
    <x v="11"/>
    <x v="117"/>
    <n v="892.05"/>
  </r>
  <r>
    <x v="36"/>
    <x v="37"/>
    <x v="11"/>
    <x v="117"/>
    <n v="9399677.9000000004"/>
  </r>
  <r>
    <x v="32"/>
    <x v="33"/>
    <x v="11"/>
    <x v="117"/>
    <n v="356.19"/>
  </r>
  <r>
    <x v="8"/>
    <x v="8"/>
    <x v="11"/>
    <x v="117"/>
    <n v="434008.01"/>
  </r>
  <r>
    <x v="17"/>
    <x v="17"/>
    <x v="11"/>
    <x v="117"/>
    <n v="965905.06"/>
  </r>
  <r>
    <x v="18"/>
    <x v="18"/>
    <x v="11"/>
    <x v="117"/>
    <n v="186.18"/>
  </r>
  <r>
    <x v="9"/>
    <x v="9"/>
    <x v="11"/>
    <x v="117"/>
    <n v="3824102.35"/>
  </r>
  <r>
    <x v="39"/>
    <x v="40"/>
    <x v="11"/>
    <x v="117"/>
    <n v="981.19"/>
  </r>
  <r>
    <x v="35"/>
    <x v="36"/>
    <x v="12"/>
    <x v="0"/>
    <n v="7063185.8200000003"/>
  </r>
  <r>
    <x v="30"/>
    <x v="31"/>
    <x v="12"/>
    <x v="0"/>
    <n v="14954062.91"/>
  </r>
  <r>
    <x v="23"/>
    <x v="23"/>
    <x v="12"/>
    <x v="0"/>
    <n v="30279263.039999999"/>
  </r>
  <r>
    <x v="27"/>
    <x v="27"/>
    <x v="12"/>
    <x v="0"/>
    <n v="988.32"/>
  </r>
  <r>
    <x v="1"/>
    <x v="1"/>
    <x v="12"/>
    <x v="0"/>
    <n v="6351670.0199999996"/>
  </r>
  <r>
    <x v="19"/>
    <x v="28"/>
    <x v="12"/>
    <x v="0"/>
    <n v="32642337.390000001"/>
  </r>
  <r>
    <x v="2"/>
    <x v="2"/>
    <x v="12"/>
    <x v="0"/>
    <n v="0.96"/>
  </r>
  <r>
    <x v="36"/>
    <x v="37"/>
    <x v="12"/>
    <x v="0"/>
    <n v="45971776.109999999"/>
  </r>
  <r>
    <x v="33"/>
    <x v="34"/>
    <x v="12"/>
    <x v="0"/>
    <n v="12392804.449999999"/>
  </r>
  <r>
    <x v="24"/>
    <x v="24"/>
    <x v="12"/>
    <x v="0"/>
    <n v="25992574.239999998"/>
  </r>
  <r>
    <x v="10"/>
    <x v="10"/>
    <x v="12"/>
    <x v="0"/>
    <n v="99169765.010000005"/>
  </r>
  <r>
    <x v="14"/>
    <x v="14"/>
    <x v="12"/>
    <x v="135"/>
    <n v="501695274.30000001"/>
  </r>
  <r>
    <x v="2"/>
    <x v="2"/>
    <x v="12"/>
    <x v="135"/>
    <n v="16354699.810000001"/>
  </r>
  <r>
    <x v="3"/>
    <x v="3"/>
    <x v="12"/>
    <x v="135"/>
    <n v="5188317.7300000004"/>
  </r>
  <r>
    <x v="5"/>
    <x v="5"/>
    <x v="12"/>
    <x v="135"/>
    <n v="18578947.699999999"/>
  </r>
  <r>
    <x v="36"/>
    <x v="37"/>
    <x v="12"/>
    <x v="135"/>
    <n v="40155398.899999999"/>
  </r>
  <r>
    <x v="8"/>
    <x v="8"/>
    <x v="12"/>
    <x v="135"/>
    <n v="3328761.04"/>
  </r>
  <r>
    <x v="19"/>
    <x v="19"/>
    <x v="12"/>
    <x v="135"/>
    <n v="21156140.23"/>
  </r>
  <r>
    <x v="0"/>
    <x v="0"/>
    <x v="12"/>
    <x v="42"/>
    <n v="49038546.659999996"/>
  </r>
  <r>
    <x v="1"/>
    <x v="1"/>
    <x v="12"/>
    <x v="42"/>
    <n v="12766048.560000001"/>
  </r>
  <r>
    <x v="28"/>
    <x v="29"/>
    <x v="12"/>
    <x v="42"/>
    <n v="42864879.630000003"/>
  </r>
  <r>
    <x v="36"/>
    <x v="37"/>
    <x v="12"/>
    <x v="42"/>
    <n v="48918218.189999998"/>
  </r>
  <r>
    <x v="7"/>
    <x v="7"/>
    <x v="12"/>
    <x v="42"/>
    <n v="20665832.489999998"/>
  </r>
  <r>
    <x v="33"/>
    <x v="34"/>
    <x v="12"/>
    <x v="42"/>
    <n v="4283.59"/>
  </r>
  <r>
    <x v="19"/>
    <x v="19"/>
    <x v="12"/>
    <x v="42"/>
    <n v="24704745.670000002"/>
  </r>
  <r>
    <x v="35"/>
    <x v="36"/>
    <x v="12"/>
    <x v="19"/>
    <n v="6499358.1500000004"/>
  </r>
  <r>
    <x v="36"/>
    <x v="37"/>
    <x v="12"/>
    <x v="19"/>
    <n v="27745219.969999999"/>
  </r>
  <r>
    <x v="41"/>
    <x v="42"/>
    <x v="12"/>
    <x v="19"/>
    <n v="6792282.7699999996"/>
  </r>
  <r>
    <x v="29"/>
    <x v="30"/>
    <x v="12"/>
    <x v="19"/>
    <n v="7869034.5099999998"/>
  </r>
  <r>
    <x v="39"/>
    <x v="40"/>
    <x v="12"/>
    <x v="19"/>
    <n v="36153375.850000001"/>
  </r>
  <r>
    <x v="20"/>
    <x v="20"/>
    <x v="12"/>
    <x v="43"/>
    <n v="113273957.42"/>
  </r>
  <r>
    <x v="1"/>
    <x v="1"/>
    <x v="12"/>
    <x v="43"/>
    <n v="13449896.59"/>
  </r>
  <r>
    <x v="4"/>
    <x v="4"/>
    <x v="12"/>
    <x v="43"/>
    <n v="22589973.93"/>
  </r>
  <r>
    <x v="37"/>
    <x v="38"/>
    <x v="12"/>
    <x v="43"/>
    <n v="134082534.41"/>
  </r>
  <r>
    <x v="10"/>
    <x v="10"/>
    <x v="12"/>
    <x v="43"/>
    <n v="212254321.69"/>
  </r>
  <r>
    <x v="15"/>
    <x v="15"/>
    <x v="12"/>
    <x v="122"/>
    <n v="62667648.549999997"/>
  </r>
  <r>
    <x v="33"/>
    <x v="34"/>
    <x v="12"/>
    <x v="122"/>
    <n v="14077141.67"/>
  </r>
  <r>
    <x v="38"/>
    <x v="39"/>
    <x v="12"/>
    <x v="122"/>
    <n v="7163810.5700000003"/>
  </r>
  <r>
    <x v="40"/>
    <x v="41"/>
    <x v="12"/>
    <x v="122"/>
    <n v="53861503.609999999"/>
  </r>
  <r>
    <x v="2"/>
    <x v="2"/>
    <x v="12"/>
    <x v="123"/>
    <n v="207.03"/>
  </r>
  <r>
    <x v="41"/>
    <x v="42"/>
    <x v="12"/>
    <x v="123"/>
    <n v="4215746.09"/>
  </r>
  <r>
    <x v="37"/>
    <x v="38"/>
    <x v="12"/>
    <x v="123"/>
    <n v="59072483.549999997"/>
  </r>
  <r>
    <x v="19"/>
    <x v="28"/>
    <x v="12"/>
    <x v="44"/>
    <n v="7472619.8799999999"/>
  </r>
  <r>
    <x v="21"/>
    <x v="21"/>
    <x v="12"/>
    <x v="44"/>
    <n v="1545.93"/>
  </r>
  <r>
    <x v="7"/>
    <x v="7"/>
    <x v="12"/>
    <x v="44"/>
    <n v="10521248.960000001"/>
  </r>
  <r>
    <x v="41"/>
    <x v="42"/>
    <x v="12"/>
    <x v="44"/>
    <n v="10612856.4"/>
  </r>
  <r>
    <x v="29"/>
    <x v="30"/>
    <x v="12"/>
    <x v="44"/>
    <n v="1897466.62"/>
  </r>
  <r>
    <x v="31"/>
    <x v="32"/>
    <x v="12"/>
    <x v="46"/>
    <n v="28664410.5"/>
  </r>
  <r>
    <x v="4"/>
    <x v="4"/>
    <x v="12"/>
    <x v="46"/>
    <n v="12432061.98"/>
  </r>
  <r>
    <x v="6"/>
    <x v="6"/>
    <x v="12"/>
    <x v="46"/>
    <n v="255874021.72"/>
  </r>
  <r>
    <x v="32"/>
    <x v="33"/>
    <x v="12"/>
    <x v="46"/>
    <n v="39185791.670000002"/>
  </r>
  <r>
    <x v="33"/>
    <x v="34"/>
    <x v="12"/>
    <x v="46"/>
    <n v="29603099.890000001"/>
  </r>
  <r>
    <x v="8"/>
    <x v="8"/>
    <x v="12"/>
    <x v="46"/>
    <n v="3222531.91"/>
  </r>
  <r>
    <x v="37"/>
    <x v="38"/>
    <x v="12"/>
    <x v="46"/>
    <n v="59953099.600000001"/>
  </r>
  <r>
    <x v="40"/>
    <x v="41"/>
    <x v="12"/>
    <x v="46"/>
    <n v="25746.73"/>
  </r>
  <r>
    <x v="31"/>
    <x v="32"/>
    <x v="12"/>
    <x v="129"/>
    <n v="9672425.0600000005"/>
  </r>
  <r>
    <x v="1"/>
    <x v="1"/>
    <x v="12"/>
    <x v="129"/>
    <n v="23361749.75"/>
  </r>
  <r>
    <x v="19"/>
    <x v="28"/>
    <x v="12"/>
    <x v="129"/>
    <n v="12112667.92"/>
  </r>
  <r>
    <x v="32"/>
    <x v="33"/>
    <x v="12"/>
    <x v="129"/>
    <n v="11052066.57"/>
  </r>
  <r>
    <x v="23"/>
    <x v="23"/>
    <x v="12"/>
    <x v="136"/>
    <n v="118913844.93000001"/>
  </r>
  <r>
    <x v="31"/>
    <x v="32"/>
    <x v="12"/>
    <x v="136"/>
    <n v="48877426.630000003"/>
  </r>
  <r>
    <x v="1"/>
    <x v="1"/>
    <x v="12"/>
    <x v="136"/>
    <n v="7185272.7400000002"/>
  </r>
  <r>
    <x v="16"/>
    <x v="16"/>
    <x v="12"/>
    <x v="136"/>
    <n v="38970626.229999997"/>
  </r>
  <r>
    <x v="9"/>
    <x v="9"/>
    <x v="12"/>
    <x v="136"/>
    <n v="20266876.16"/>
  </r>
  <r>
    <x v="22"/>
    <x v="22"/>
    <x v="12"/>
    <x v="6"/>
    <n v="1093.05"/>
  </r>
  <r>
    <x v="14"/>
    <x v="14"/>
    <x v="12"/>
    <x v="6"/>
    <n v="246980533.16"/>
  </r>
  <r>
    <x v="38"/>
    <x v="39"/>
    <x v="12"/>
    <x v="6"/>
    <n v="14934149.220000001"/>
  </r>
  <r>
    <x v="39"/>
    <x v="40"/>
    <x v="12"/>
    <x v="6"/>
    <n v="756.07"/>
  </r>
  <r>
    <x v="34"/>
    <x v="35"/>
    <x v="12"/>
    <x v="6"/>
    <n v="1641.19"/>
  </r>
  <r>
    <x v="31"/>
    <x v="32"/>
    <x v="12"/>
    <x v="70"/>
    <n v="26120349.239999998"/>
  </r>
  <r>
    <x v="14"/>
    <x v="14"/>
    <x v="12"/>
    <x v="70"/>
    <n v="4453.3900000000003"/>
  </r>
  <r>
    <x v="15"/>
    <x v="15"/>
    <x v="12"/>
    <x v="70"/>
    <n v="15049906.76"/>
  </r>
  <r>
    <x v="2"/>
    <x v="2"/>
    <x v="12"/>
    <x v="70"/>
    <n v="25586864.510000002"/>
  </r>
  <r>
    <x v="8"/>
    <x v="8"/>
    <x v="12"/>
    <x v="70"/>
    <n v="3958074.09"/>
  </r>
  <r>
    <x v="24"/>
    <x v="24"/>
    <x v="12"/>
    <x v="70"/>
    <n v="41502702.119999997"/>
  </r>
  <r>
    <x v="29"/>
    <x v="30"/>
    <x v="12"/>
    <x v="70"/>
    <n v="5378939.1200000001"/>
  </r>
  <r>
    <x v="35"/>
    <x v="36"/>
    <x v="12"/>
    <x v="109"/>
    <n v="4030458.16"/>
  </r>
  <r>
    <x v="20"/>
    <x v="20"/>
    <x v="12"/>
    <x v="109"/>
    <n v="312507365.05000001"/>
  </r>
  <r>
    <x v="14"/>
    <x v="14"/>
    <x v="12"/>
    <x v="109"/>
    <n v="662450153.88999999"/>
  </r>
  <r>
    <x v="38"/>
    <x v="39"/>
    <x v="12"/>
    <x v="109"/>
    <n v="6141490.8899999997"/>
  </r>
  <r>
    <x v="37"/>
    <x v="38"/>
    <x v="12"/>
    <x v="109"/>
    <n v="29297709.559999999"/>
  </r>
  <r>
    <x v="34"/>
    <x v="35"/>
    <x v="12"/>
    <x v="109"/>
    <n v="96345872.25"/>
  </r>
  <r>
    <x v="22"/>
    <x v="22"/>
    <x v="12"/>
    <x v="95"/>
    <n v="16957259.66"/>
  </r>
  <r>
    <x v="23"/>
    <x v="23"/>
    <x v="12"/>
    <x v="95"/>
    <n v="4201.45"/>
  </r>
  <r>
    <x v="19"/>
    <x v="28"/>
    <x v="12"/>
    <x v="95"/>
    <n v="22390302.649999999"/>
  </r>
  <r>
    <x v="5"/>
    <x v="5"/>
    <x v="12"/>
    <x v="95"/>
    <n v="12008068.85"/>
  </r>
  <r>
    <x v="41"/>
    <x v="42"/>
    <x v="12"/>
    <x v="95"/>
    <n v="2227159.98"/>
  </r>
  <r>
    <x v="29"/>
    <x v="30"/>
    <x v="12"/>
    <x v="95"/>
    <n v="9365134.3800000008"/>
  </r>
  <r>
    <x v="22"/>
    <x v="22"/>
    <x v="12"/>
    <x v="21"/>
    <n v="52659252.079999998"/>
  </r>
  <r>
    <x v="41"/>
    <x v="42"/>
    <x v="12"/>
    <x v="21"/>
    <n v="5632756.7800000003"/>
  </r>
  <r>
    <x v="22"/>
    <x v="22"/>
    <x v="12"/>
    <x v="51"/>
    <n v="61806204.600000001"/>
  </r>
  <r>
    <x v="20"/>
    <x v="20"/>
    <x v="12"/>
    <x v="51"/>
    <n v="155017513.66"/>
  </r>
  <r>
    <x v="31"/>
    <x v="32"/>
    <x v="12"/>
    <x v="51"/>
    <n v="7582.44"/>
  </r>
  <r>
    <x v="33"/>
    <x v="34"/>
    <x v="12"/>
    <x v="51"/>
    <n v="27739125.989999998"/>
  </r>
  <r>
    <x v="41"/>
    <x v="42"/>
    <x v="12"/>
    <x v="51"/>
    <n v="2700693.88"/>
  </r>
  <r>
    <x v="34"/>
    <x v="35"/>
    <x v="12"/>
    <x v="51"/>
    <n v="15308.2"/>
  </r>
  <r>
    <x v="2"/>
    <x v="2"/>
    <x v="12"/>
    <x v="84"/>
    <n v="19937170.539999999"/>
  </r>
  <r>
    <x v="36"/>
    <x v="37"/>
    <x v="12"/>
    <x v="84"/>
    <n v="27094100.420000002"/>
  </r>
  <r>
    <x v="7"/>
    <x v="7"/>
    <x v="12"/>
    <x v="84"/>
    <n v="4830568.03"/>
  </r>
  <r>
    <x v="24"/>
    <x v="24"/>
    <x v="12"/>
    <x v="84"/>
    <n v="41895220.75"/>
  </r>
  <r>
    <x v="19"/>
    <x v="19"/>
    <x v="12"/>
    <x v="84"/>
    <n v="26136069.25"/>
  </r>
  <r>
    <x v="34"/>
    <x v="35"/>
    <x v="12"/>
    <x v="84"/>
    <n v="1428.87"/>
  </r>
  <r>
    <x v="35"/>
    <x v="36"/>
    <x v="12"/>
    <x v="112"/>
    <n v="2507486.31"/>
  </r>
  <r>
    <x v="14"/>
    <x v="14"/>
    <x v="12"/>
    <x v="112"/>
    <n v="618274192"/>
  </r>
  <r>
    <x v="3"/>
    <x v="3"/>
    <x v="12"/>
    <x v="112"/>
    <n v="296.95999999999998"/>
  </r>
  <r>
    <x v="6"/>
    <x v="6"/>
    <x v="12"/>
    <x v="112"/>
    <n v="176291109.40000001"/>
  </r>
  <r>
    <x v="8"/>
    <x v="8"/>
    <x v="12"/>
    <x v="22"/>
    <n v="1741323.35"/>
  </r>
  <r>
    <x v="39"/>
    <x v="40"/>
    <x v="12"/>
    <x v="22"/>
    <n v="13487504.939999999"/>
  </r>
  <r>
    <x v="23"/>
    <x v="23"/>
    <x v="12"/>
    <x v="97"/>
    <n v="109635352.20999999"/>
  </r>
  <r>
    <x v="7"/>
    <x v="7"/>
    <x v="12"/>
    <x v="97"/>
    <n v="12238144.859999999"/>
  </r>
  <r>
    <x v="8"/>
    <x v="8"/>
    <x v="12"/>
    <x v="97"/>
    <n v="2303311.38"/>
  </r>
  <r>
    <x v="39"/>
    <x v="40"/>
    <x v="12"/>
    <x v="97"/>
    <n v="12636641.439999999"/>
  </r>
  <r>
    <x v="0"/>
    <x v="0"/>
    <x v="12"/>
    <x v="24"/>
    <n v="42530498.140000001"/>
  </r>
  <r>
    <x v="16"/>
    <x v="16"/>
    <x v="12"/>
    <x v="24"/>
    <n v="42051392.969999999"/>
  </r>
  <r>
    <x v="10"/>
    <x v="10"/>
    <x v="12"/>
    <x v="24"/>
    <n v="171734862.87"/>
  </r>
  <r>
    <x v="28"/>
    <x v="29"/>
    <x v="12"/>
    <x v="53"/>
    <n v="48081024.240000002"/>
  </r>
  <r>
    <x v="29"/>
    <x v="30"/>
    <x v="12"/>
    <x v="53"/>
    <n v="6581.86"/>
  </r>
  <r>
    <x v="13"/>
    <x v="13"/>
    <x v="12"/>
    <x v="35"/>
    <n v="20052527.890000001"/>
  </r>
  <r>
    <x v="31"/>
    <x v="32"/>
    <x v="12"/>
    <x v="35"/>
    <n v="28361830.760000002"/>
  </r>
  <r>
    <x v="40"/>
    <x v="41"/>
    <x v="12"/>
    <x v="35"/>
    <n v="24037.73"/>
  </r>
  <r>
    <x v="35"/>
    <x v="36"/>
    <x v="12"/>
    <x v="137"/>
    <n v="8276490.1799999997"/>
  </r>
  <r>
    <x v="30"/>
    <x v="31"/>
    <x v="12"/>
    <x v="137"/>
    <n v="12759204.640000001"/>
  </r>
  <r>
    <x v="14"/>
    <x v="14"/>
    <x v="12"/>
    <x v="137"/>
    <n v="453887008.92000002"/>
  </r>
  <r>
    <x v="28"/>
    <x v="29"/>
    <x v="12"/>
    <x v="137"/>
    <n v="16365472.119999999"/>
  </r>
  <r>
    <x v="5"/>
    <x v="5"/>
    <x v="12"/>
    <x v="137"/>
    <n v="14052967.35"/>
  </r>
  <r>
    <x v="34"/>
    <x v="35"/>
    <x v="12"/>
    <x v="137"/>
    <n v="78528155.75"/>
  </r>
  <r>
    <x v="30"/>
    <x v="31"/>
    <x v="12"/>
    <x v="138"/>
    <n v="23523868.379999999"/>
  </r>
  <r>
    <x v="17"/>
    <x v="17"/>
    <x v="12"/>
    <x v="138"/>
    <n v="296.08"/>
  </r>
  <r>
    <x v="29"/>
    <x v="30"/>
    <x v="12"/>
    <x v="138"/>
    <n v="8484.2800000000007"/>
  </r>
  <r>
    <x v="34"/>
    <x v="35"/>
    <x v="12"/>
    <x v="138"/>
    <n v="74731171.180000007"/>
  </r>
  <r>
    <x v="13"/>
    <x v="13"/>
    <x v="12"/>
    <x v="12"/>
    <n v="25256.23"/>
  </r>
  <r>
    <x v="0"/>
    <x v="0"/>
    <x v="12"/>
    <x v="12"/>
    <n v="60800301.329999998"/>
  </r>
  <r>
    <x v="32"/>
    <x v="33"/>
    <x v="12"/>
    <x v="12"/>
    <n v="18005475.190000001"/>
  </r>
  <r>
    <x v="16"/>
    <x v="16"/>
    <x v="12"/>
    <x v="12"/>
    <n v="39072239.740000002"/>
  </r>
  <r>
    <x v="33"/>
    <x v="34"/>
    <x v="12"/>
    <x v="12"/>
    <n v="23231802.129999999"/>
  </r>
  <r>
    <x v="17"/>
    <x v="17"/>
    <x v="12"/>
    <x v="12"/>
    <n v="85866140.319999993"/>
  </r>
  <r>
    <x v="29"/>
    <x v="30"/>
    <x v="12"/>
    <x v="12"/>
    <n v="8757288.7899999991"/>
  </r>
  <r>
    <x v="30"/>
    <x v="31"/>
    <x v="12"/>
    <x v="27"/>
    <n v="16556883.99"/>
  </r>
  <r>
    <x v="12"/>
    <x v="12"/>
    <x v="12"/>
    <x v="27"/>
    <n v="28236684.91"/>
  </r>
  <r>
    <x v="1"/>
    <x v="1"/>
    <x v="12"/>
    <x v="27"/>
    <n v="1122.68"/>
  </r>
  <r>
    <x v="14"/>
    <x v="14"/>
    <x v="12"/>
    <x v="27"/>
    <n v="302851249.05000001"/>
  </r>
  <r>
    <x v="7"/>
    <x v="7"/>
    <x v="12"/>
    <x v="27"/>
    <n v="10195712.300000001"/>
  </r>
  <r>
    <x v="33"/>
    <x v="34"/>
    <x v="12"/>
    <x v="27"/>
    <n v="30633591.91"/>
  </r>
  <r>
    <x v="8"/>
    <x v="8"/>
    <x v="12"/>
    <x v="27"/>
    <n v="3146133.95"/>
  </r>
  <r>
    <x v="24"/>
    <x v="24"/>
    <x v="12"/>
    <x v="27"/>
    <n v="7821.26"/>
  </r>
  <r>
    <x v="30"/>
    <x v="31"/>
    <x v="12"/>
    <x v="139"/>
    <n v="31072075.039999999"/>
  </r>
  <r>
    <x v="12"/>
    <x v="12"/>
    <x v="12"/>
    <x v="139"/>
    <n v="16649279.140000001"/>
  </r>
  <r>
    <x v="31"/>
    <x v="32"/>
    <x v="12"/>
    <x v="139"/>
    <n v="49761951.409999996"/>
  </r>
  <r>
    <x v="7"/>
    <x v="7"/>
    <x v="12"/>
    <x v="139"/>
    <n v="19218040.670000002"/>
  </r>
  <r>
    <x v="40"/>
    <x v="41"/>
    <x v="12"/>
    <x v="139"/>
    <n v="156101610.09999999"/>
  </r>
  <r>
    <x v="30"/>
    <x v="31"/>
    <x v="12"/>
    <x v="60"/>
    <n v="8313.67"/>
  </r>
  <r>
    <x v="20"/>
    <x v="20"/>
    <x v="12"/>
    <x v="60"/>
    <n v="78017572.120000005"/>
  </r>
  <r>
    <x v="7"/>
    <x v="7"/>
    <x v="12"/>
    <x v="60"/>
    <n v="13761438.59"/>
  </r>
  <r>
    <x v="17"/>
    <x v="17"/>
    <x v="12"/>
    <x v="60"/>
    <n v="24914.09"/>
  </r>
  <r>
    <x v="10"/>
    <x v="10"/>
    <x v="12"/>
    <x v="60"/>
    <n v="364058660.44"/>
  </r>
  <r>
    <x v="12"/>
    <x v="12"/>
    <x v="12"/>
    <x v="140"/>
    <n v="42762273.039999999"/>
  </r>
  <r>
    <x v="27"/>
    <x v="27"/>
    <x v="12"/>
    <x v="140"/>
    <n v="401222949.60000002"/>
  </r>
  <r>
    <x v="3"/>
    <x v="3"/>
    <x v="12"/>
    <x v="140"/>
    <n v="8637465.2599999998"/>
  </r>
  <r>
    <x v="16"/>
    <x v="16"/>
    <x v="12"/>
    <x v="140"/>
    <n v="32918300.91"/>
  </r>
  <r>
    <x v="39"/>
    <x v="40"/>
    <x v="12"/>
    <x v="140"/>
    <n v="14826864.939999999"/>
  </r>
  <r>
    <x v="23"/>
    <x v="23"/>
    <x v="12"/>
    <x v="38"/>
    <n v="2980.63"/>
  </r>
  <r>
    <x v="0"/>
    <x v="0"/>
    <x v="12"/>
    <x v="38"/>
    <n v="135150133.38"/>
  </r>
  <r>
    <x v="21"/>
    <x v="21"/>
    <x v="12"/>
    <x v="38"/>
    <n v="83488024.530000001"/>
  </r>
  <r>
    <x v="41"/>
    <x v="42"/>
    <x v="12"/>
    <x v="38"/>
    <n v="4276951.32"/>
  </r>
  <r>
    <x v="15"/>
    <x v="15"/>
    <x v="12"/>
    <x v="75"/>
    <n v="21882582.27"/>
  </r>
  <r>
    <x v="8"/>
    <x v="8"/>
    <x v="12"/>
    <x v="75"/>
    <n v="4064687.06"/>
  </r>
  <r>
    <x v="41"/>
    <x v="42"/>
    <x v="12"/>
    <x v="75"/>
    <n v="3249831.58"/>
  </r>
  <r>
    <x v="35"/>
    <x v="36"/>
    <x v="12"/>
    <x v="40"/>
    <n v="7698211.0999999996"/>
  </r>
  <r>
    <x v="6"/>
    <x v="6"/>
    <x v="12"/>
    <x v="40"/>
    <n v="171790479.40000001"/>
  </r>
  <r>
    <x v="16"/>
    <x v="16"/>
    <x v="12"/>
    <x v="40"/>
    <n v="10923521.869999999"/>
  </r>
  <r>
    <x v="21"/>
    <x v="21"/>
    <x v="12"/>
    <x v="41"/>
    <n v="48526961.82"/>
  </r>
  <r>
    <x v="5"/>
    <x v="5"/>
    <x v="12"/>
    <x v="41"/>
    <n v="5295.51"/>
  </r>
  <r>
    <x v="36"/>
    <x v="37"/>
    <x v="12"/>
    <x v="41"/>
    <n v="33582699.68"/>
  </r>
  <r>
    <x v="32"/>
    <x v="33"/>
    <x v="12"/>
    <x v="41"/>
    <n v="1116.8699999999999"/>
  </r>
  <r>
    <x v="9"/>
    <x v="9"/>
    <x v="12"/>
    <x v="41"/>
    <n v="32902275.829999998"/>
  </r>
  <r>
    <x v="39"/>
    <x v="40"/>
    <x v="12"/>
    <x v="41"/>
    <n v="7079095.4199999999"/>
  </r>
  <r>
    <x v="34"/>
    <x v="35"/>
    <x v="12"/>
    <x v="41"/>
    <n v="67247489.75"/>
  </r>
  <r>
    <x v="35"/>
    <x v="36"/>
    <x v="12"/>
    <x v="77"/>
    <n v="40434140.350000001"/>
  </r>
  <r>
    <x v="13"/>
    <x v="13"/>
    <x v="12"/>
    <x v="77"/>
    <n v="13180426.34"/>
  </r>
  <r>
    <x v="1"/>
    <x v="1"/>
    <x v="12"/>
    <x v="77"/>
    <n v="877.34"/>
  </r>
  <r>
    <x v="14"/>
    <x v="14"/>
    <x v="12"/>
    <x v="77"/>
    <n v="170537426.47"/>
  </r>
  <r>
    <x v="33"/>
    <x v="34"/>
    <x v="12"/>
    <x v="77"/>
    <n v="35335640.93"/>
  </r>
  <r>
    <x v="27"/>
    <x v="27"/>
    <x v="12"/>
    <x v="66"/>
    <n v="363705623.94"/>
  </r>
  <r>
    <x v="2"/>
    <x v="2"/>
    <x v="12"/>
    <x v="66"/>
    <n v="10237533.789999999"/>
  </r>
  <r>
    <x v="4"/>
    <x v="4"/>
    <x v="12"/>
    <x v="66"/>
    <n v="38094045.509999998"/>
  </r>
  <r>
    <x v="8"/>
    <x v="8"/>
    <x v="12"/>
    <x v="66"/>
    <n v="3228852.19"/>
  </r>
  <r>
    <x v="29"/>
    <x v="30"/>
    <x v="12"/>
    <x v="66"/>
    <n v="8187159.2999999998"/>
  </r>
  <r>
    <x v="35"/>
    <x v="36"/>
    <x v="12"/>
    <x v="101"/>
    <n v="11472"/>
  </r>
  <r>
    <x v="30"/>
    <x v="31"/>
    <x v="12"/>
    <x v="101"/>
    <n v="31933243.329999998"/>
  </r>
  <r>
    <x v="31"/>
    <x v="32"/>
    <x v="12"/>
    <x v="101"/>
    <n v="68215967.700000003"/>
  </r>
  <r>
    <x v="9"/>
    <x v="9"/>
    <x v="12"/>
    <x v="101"/>
    <n v="28733490.559999999"/>
  </r>
  <r>
    <x v="22"/>
    <x v="22"/>
    <x v="12"/>
    <x v="104"/>
    <n v="46560908.93"/>
  </r>
  <r>
    <x v="23"/>
    <x v="23"/>
    <x v="12"/>
    <x v="104"/>
    <n v="71399865.230000004"/>
  </r>
  <r>
    <x v="5"/>
    <x v="5"/>
    <x v="12"/>
    <x v="104"/>
    <n v="9336144.4700000007"/>
  </r>
  <r>
    <x v="36"/>
    <x v="37"/>
    <x v="12"/>
    <x v="104"/>
    <n v="23773423.739999998"/>
  </r>
  <r>
    <x v="16"/>
    <x v="16"/>
    <x v="12"/>
    <x v="104"/>
    <n v="425.06"/>
  </r>
  <r>
    <x v="19"/>
    <x v="19"/>
    <x v="12"/>
    <x v="104"/>
    <n v="7179035.75"/>
  </r>
  <r>
    <x v="22"/>
    <x v="22"/>
    <x v="12"/>
    <x v="126"/>
    <n v="24567399.600000001"/>
  </r>
  <r>
    <x v="1"/>
    <x v="1"/>
    <x v="12"/>
    <x v="126"/>
    <n v="21401609.5"/>
  </r>
  <r>
    <x v="35"/>
    <x v="36"/>
    <x v="13"/>
    <x v="105"/>
    <n v="14278167.609999999"/>
  </r>
  <r>
    <x v="30"/>
    <x v="31"/>
    <x v="13"/>
    <x v="105"/>
    <n v="14141511.439999999"/>
  </r>
  <r>
    <x v="33"/>
    <x v="34"/>
    <x v="13"/>
    <x v="105"/>
    <n v="7012339.8300000001"/>
  </r>
  <r>
    <x v="19"/>
    <x v="19"/>
    <x v="13"/>
    <x v="105"/>
    <n v="22655154.420000002"/>
  </r>
  <r>
    <x v="38"/>
    <x v="39"/>
    <x v="13"/>
    <x v="105"/>
    <n v="1439026.92"/>
  </r>
  <r>
    <x v="13"/>
    <x v="13"/>
    <x v="13"/>
    <x v="2"/>
    <n v="20381028.170000002"/>
  </r>
  <r>
    <x v="22"/>
    <x v="22"/>
    <x v="13"/>
    <x v="2"/>
    <n v="22860579.109999999"/>
  </r>
  <r>
    <x v="23"/>
    <x v="23"/>
    <x v="13"/>
    <x v="2"/>
    <n v="28093113.280000001"/>
  </r>
  <r>
    <x v="21"/>
    <x v="21"/>
    <x v="13"/>
    <x v="2"/>
    <n v="12534893.67"/>
  </r>
  <r>
    <x v="32"/>
    <x v="33"/>
    <x v="13"/>
    <x v="2"/>
    <n v="20427753.140000001"/>
  </r>
  <r>
    <x v="34"/>
    <x v="35"/>
    <x v="13"/>
    <x v="2"/>
    <n v="39345245.670000002"/>
  </r>
  <r>
    <x v="22"/>
    <x v="22"/>
    <x v="13"/>
    <x v="81"/>
    <n v="19573101.710000001"/>
  </r>
  <r>
    <x v="23"/>
    <x v="23"/>
    <x v="13"/>
    <x v="81"/>
    <n v="78712821.870000005"/>
  </r>
  <r>
    <x v="18"/>
    <x v="18"/>
    <x v="13"/>
    <x v="81"/>
    <n v="9373.6200000000008"/>
  </r>
  <r>
    <x v="19"/>
    <x v="19"/>
    <x v="13"/>
    <x v="81"/>
    <n v="14382822.710000001"/>
  </r>
  <r>
    <x v="11"/>
    <x v="11"/>
    <x v="13"/>
    <x v="3"/>
    <n v="-2840548.47"/>
  </r>
  <r>
    <x v="13"/>
    <x v="13"/>
    <x v="13"/>
    <x v="3"/>
    <n v="17874271.73"/>
  </r>
  <r>
    <x v="22"/>
    <x v="22"/>
    <x v="13"/>
    <x v="3"/>
    <n v="24414224.420000002"/>
  </r>
  <r>
    <x v="23"/>
    <x v="23"/>
    <x v="13"/>
    <x v="3"/>
    <n v="59185074.799999997"/>
  </r>
  <r>
    <x v="4"/>
    <x v="4"/>
    <x v="13"/>
    <x v="3"/>
    <n v="17554389.350000001"/>
  </r>
  <r>
    <x v="32"/>
    <x v="33"/>
    <x v="13"/>
    <x v="3"/>
    <n v="4403423.3600000003"/>
  </r>
  <r>
    <x v="16"/>
    <x v="16"/>
    <x v="13"/>
    <x v="3"/>
    <n v="21512879.260000002"/>
  </r>
  <r>
    <x v="24"/>
    <x v="24"/>
    <x v="13"/>
    <x v="3"/>
    <n v="10533555.93"/>
  </r>
  <r>
    <x v="17"/>
    <x v="17"/>
    <x v="13"/>
    <x v="3"/>
    <n v="48904817.469999999"/>
  </r>
  <r>
    <x v="29"/>
    <x v="30"/>
    <x v="13"/>
    <x v="3"/>
    <n v="16439100.220000001"/>
  </r>
  <r>
    <x v="39"/>
    <x v="40"/>
    <x v="13"/>
    <x v="3"/>
    <n v="8018000.0199999996"/>
  </r>
  <r>
    <x v="11"/>
    <x v="11"/>
    <x v="13"/>
    <x v="42"/>
    <n v="0.42"/>
  </r>
  <r>
    <x v="20"/>
    <x v="20"/>
    <x v="13"/>
    <x v="42"/>
    <n v="139404449.68000001"/>
  </r>
  <r>
    <x v="0"/>
    <x v="0"/>
    <x v="13"/>
    <x v="42"/>
    <n v="78861795.650000006"/>
  </r>
  <r>
    <x v="28"/>
    <x v="29"/>
    <x v="13"/>
    <x v="42"/>
    <n v="5908418.6200000001"/>
  </r>
  <r>
    <x v="5"/>
    <x v="5"/>
    <x v="13"/>
    <x v="42"/>
    <n v="4344111.0599999996"/>
  </r>
  <r>
    <x v="32"/>
    <x v="33"/>
    <x v="13"/>
    <x v="42"/>
    <n v="7561385.0199999996"/>
  </r>
  <r>
    <x v="19"/>
    <x v="19"/>
    <x v="13"/>
    <x v="42"/>
    <n v="3459998.73"/>
  </r>
  <r>
    <x v="22"/>
    <x v="22"/>
    <x v="13"/>
    <x v="141"/>
    <n v="56895442.240000002"/>
  </r>
  <r>
    <x v="31"/>
    <x v="32"/>
    <x v="13"/>
    <x v="141"/>
    <n v="27600945.41"/>
  </r>
  <r>
    <x v="14"/>
    <x v="14"/>
    <x v="13"/>
    <x v="141"/>
    <n v="4082"/>
  </r>
  <r>
    <x v="4"/>
    <x v="4"/>
    <x v="13"/>
    <x v="141"/>
    <n v="10047193.779999999"/>
  </r>
  <r>
    <x v="8"/>
    <x v="8"/>
    <x v="13"/>
    <x v="141"/>
    <n v="3266995.93"/>
  </r>
  <r>
    <x v="18"/>
    <x v="18"/>
    <x v="13"/>
    <x v="141"/>
    <n v="25094492.199999999"/>
  </r>
  <r>
    <x v="34"/>
    <x v="35"/>
    <x v="13"/>
    <x v="141"/>
    <n v="50114816.549999997"/>
  </r>
  <r>
    <x v="11"/>
    <x v="11"/>
    <x v="13"/>
    <x v="128"/>
    <n v="-6077938.4699999997"/>
  </r>
  <r>
    <x v="1"/>
    <x v="1"/>
    <x v="13"/>
    <x v="128"/>
    <n v="16396631.75"/>
  </r>
  <r>
    <x v="2"/>
    <x v="2"/>
    <x v="13"/>
    <x v="128"/>
    <n v="20527616.23"/>
  </r>
  <r>
    <x v="7"/>
    <x v="7"/>
    <x v="13"/>
    <x v="128"/>
    <n v="18485063.25"/>
  </r>
  <r>
    <x v="30"/>
    <x v="31"/>
    <x v="13"/>
    <x v="4"/>
    <n v="1254.19"/>
  </r>
  <r>
    <x v="22"/>
    <x v="22"/>
    <x v="13"/>
    <x v="4"/>
    <n v="261.77"/>
  </r>
  <r>
    <x v="23"/>
    <x v="23"/>
    <x v="13"/>
    <x v="4"/>
    <n v="34086763.549999997"/>
  </r>
  <r>
    <x v="2"/>
    <x v="2"/>
    <x v="13"/>
    <x v="4"/>
    <n v="9155901.6199999992"/>
  </r>
  <r>
    <x v="24"/>
    <x v="24"/>
    <x v="13"/>
    <x v="4"/>
    <n v="13663173.07"/>
  </r>
  <r>
    <x v="18"/>
    <x v="18"/>
    <x v="13"/>
    <x v="4"/>
    <n v="16029350.810000001"/>
  </r>
  <r>
    <x v="29"/>
    <x v="30"/>
    <x v="13"/>
    <x v="4"/>
    <n v="4631803.5599999996"/>
  </r>
  <r>
    <x v="10"/>
    <x v="10"/>
    <x v="13"/>
    <x v="4"/>
    <n v="35110471.880000003"/>
  </r>
  <r>
    <x v="11"/>
    <x v="11"/>
    <x v="13"/>
    <x v="142"/>
    <n v="-1513203.91"/>
  </r>
  <r>
    <x v="30"/>
    <x v="31"/>
    <x v="13"/>
    <x v="142"/>
    <n v="11105967.73"/>
  </r>
  <r>
    <x v="13"/>
    <x v="13"/>
    <x v="13"/>
    <x v="142"/>
    <n v="8180534.5999999996"/>
  </r>
  <r>
    <x v="31"/>
    <x v="32"/>
    <x v="13"/>
    <x v="142"/>
    <n v="28375211.109999999"/>
  </r>
  <r>
    <x v="4"/>
    <x v="4"/>
    <x v="13"/>
    <x v="142"/>
    <n v="7215798.46"/>
  </r>
  <r>
    <x v="39"/>
    <x v="40"/>
    <x v="13"/>
    <x v="142"/>
    <n v="23307223.199999999"/>
  </r>
  <r>
    <x v="26"/>
    <x v="26"/>
    <x v="13"/>
    <x v="19"/>
    <n v="348191630.41000003"/>
  </r>
  <r>
    <x v="3"/>
    <x v="3"/>
    <x v="13"/>
    <x v="19"/>
    <n v="2376787.61"/>
  </r>
  <r>
    <x v="36"/>
    <x v="37"/>
    <x v="13"/>
    <x v="19"/>
    <n v="98026348.540000007"/>
  </r>
  <r>
    <x v="41"/>
    <x v="42"/>
    <x v="13"/>
    <x v="19"/>
    <n v="17164396.289999999"/>
  </r>
  <r>
    <x v="10"/>
    <x v="10"/>
    <x v="13"/>
    <x v="19"/>
    <n v="89447360.969999999"/>
  </r>
  <r>
    <x v="23"/>
    <x v="23"/>
    <x v="13"/>
    <x v="107"/>
    <n v="498.27"/>
  </r>
  <r>
    <x v="1"/>
    <x v="1"/>
    <x v="13"/>
    <x v="107"/>
    <n v="19850730.16"/>
  </r>
  <r>
    <x v="41"/>
    <x v="42"/>
    <x v="13"/>
    <x v="107"/>
    <n v="1.59"/>
  </r>
  <r>
    <x v="35"/>
    <x v="36"/>
    <x v="13"/>
    <x v="5"/>
    <n v="19935946.390000001"/>
  </r>
  <r>
    <x v="31"/>
    <x v="32"/>
    <x v="13"/>
    <x v="5"/>
    <n v="24610043.07"/>
  </r>
  <r>
    <x v="0"/>
    <x v="0"/>
    <x v="13"/>
    <x v="5"/>
    <n v="48256187.18"/>
  </r>
  <r>
    <x v="19"/>
    <x v="28"/>
    <x v="13"/>
    <x v="5"/>
    <n v="10713849.77"/>
  </r>
  <r>
    <x v="28"/>
    <x v="29"/>
    <x v="13"/>
    <x v="5"/>
    <n v="4239997.07"/>
  </r>
  <r>
    <x v="4"/>
    <x v="4"/>
    <x v="13"/>
    <x v="5"/>
    <n v="7613911.9500000002"/>
  </r>
  <r>
    <x v="16"/>
    <x v="16"/>
    <x v="13"/>
    <x v="5"/>
    <n v="28272401.440000001"/>
  </r>
  <r>
    <x v="33"/>
    <x v="34"/>
    <x v="13"/>
    <x v="5"/>
    <n v="16148509.33"/>
  </r>
  <r>
    <x v="8"/>
    <x v="8"/>
    <x v="13"/>
    <x v="5"/>
    <n v="3965395.11"/>
  </r>
  <r>
    <x v="17"/>
    <x v="17"/>
    <x v="13"/>
    <x v="5"/>
    <n v="20207056.579999998"/>
  </r>
  <r>
    <x v="38"/>
    <x v="39"/>
    <x v="13"/>
    <x v="5"/>
    <n v="2005083.98"/>
  </r>
  <r>
    <x v="30"/>
    <x v="31"/>
    <x v="13"/>
    <x v="69"/>
    <n v="24117367.050000001"/>
  </r>
  <r>
    <x v="23"/>
    <x v="23"/>
    <x v="13"/>
    <x v="69"/>
    <n v="32439479.039999999"/>
  </r>
  <r>
    <x v="0"/>
    <x v="0"/>
    <x v="13"/>
    <x v="69"/>
    <n v="117922172.55"/>
  </r>
  <r>
    <x v="15"/>
    <x v="15"/>
    <x v="13"/>
    <x v="69"/>
    <n v="40795254.729999997"/>
  </r>
  <r>
    <x v="4"/>
    <x v="4"/>
    <x v="13"/>
    <x v="69"/>
    <n v="2065315.06"/>
  </r>
  <r>
    <x v="5"/>
    <x v="5"/>
    <x v="13"/>
    <x v="69"/>
    <n v="5169327.0199999996"/>
  </r>
  <r>
    <x v="6"/>
    <x v="6"/>
    <x v="13"/>
    <x v="69"/>
    <n v="76943296.739999995"/>
  </r>
  <r>
    <x v="34"/>
    <x v="35"/>
    <x v="13"/>
    <x v="69"/>
    <n v="34485518.240000002"/>
  </r>
  <r>
    <x v="31"/>
    <x v="32"/>
    <x v="13"/>
    <x v="143"/>
    <n v="58265179.100000001"/>
  </r>
  <r>
    <x v="2"/>
    <x v="2"/>
    <x v="13"/>
    <x v="143"/>
    <n v="18575818.359999999"/>
  </r>
  <r>
    <x v="33"/>
    <x v="34"/>
    <x v="13"/>
    <x v="143"/>
    <n v="26273215.059999999"/>
  </r>
  <r>
    <x v="24"/>
    <x v="24"/>
    <x v="13"/>
    <x v="143"/>
    <n v="18543031.920000002"/>
  </r>
  <r>
    <x v="41"/>
    <x v="42"/>
    <x v="13"/>
    <x v="143"/>
    <n v="10576517.880000001"/>
  </r>
  <r>
    <x v="38"/>
    <x v="39"/>
    <x v="13"/>
    <x v="143"/>
    <n v="2434929.7799999998"/>
  </r>
  <r>
    <x v="21"/>
    <x v="21"/>
    <x v="13"/>
    <x v="118"/>
    <n v="38999159.600000001"/>
  </r>
  <r>
    <x v="32"/>
    <x v="33"/>
    <x v="13"/>
    <x v="118"/>
    <n v="5540566.6799999997"/>
  </r>
  <r>
    <x v="26"/>
    <x v="26"/>
    <x v="13"/>
    <x v="108"/>
    <n v="316.31"/>
  </r>
  <r>
    <x v="23"/>
    <x v="23"/>
    <x v="13"/>
    <x v="108"/>
    <n v="38028043.530000001"/>
  </r>
  <r>
    <x v="20"/>
    <x v="20"/>
    <x v="13"/>
    <x v="108"/>
    <n v="133640615.53"/>
  </r>
  <r>
    <x v="31"/>
    <x v="32"/>
    <x v="13"/>
    <x v="108"/>
    <n v="5507.8"/>
  </r>
  <r>
    <x v="2"/>
    <x v="2"/>
    <x v="13"/>
    <x v="108"/>
    <n v="14660515.74"/>
  </r>
  <r>
    <x v="16"/>
    <x v="16"/>
    <x v="13"/>
    <x v="108"/>
    <n v="45637047.950000003"/>
  </r>
  <r>
    <x v="24"/>
    <x v="24"/>
    <x v="13"/>
    <x v="108"/>
    <n v="8662537.1899999995"/>
  </r>
  <r>
    <x v="39"/>
    <x v="40"/>
    <x v="13"/>
    <x v="108"/>
    <n v="4866076.37"/>
  </r>
  <r>
    <x v="34"/>
    <x v="35"/>
    <x v="13"/>
    <x v="108"/>
    <n v="1127.28"/>
  </r>
  <r>
    <x v="35"/>
    <x v="36"/>
    <x v="13"/>
    <x v="7"/>
    <n v="9573355.5700000003"/>
  </r>
  <r>
    <x v="32"/>
    <x v="33"/>
    <x v="13"/>
    <x v="7"/>
    <n v="7409670.9500000002"/>
  </r>
  <r>
    <x v="7"/>
    <x v="7"/>
    <x v="13"/>
    <x v="7"/>
    <n v="32719088.780000001"/>
  </r>
  <r>
    <x v="1"/>
    <x v="1"/>
    <x v="13"/>
    <x v="110"/>
    <n v="13471730.939999999"/>
  </r>
  <r>
    <x v="3"/>
    <x v="3"/>
    <x v="13"/>
    <x v="110"/>
    <n v="2636436.89"/>
  </r>
  <r>
    <x v="6"/>
    <x v="6"/>
    <x v="13"/>
    <x v="110"/>
    <n v="36351006.039999999"/>
  </r>
  <r>
    <x v="19"/>
    <x v="19"/>
    <x v="13"/>
    <x v="110"/>
    <n v="20998237.469999999"/>
  </r>
  <r>
    <x v="34"/>
    <x v="35"/>
    <x v="13"/>
    <x v="110"/>
    <n v="59636511.369999997"/>
  </r>
  <r>
    <x v="28"/>
    <x v="29"/>
    <x v="13"/>
    <x v="111"/>
    <n v="3957530.9"/>
  </r>
  <r>
    <x v="2"/>
    <x v="2"/>
    <x v="13"/>
    <x v="111"/>
    <n v="25041993.32"/>
  </r>
  <r>
    <x v="3"/>
    <x v="3"/>
    <x v="13"/>
    <x v="111"/>
    <n v="0.25"/>
  </r>
  <r>
    <x v="8"/>
    <x v="8"/>
    <x v="13"/>
    <x v="111"/>
    <n v="3828932.71"/>
  </r>
  <r>
    <x v="41"/>
    <x v="42"/>
    <x v="13"/>
    <x v="111"/>
    <n v="0.76"/>
  </r>
  <r>
    <x v="38"/>
    <x v="39"/>
    <x v="13"/>
    <x v="111"/>
    <n v="5031074.47"/>
  </r>
  <r>
    <x v="35"/>
    <x v="36"/>
    <x v="13"/>
    <x v="23"/>
    <n v="11765952.560000001"/>
  </r>
  <r>
    <x v="4"/>
    <x v="4"/>
    <x v="13"/>
    <x v="23"/>
    <n v="6294627.9400000004"/>
  </r>
  <r>
    <x v="33"/>
    <x v="34"/>
    <x v="13"/>
    <x v="23"/>
    <n v="17983791.600000001"/>
  </r>
  <r>
    <x v="10"/>
    <x v="10"/>
    <x v="13"/>
    <x v="23"/>
    <n v="66371400.090000004"/>
  </r>
  <r>
    <x v="35"/>
    <x v="36"/>
    <x v="13"/>
    <x v="24"/>
    <n v="5591.69"/>
  </r>
  <r>
    <x v="20"/>
    <x v="20"/>
    <x v="13"/>
    <x v="24"/>
    <n v="321192055.5"/>
  </r>
  <r>
    <x v="1"/>
    <x v="1"/>
    <x v="13"/>
    <x v="24"/>
    <n v="22436822.16"/>
  </r>
  <r>
    <x v="36"/>
    <x v="37"/>
    <x v="13"/>
    <x v="24"/>
    <n v="1365.8"/>
  </r>
  <r>
    <x v="19"/>
    <x v="19"/>
    <x v="13"/>
    <x v="24"/>
    <n v="4150901.26"/>
  </r>
  <r>
    <x v="38"/>
    <x v="39"/>
    <x v="13"/>
    <x v="24"/>
    <n v="5778236.2300000004"/>
  </r>
  <r>
    <x v="36"/>
    <x v="37"/>
    <x v="13"/>
    <x v="53"/>
    <n v="36906556.479999997"/>
  </r>
  <r>
    <x v="30"/>
    <x v="31"/>
    <x v="13"/>
    <x v="54"/>
    <n v="18375047.199999999"/>
  </r>
  <r>
    <x v="31"/>
    <x v="32"/>
    <x v="13"/>
    <x v="54"/>
    <n v="48664736.920000002"/>
  </r>
  <r>
    <x v="33"/>
    <x v="34"/>
    <x v="13"/>
    <x v="54"/>
    <n v="18747604.699999999"/>
  </r>
  <r>
    <x v="24"/>
    <x v="24"/>
    <x v="13"/>
    <x v="54"/>
    <n v="6096280.5700000003"/>
  </r>
  <r>
    <x v="38"/>
    <x v="39"/>
    <x v="13"/>
    <x v="54"/>
    <n v="3794180.67"/>
  </r>
  <r>
    <x v="19"/>
    <x v="28"/>
    <x v="13"/>
    <x v="114"/>
    <n v="16084128.789999999"/>
  </r>
  <r>
    <x v="2"/>
    <x v="2"/>
    <x v="13"/>
    <x v="114"/>
    <n v="8257234.0599999996"/>
  </r>
  <r>
    <x v="32"/>
    <x v="33"/>
    <x v="13"/>
    <x v="114"/>
    <n v="15635531.77"/>
  </r>
  <r>
    <x v="18"/>
    <x v="18"/>
    <x v="13"/>
    <x v="114"/>
    <n v="34062175.060000002"/>
  </r>
  <r>
    <x v="13"/>
    <x v="13"/>
    <x v="13"/>
    <x v="86"/>
    <n v="17199909.84"/>
  </r>
  <r>
    <x v="28"/>
    <x v="29"/>
    <x v="13"/>
    <x v="86"/>
    <n v="4285492.8899999997"/>
  </r>
  <r>
    <x v="16"/>
    <x v="16"/>
    <x v="13"/>
    <x v="86"/>
    <n v="27295528.75"/>
  </r>
  <r>
    <x v="39"/>
    <x v="40"/>
    <x v="13"/>
    <x v="86"/>
    <n v="3844115.3"/>
  </r>
  <r>
    <x v="26"/>
    <x v="26"/>
    <x v="13"/>
    <x v="74"/>
    <n v="101890093.94"/>
  </r>
  <r>
    <x v="20"/>
    <x v="20"/>
    <x v="13"/>
    <x v="74"/>
    <n v="932.59"/>
  </r>
  <r>
    <x v="30"/>
    <x v="31"/>
    <x v="13"/>
    <x v="57"/>
    <n v="22260094.629999999"/>
  </r>
  <r>
    <x v="1"/>
    <x v="1"/>
    <x v="13"/>
    <x v="57"/>
    <n v="8171880.46"/>
  </r>
  <r>
    <x v="28"/>
    <x v="29"/>
    <x v="13"/>
    <x v="57"/>
    <n v="2153460.42"/>
  </r>
  <r>
    <x v="3"/>
    <x v="3"/>
    <x v="13"/>
    <x v="57"/>
    <n v="1578114.31"/>
  </r>
  <r>
    <x v="36"/>
    <x v="37"/>
    <x v="13"/>
    <x v="57"/>
    <n v="78027917.359999999"/>
  </r>
  <r>
    <x v="19"/>
    <x v="28"/>
    <x v="13"/>
    <x v="58"/>
    <n v="39282048.079999998"/>
  </r>
  <r>
    <x v="5"/>
    <x v="5"/>
    <x v="13"/>
    <x v="58"/>
    <n v="10289904.82"/>
  </r>
  <r>
    <x v="29"/>
    <x v="30"/>
    <x v="13"/>
    <x v="58"/>
    <n v="15805907.789999999"/>
  </r>
  <r>
    <x v="39"/>
    <x v="40"/>
    <x v="13"/>
    <x v="58"/>
    <n v="8710844.3800000008"/>
  </r>
  <r>
    <x v="14"/>
    <x v="14"/>
    <x v="13"/>
    <x v="139"/>
    <n v="1067673759.35"/>
  </r>
  <r>
    <x v="15"/>
    <x v="15"/>
    <x v="13"/>
    <x v="139"/>
    <n v="1282.76"/>
  </r>
  <r>
    <x v="40"/>
    <x v="41"/>
    <x v="13"/>
    <x v="139"/>
    <n v="62489845.43"/>
  </r>
  <r>
    <x v="30"/>
    <x v="31"/>
    <x v="13"/>
    <x v="132"/>
    <n v="11267970.84"/>
  </r>
  <r>
    <x v="33"/>
    <x v="34"/>
    <x v="13"/>
    <x v="132"/>
    <n v="25562779.559999999"/>
  </r>
  <r>
    <x v="8"/>
    <x v="8"/>
    <x v="13"/>
    <x v="132"/>
    <n v="4608855.49"/>
  </r>
  <r>
    <x v="38"/>
    <x v="39"/>
    <x v="13"/>
    <x v="132"/>
    <n v="3402607.59"/>
  </r>
  <r>
    <x v="22"/>
    <x v="22"/>
    <x v="13"/>
    <x v="38"/>
    <n v="9331.4"/>
  </r>
  <r>
    <x v="26"/>
    <x v="26"/>
    <x v="13"/>
    <x v="38"/>
    <n v="123210731.16"/>
  </r>
  <r>
    <x v="14"/>
    <x v="14"/>
    <x v="13"/>
    <x v="38"/>
    <n v="1184422024.6900001"/>
  </r>
  <r>
    <x v="6"/>
    <x v="6"/>
    <x v="13"/>
    <x v="38"/>
    <n v="351044364.67000002"/>
  </r>
  <r>
    <x v="7"/>
    <x v="7"/>
    <x v="13"/>
    <x v="38"/>
    <n v="10505296.23"/>
  </r>
  <r>
    <x v="8"/>
    <x v="8"/>
    <x v="13"/>
    <x v="38"/>
    <n v="3513620.76"/>
  </r>
  <r>
    <x v="24"/>
    <x v="24"/>
    <x v="13"/>
    <x v="38"/>
    <n v="11681477.449999999"/>
  </r>
  <r>
    <x v="39"/>
    <x v="40"/>
    <x v="13"/>
    <x v="38"/>
    <n v="11898245.6"/>
  </r>
  <r>
    <x v="10"/>
    <x v="10"/>
    <x v="13"/>
    <x v="38"/>
    <n v="76693327.530000001"/>
  </r>
  <r>
    <x v="11"/>
    <x v="11"/>
    <x v="13"/>
    <x v="41"/>
    <n v="-10564312.82"/>
  </r>
  <r>
    <x v="13"/>
    <x v="13"/>
    <x v="13"/>
    <x v="41"/>
    <n v="5986206.8099999996"/>
  </r>
  <r>
    <x v="14"/>
    <x v="14"/>
    <x v="13"/>
    <x v="41"/>
    <n v="293174841.61000001"/>
  </r>
  <r>
    <x v="35"/>
    <x v="36"/>
    <x v="13"/>
    <x v="29"/>
    <n v="8130866.6600000001"/>
  </r>
  <r>
    <x v="11"/>
    <x v="11"/>
    <x v="13"/>
    <x v="29"/>
    <n v="-2012108.2"/>
  </r>
  <r>
    <x v="19"/>
    <x v="28"/>
    <x v="13"/>
    <x v="29"/>
    <n v="1248.73"/>
  </r>
  <r>
    <x v="5"/>
    <x v="5"/>
    <x v="13"/>
    <x v="29"/>
    <n v="4194814.4400000004"/>
  </r>
  <r>
    <x v="6"/>
    <x v="6"/>
    <x v="13"/>
    <x v="29"/>
    <n v="73597768.719999999"/>
  </r>
  <r>
    <x v="8"/>
    <x v="8"/>
    <x v="13"/>
    <x v="29"/>
    <n v="5301826.99"/>
  </r>
  <r>
    <x v="41"/>
    <x v="42"/>
    <x v="13"/>
    <x v="29"/>
    <n v="2230.52"/>
  </r>
  <r>
    <x v="40"/>
    <x v="41"/>
    <x v="13"/>
    <x v="29"/>
    <n v="120292212.06"/>
  </r>
  <r>
    <x v="34"/>
    <x v="35"/>
    <x v="13"/>
    <x v="29"/>
    <n v="24821972.579999998"/>
  </r>
  <r>
    <x v="2"/>
    <x v="2"/>
    <x v="13"/>
    <x v="64"/>
    <n v="21122931.59"/>
  </r>
  <r>
    <x v="4"/>
    <x v="4"/>
    <x v="13"/>
    <x v="64"/>
    <n v="7080402.0099999998"/>
  </r>
  <r>
    <x v="40"/>
    <x v="41"/>
    <x v="13"/>
    <x v="64"/>
    <n v="201.37"/>
  </r>
  <r>
    <x v="28"/>
    <x v="29"/>
    <x v="13"/>
    <x v="66"/>
    <n v="6236947.3200000003"/>
  </r>
  <r>
    <x v="3"/>
    <x v="3"/>
    <x v="13"/>
    <x v="66"/>
    <n v="2943669.07"/>
  </r>
  <r>
    <x v="4"/>
    <x v="4"/>
    <x v="13"/>
    <x v="66"/>
    <n v="3234379.57"/>
  </r>
  <r>
    <x v="5"/>
    <x v="5"/>
    <x v="13"/>
    <x v="66"/>
    <n v="11332878.67"/>
  </r>
  <r>
    <x v="19"/>
    <x v="19"/>
    <x v="13"/>
    <x v="66"/>
    <n v="7218800.5300000003"/>
  </r>
  <r>
    <x v="39"/>
    <x v="40"/>
    <x v="13"/>
    <x v="66"/>
    <n v="5331602.3"/>
  </r>
  <r>
    <x v="10"/>
    <x v="10"/>
    <x v="13"/>
    <x v="66"/>
    <n v="160856604.09999999"/>
  </r>
  <r>
    <x v="34"/>
    <x v="35"/>
    <x v="13"/>
    <x v="66"/>
    <n v="42356850.189999998"/>
  </r>
  <r>
    <x v="30"/>
    <x v="31"/>
    <x v="13"/>
    <x v="79"/>
    <n v="7715450.7800000003"/>
  </r>
  <r>
    <x v="26"/>
    <x v="26"/>
    <x v="13"/>
    <x v="79"/>
    <n v="224294832.65000001"/>
  </r>
  <r>
    <x v="15"/>
    <x v="15"/>
    <x v="13"/>
    <x v="79"/>
    <n v="51365765.420000002"/>
  </r>
  <r>
    <x v="2"/>
    <x v="2"/>
    <x v="13"/>
    <x v="79"/>
    <n v="9478089.8000000007"/>
  </r>
  <r>
    <x v="29"/>
    <x v="30"/>
    <x v="13"/>
    <x v="79"/>
    <n v="2983.36"/>
  </r>
  <r>
    <x v="35"/>
    <x v="36"/>
    <x v="13"/>
    <x v="117"/>
    <n v="19869431.18"/>
  </r>
  <r>
    <x v="5"/>
    <x v="5"/>
    <x v="13"/>
    <x v="117"/>
    <n v="8823701.0999999996"/>
  </r>
  <r>
    <x v="22"/>
    <x v="22"/>
    <x v="13"/>
    <x v="103"/>
    <n v="47826164.350000001"/>
  </r>
  <r>
    <x v="17"/>
    <x v="17"/>
    <x v="13"/>
    <x v="103"/>
    <n v="15707825.01"/>
  </r>
  <r>
    <x v="41"/>
    <x v="42"/>
    <x v="13"/>
    <x v="103"/>
    <n v="6663847.6600000001"/>
  </r>
  <r>
    <x v="10"/>
    <x v="10"/>
    <x v="13"/>
    <x v="103"/>
    <n v="208209549.86000001"/>
  </r>
  <r>
    <x v="11"/>
    <x v="11"/>
    <x v="13"/>
    <x v="67"/>
    <n v="-3017022.68"/>
  </r>
  <r>
    <x v="31"/>
    <x v="32"/>
    <x v="13"/>
    <x v="67"/>
    <n v="64856701"/>
  </r>
  <r>
    <x v="0"/>
    <x v="0"/>
    <x v="13"/>
    <x v="67"/>
    <n v="0.51"/>
  </r>
  <r>
    <x v="16"/>
    <x v="16"/>
    <x v="13"/>
    <x v="67"/>
    <n v="26695555.609999999"/>
  </r>
  <r>
    <x v="24"/>
    <x v="24"/>
    <x v="13"/>
    <x v="67"/>
    <n v="29191094.68"/>
  </r>
  <r>
    <x v="3"/>
    <x v="3"/>
    <x v="13"/>
    <x v="126"/>
    <n v="2176312.65"/>
  </r>
  <r>
    <x v="21"/>
    <x v="21"/>
    <x v="13"/>
    <x v="126"/>
    <n v="67145649.340000004"/>
  </r>
  <r>
    <x v="33"/>
    <x v="34"/>
    <x v="13"/>
    <x v="126"/>
    <n v="24867285.219999999"/>
  </r>
  <r>
    <x v="10"/>
    <x v="10"/>
    <x v="13"/>
    <x v="126"/>
    <n v="152318012.5"/>
  </r>
  <r>
    <x v="13"/>
    <x v="13"/>
    <x v="14"/>
    <x v="1"/>
    <n v="7740222.9400000004"/>
  </r>
  <r>
    <x v="15"/>
    <x v="15"/>
    <x v="14"/>
    <x v="1"/>
    <n v="0.14000000000000001"/>
  </r>
  <r>
    <x v="3"/>
    <x v="3"/>
    <x v="14"/>
    <x v="1"/>
    <n v="1158056.3999999999"/>
  </r>
  <r>
    <x v="29"/>
    <x v="30"/>
    <x v="14"/>
    <x v="1"/>
    <n v="3846205.61"/>
  </r>
  <r>
    <x v="34"/>
    <x v="35"/>
    <x v="14"/>
    <x v="1"/>
    <n v="17825228.149999999"/>
  </r>
  <r>
    <x v="1"/>
    <x v="1"/>
    <x v="14"/>
    <x v="105"/>
    <n v="748.86"/>
  </r>
  <r>
    <x v="19"/>
    <x v="28"/>
    <x v="14"/>
    <x v="105"/>
    <n v="7032277.2000000002"/>
  </r>
  <r>
    <x v="8"/>
    <x v="8"/>
    <x v="14"/>
    <x v="105"/>
    <n v="3612181.77"/>
  </r>
  <r>
    <x v="41"/>
    <x v="42"/>
    <x v="14"/>
    <x v="105"/>
    <n v="13755052.35"/>
  </r>
  <r>
    <x v="40"/>
    <x v="41"/>
    <x v="14"/>
    <x v="105"/>
    <n v="28517266.23"/>
  </r>
  <r>
    <x v="31"/>
    <x v="32"/>
    <x v="14"/>
    <x v="81"/>
    <n v="4788020.07"/>
  </r>
  <r>
    <x v="1"/>
    <x v="1"/>
    <x v="14"/>
    <x v="81"/>
    <n v="6866328.1399999997"/>
  </r>
  <r>
    <x v="3"/>
    <x v="3"/>
    <x v="14"/>
    <x v="81"/>
    <n v="2406352.12"/>
  </r>
  <r>
    <x v="4"/>
    <x v="4"/>
    <x v="14"/>
    <x v="81"/>
    <n v="13181712.640000001"/>
  </r>
  <r>
    <x v="32"/>
    <x v="33"/>
    <x v="14"/>
    <x v="81"/>
    <n v="5831642.0199999996"/>
  </r>
  <r>
    <x v="34"/>
    <x v="35"/>
    <x v="14"/>
    <x v="81"/>
    <n v="0.72"/>
  </r>
  <r>
    <x v="21"/>
    <x v="21"/>
    <x v="14"/>
    <x v="42"/>
    <n v="13710085.390000001"/>
  </r>
  <r>
    <x v="16"/>
    <x v="16"/>
    <x v="14"/>
    <x v="42"/>
    <n v="12464443.789999999"/>
  </r>
  <r>
    <x v="26"/>
    <x v="26"/>
    <x v="14"/>
    <x v="141"/>
    <n v="217600535.5"/>
  </r>
  <r>
    <x v="4"/>
    <x v="4"/>
    <x v="14"/>
    <x v="141"/>
    <n v="5402085.21"/>
  </r>
  <r>
    <x v="31"/>
    <x v="32"/>
    <x v="14"/>
    <x v="144"/>
    <n v="37502770.109999999"/>
  </r>
  <r>
    <x v="8"/>
    <x v="8"/>
    <x v="14"/>
    <x v="144"/>
    <n v="1456854.61"/>
  </r>
  <r>
    <x v="25"/>
    <x v="25"/>
    <x v="14"/>
    <x v="144"/>
    <n v="7299883.71"/>
  </r>
  <r>
    <x v="12"/>
    <x v="12"/>
    <x v="14"/>
    <x v="107"/>
    <n v="8328661.3600000003"/>
  </r>
  <r>
    <x v="13"/>
    <x v="13"/>
    <x v="14"/>
    <x v="107"/>
    <n v="9426169.4299999997"/>
  </r>
  <r>
    <x v="0"/>
    <x v="0"/>
    <x v="14"/>
    <x v="107"/>
    <n v="5634.17"/>
  </r>
  <r>
    <x v="1"/>
    <x v="1"/>
    <x v="14"/>
    <x v="107"/>
    <n v="7260235.7800000003"/>
  </r>
  <r>
    <x v="41"/>
    <x v="42"/>
    <x v="14"/>
    <x v="107"/>
    <n v="6101857.4800000004"/>
  </r>
  <r>
    <x v="10"/>
    <x v="10"/>
    <x v="14"/>
    <x v="107"/>
    <n v="111284399.62"/>
  </r>
  <r>
    <x v="11"/>
    <x v="11"/>
    <x v="14"/>
    <x v="129"/>
    <n v="-3764095.36"/>
  </r>
  <r>
    <x v="12"/>
    <x v="12"/>
    <x v="14"/>
    <x v="129"/>
    <n v="13140165.109999999"/>
  </r>
  <r>
    <x v="18"/>
    <x v="18"/>
    <x v="14"/>
    <x v="129"/>
    <n v="20528872.75"/>
  </r>
  <r>
    <x v="10"/>
    <x v="10"/>
    <x v="14"/>
    <x v="129"/>
    <n v="1014.98"/>
  </r>
  <r>
    <x v="34"/>
    <x v="35"/>
    <x v="14"/>
    <x v="129"/>
    <n v="22292211.260000002"/>
  </r>
  <r>
    <x v="11"/>
    <x v="11"/>
    <x v="14"/>
    <x v="68"/>
    <n v="-3068432.72"/>
  </r>
  <r>
    <x v="12"/>
    <x v="12"/>
    <x v="14"/>
    <x v="68"/>
    <n v="10272574.460000001"/>
  </r>
  <r>
    <x v="31"/>
    <x v="32"/>
    <x v="14"/>
    <x v="68"/>
    <n v="17041474.52"/>
  </r>
  <r>
    <x v="1"/>
    <x v="1"/>
    <x v="14"/>
    <x v="68"/>
    <n v="4601975.01"/>
  </r>
  <r>
    <x v="8"/>
    <x v="8"/>
    <x v="14"/>
    <x v="68"/>
    <n v="0.96"/>
  </r>
  <r>
    <x v="17"/>
    <x v="17"/>
    <x v="14"/>
    <x v="68"/>
    <n v="23998607.620000001"/>
  </r>
  <r>
    <x v="29"/>
    <x v="30"/>
    <x v="14"/>
    <x v="68"/>
    <n v="1229.6500000000001"/>
  </r>
  <r>
    <x v="36"/>
    <x v="37"/>
    <x v="14"/>
    <x v="90"/>
    <n v="33735294.990000002"/>
  </r>
  <r>
    <x v="30"/>
    <x v="31"/>
    <x v="14"/>
    <x v="83"/>
    <n v="6776215.21"/>
  </r>
  <r>
    <x v="22"/>
    <x v="22"/>
    <x v="14"/>
    <x v="83"/>
    <n v="28182381.760000002"/>
  </r>
  <r>
    <x v="31"/>
    <x v="32"/>
    <x v="14"/>
    <x v="83"/>
    <n v="36257410.140000001"/>
  </r>
  <r>
    <x v="0"/>
    <x v="0"/>
    <x v="14"/>
    <x v="83"/>
    <n v="1.4"/>
  </r>
  <r>
    <x v="32"/>
    <x v="33"/>
    <x v="14"/>
    <x v="83"/>
    <n v="8737306.6999999993"/>
  </r>
  <r>
    <x v="18"/>
    <x v="18"/>
    <x v="14"/>
    <x v="83"/>
    <n v="7548007.0300000003"/>
  </r>
  <r>
    <x v="40"/>
    <x v="41"/>
    <x v="14"/>
    <x v="83"/>
    <n v="22551026.289999999"/>
  </r>
  <r>
    <x v="11"/>
    <x v="11"/>
    <x v="14"/>
    <x v="108"/>
    <n v="-4181105.14"/>
  </r>
  <r>
    <x v="20"/>
    <x v="20"/>
    <x v="14"/>
    <x v="108"/>
    <n v="77022539.459999993"/>
  </r>
  <r>
    <x v="33"/>
    <x v="34"/>
    <x v="14"/>
    <x v="108"/>
    <n v="14528619.99"/>
  </r>
  <r>
    <x v="24"/>
    <x v="24"/>
    <x v="14"/>
    <x v="108"/>
    <n v="8434849.25"/>
  </r>
  <r>
    <x v="39"/>
    <x v="40"/>
    <x v="14"/>
    <x v="108"/>
    <n v="10005890.1"/>
  </r>
  <r>
    <x v="10"/>
    <x v="10"/>
    <x v="14"/>
    <x v="108"/>
    <n v="43365987.25"/>
  </r>
  <r>
    <x v="13"/>
    <x v="13"/>
    <x v="14"/>
    <x v="124"/>
    <n v="789288.73"/>
  </r>
  <r>
    <x v="22"/>
    <x v="22"/>
    <x v="14"/>
    <x v="124"/>
    <n v="12063794.890000001"/>
  </r>
  <r>
    <x v="3"/>
    <x v="3"/>
    <x v="14"/>
    <x v="124"/>
    <n v="2021430.96"/>
  </r>
  <r>
    <x v="8"/>
    <x v="8"/>
    <x v="14"/>
    <x v="124"/>
    <n v="1399472.94"/>
  </r>
  <r>
    <x v="19"/>
    <x v="19"/>
    <x v="14"/>
    <x v="124"/>
    <n v="13166537.279999999"/>
  </r>
  <r>
    <x v="25"/>
    <x v="25"/>
    <x v="14"/>
    <x v="124"/>
    <n v="10572705.279999999"/>
  </r>
  <r>
    <x v="22"/>
    <x v="22"/>
    <x v="14"/>
    <x v="49"/>
    <n v="14742659.52"/>
  </r>
  <r>
    <x v="17"/>
    <x v="17"/>
    <x v="14"/>
    <x v="49"/>
    <n v="8198822.54"/>
  </r>
  <r>
    <x v="0"/>
    <x v="0"/>
    <x v="14"/>
    <x v="94"/>
    <n v="2038.25"/>
  </r>
  <r>
    <x v="1"/>
    <x v="1"/>
    <x v="14"/>
    <x v="94"/>
    <n v="12716949.220000001"/>
  </r>
  <r>
    <x v="5"/>
    <x v="5"/>
    <x v="14"/>
    <x v="94"/>
    <n v="3689980"/>
  </r>
  <r>
    <x v="24"/>
    <x v="24"/>
    <x v="14"/>
    <x v="94"/>
    <n v="29443394.27"/>
  </r>
  <r>
    <x v="34"/>
    <x v="35"/>
    <x v="14"/>
    <x v="94"/>
    <n v="39452098.920000002"/>
  </r>
  <r>
    <x v="22"/>
    <x v="22"/>
    <x v="14"/>
    <x v="50"/>
    <n v="7740452.2300000004"/>
  </r>
  <r>
    <x v="20"/>
    <x v="20"/>
    <x v="14"/>
    <x v="50"/>
    <n v="73082855.730000004"/>
  </r>
  <r>
    <x v="28"/>
    <x v="29"/>
    <x v="14"/>
    <x v="50"/>
    <n v="14850134.640000001"/>
  </r>
  <r>
    <x v="15"/>
    <x v="15"/>
    <x v="14"/>
    <x v="50"/>
    <n v="20575871.57"/>
  </r>
  <r>
    <x v="5"/>
    <x v="5"/>
    <x v="14"/>
    <x v="50"/>
    <n v="10694878.810000001"/>
  </r>
  <r>
    <x v="19"/>
    <x v="19"/>
    <x v="14"/>
    <x v="50"/>
    <n v="7869178.2300000004"/>
  </r>
  <r>
    <x v="34"/>
    <x v="35"/>
    <x v="14"/>
    <x v="50"/>
    <n v="16313474.98"/>
  </r>
  <r>
    <x v="2"/>
    <x v="2"/>
    <x v="14"/>
    <x v="95"/>
    <n v="5617626.7999999998"/>
  </r>
  <r>
    <x v="3"/>
    <x v="3"/>
    <x v="14"/>
    <x v="95"/>
    <n v="1582080.96"/>
  </r>
  <r>
    <x v="0"/>
    <x v="0"/>
    <x v="14"/>
    <x v="51"/>
    <n v="17133821.129999999"/>
  </r>
  <r>
    <x v="32"/>
    <x v="33"/>
    <x v="14"/>
    <x v="51"/>
    <n v="5312773.45"/>
  </r>
  <r>
    <x v="40"/>
    <x v="41"/>
    <x v="14"/>
    <x v="51"/>
    <n v="3290665.32"/>
  </r>
  <r>
    <x v="34"/>
    <x v="35"/>
    <x v="14"/>
    <x v="51"/>
    <n v="994.92"/>
  </r>
  <r>
    <x v="5"/>
    <x v="5"/>
    <x v="14"/>
    <x v="33"/>
    <n v="6861406.6200000001"/>
  </r>
  <r>
    <x v="16"/>
    <x v="16"/>
    <x v="14"/>
    <x v="33"/>
    <n v="81947972.450000003"/>
  </r>
  <r>
    <x v="17"/>
    <x v="17"/>
    <x v="14"/>
    <x v="33"/>
    <n v="8214685.79"/>
  </r>
  <r>
    <x v="39"/>
    <x v="40"/>
    <x v="14"/>
    <x v="33"/>
    <n v="4202574.45"/>
  </r>
  <r>
    <x v="40"/>
    <x v="41"/>
    <x v="14"/>
    <x v="33"/>
    <n v="22590532.870000001"/>
  </r>
  <r>
    <x v="30"/>
    <x v="31"/>
    <x v="14"/>
    <x v="111"/>
    <n v="0.55000000000000004"/>
  </r>
  <r>
    <x v="13"/>
    <x v="13"/>
    <x v="14"/>
    <x v="111"/>
    <n v="11478415.1"/>
  </r>
  <r>
    <x v="22"/>
    <x v="22"/>
    <x v="14"/>
    <x v="111"/>
    <n v="16998677.359999999"/>
  </r>
  <r>
    <x v="20"/>
    <x v="20"/>
    <x v="14"/>
    <x v="111"/>
    <n v="107024330.54000001"/>
  </r>
  <r>
    <x v="1"/>
    <x v="1"/>
    <x v="14"/>
    <x v="111"/>
    <n v="6529611.3600000003"/>
  </r>
  <r>
    <x v="25"/>
    <x v="25"/>
    <x v="14"/>
    <x v="111"/>
    <n v="13363444.890000001"/>
  </r>
  <r>
    <x v="30"/>
    <x v="31"/>
    <x v="14"/>
    <x v="112"/>
    <n v="28441171.969999999"/>
  </r>
  <r>
    <x v="2"/>
    <x v="2"/>
    <x v="14"/>
    <x v="112"/>
    <n v="11803232.33"/>
  </r>
  <r>
    <x v="17"/>
    <x v="17"/>
    <x v="14"/>
    <x v="112"/>
    <n v="9980906.9199999999"/>
  </r>
  <r>
    <x v="39"/>
    <x v="40"/>
    <x v="14"/>
    <x v="112"/>
    <n v="11312318.359999999"/>
  </r>
  <r>
    <x v="30"/>
    <x v="31"/>
    <x v="14"/>
    <x v="23"/>
    <n v="178.6"/>
  </r>
  <r>
    <x v="12"/>
    <x v="12"/>
    <x v="14"/>
    <x v="23"/>
    <n v="22155033.300000001"/>
  </r>
  <r>
    <x v="13"/>
    <x v="13"/>
    <x v="14"/>
    <x v="23"/>
    <n v="9823369.4800000004"/>
  </r>
  <r>
    <x v="15"/>
    <x v="15"/>
    <x v="14"/>
    <x v="23"/>
    <n v="11289537.65"/>
  </r>
  <r>
    <x v="7"/>
    <x v="7"/>
    <x v="14"/>
    <x v="23"/>
    <n v="4178089.23"/>
  </r>
  <r>
    <x v="24"/>
    <x v="24"/>
    <x v="14"/>
    <x v="23"/>
    <n v="13488376.449999999"/>
  </r>
  <r>
    <x v="29"/>
    <x v="30"/>
    <x v="14"/>
    <x v="23"/>
    <n v="6415669.9100000001"/>
  </r>
  <r>
    <x v="10"/>
    <x v="10"/>
    <x v="14"/>
    <x v="23"/>
    <n v="74231964.540000007"/>
  </r>
  <r>
    <x v="30"/>
    <x v="31"/>
    <x v="14"/>
    <x v="35"/>
    <n v="14995368.560000001"/>
  </r>
  <r>
    <x v="20"/>
    <x v="20"/>
    <x v="14"/>
    <x v="35"/>
    <n v="39662673.560000002"/>
  </r>
  <r>
    <x v="31"/>
    <x v="32"/>
    <x v="14"/>
    <x v="35"/>
    <n v="26853091.739999998"/>
  </r>
  <r>
    <x v="36"/>
    <x v="37"/>
    <x v="14"/>
    <x v="35"/>
    <n v="61393244.149999999"/>
  </r>
  <r>
    <x v="8"/>
    <x v="8"/>
    <x v="14"/>
    <x v="35"/>
    <n v="1.33"/>
  </r>
  <r>
    <x v="24"/>
    <x v="24"/>
    <x v="14"/>
    <x v="35"/>
    <n v="11521731.859999999"/>
  </r>
  <r>
    <x v="22"/>
    <x v="22"/>
    <x v="14"/>
    <x v="36"/>
    <n v="14418390.699999999"/>
  </r>
  <r>
    <x v="0"/>
    <x v="0"/>
    <x v="14"/>
    <x v="36"/>
    <n v="14655.33"/>
  </r>
  <r>
    <x v="17"/>
    <x v="17"/>
    <x v="14"/>
    <x v="36"/>
    <n v="696.17"/>
  </r>
  <r>
    <x v="19"/>
    <x v="19"/>
    <x v="14"/>
    <x v="36"/>
    <n v="10179669.460000001"/>
  </r>
  <r>
    <x v="40"/>
    <x v="41"/>
    <x v="14"/>
    <x v="36"/>
    <n v="23214232.059999999"/>
  </r>
  <r>
    <x v="20"/>
    <x v="20"/>
    <x v="14"/>
    <x v="10"/>
    <n v="63074541.409999996"/>
  </r>
  <r>
    <x v="0"/>
    <x v="0"/>
    <x v="14"/>
    <x v="10"/>
    <n v="45546619.229999997"/>
  </r>
  <r>
    <x v="5"/>
    <x v="5"/>
    <x v="14"/>
    <x v="10"/>
    <n v="0.49"/>
  </r>
  <r>
    <x v="17"/>
    <x v="17"/>
    <x v="14"/>
    <x v="10"/>
    <n v="5063403.96"/>
  </r>
  <r>
    <x v="19"/>
    <x v="19"/>
    <x v="14"/>
    <x v="10"/>
    <n v="7429843.7800000003"/>
  </r>
  <r>
    <x v="37"/>
    <x v="38"/>
    <x v="14"/>
    <x v="10"/>
    <n v="0.69"/>
  </r>
  <r>
    <x v="12"/>
    <x v="12"/>
    <x v="14"/>
    <x v="98"/>
    <n v="14897943.060000001"/>
  </r>
  <r>
    <x v="26"/>
    <x v="26"/>
    <x v="14"/>
    <x v="98"/>
    <n v="229314785.52000001"/>
  </r>
  <r>
    <x v="4"/>
    <x v="4"/>
    <x v="14"/>
    <x v="98"/>
    <n v="1820347.03"/>
  </r>
  <r>
    <x v="7"/>
    <x v="7"/>
    <x v="14"/>
    <x v="98"/>
    <n v="10454080.550000001"/>
  </r>
  <r>
    <x v="33"/>
    <x v="34"/>
    <x v="14"/>
    <x v="98"/>
    <n v="13614679.199999999"/>
  </r>
  <r>
    <x v="25"/>
    <x v="25"/>
    <x v="14"/>
    <x v="98"/>
    <n v="2861864.54"/>
  </r>
  <r>
    <x v="12"/>
    <x v="12"/>
    <x v="14"/>
    <x v="56"/>
    <n v="4868.55"/>
  </r>
  <r>
    <x v="13"/>
    <x v="13"/>
    <x v="14"/>
    <x v="56"/>
    <n v="3073564.95"/>
  </r>
  <r>
    <x v="2"/>
    <x v="2"/>
    <x v="14"/>
    <x v="56"/>
    <n v="26230090.170000002"/>
  </r>
  <r>
    <x v="21"/>
    <x v="21"/>
    <x v="14"/>
    <x v="56"/>
    <n v="17489029.239999998"/>
  </r>
  <r>
    <x v="33"/>
    <x v="34"/>
    <x v="14"/>
    <x v="56"/>
    <n v="20937689.9400000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18444A-738E-4876-B3F9-57D909F83E94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B4:OQ50" firstHeaderRow="1" firstDataRow="3" firstDataCol="2"/>
  <pivotFields count="5">
    <pivotField axis="axisRow" compact="0" outline="0" showAll="0" defaultSubtotal="0">
      <items count="42">
        <item x="31"/>
        <item x="38"/>
        <item x="35"/>
        <item x="11"/>
        <item x="32"/>
        <item x="40"/>
        <item x="10"/>
        <item x="34"/>
        <item x="21"/>
        <item x="29"/>
        <item x="3"/>
        <item x="19"/>
        <item x="28"/>
        <item x="16"/>
        <item x="8"/>
        <item x="12"/>
        <item x="2"/>
        <item x="33"/>
        <item x="25"/>
        <item x="15"/>
        <item x="1"/>
        <item x="0"/>
        <item x="30"/>
        <item x="17"/>
        <item x="24"/>
        <item x="13"/>
        <item x="6"/>
        <item x="36"/>
        <item x="7"/>
        <item x="9"/>
        <item x="41"/>
        <item x="18"/>
        <item x="37"/>
        <item x="39"/>
        <item x="22"/>
        <item x="26"/>
        <item x="23"/>
        <item x="27"/>
        <item x="20"/>
        <item x="14"/>
        <item x="4"/>
        <item x="5"/>
      </items>
    </pivotField>
    <pivotField axis="axisRow" compact="0" outline="0" showAll="0" defaultSubtotal="0">
      <items count="43">
        <item x="36"/>
        <item x="31"/>
        <item x="12"/>
        <item x="13"/>
        <item x="22"/>
        <item x="26"/>
        <item x="23"/>
        <item x="27"/>
        <item x="20"/>
        <item x="11"/>
        <item x="32"/>
        <item x="0"/>
        <item x="28"/>
        <item x="1"/>
        <item x="14"/>
        <item x="29"/>
        <item x="15"/>
        <item x="2"/>
        <item x="3"/>
        <item x="21"/>
        <item x="4"/>
        <item x="5"/>
        <item x="6"/>
        <item x="37"/>
        <item x="33"/>
        <item x="16"/>
        <item x="7"/>
        <item x="34"/>
        <item x="24"/>
        <item x="8"/>
        <item x="17"/>
        <item x="30"/>
        <item x="9"/>
        <item x="19"/>
        <item x="42"/>
        <item x="18"/>
        <item x="39"/>
        <item x="38"/>
        <item x="40"/>
        <item x="41"/>
        <item x="10"/>
        <item x="35"/>
        <item x="25"/>
      </items>
    </pivotField>
    <pivotField axis="axisCol" compact="0" outline="0" showAll="0" defaultSubtota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</items>
    </pivotField>
    <pivotField axis="axisCol" compact="0" outline="0" showAll="0" defaultSubtotal="0">
      <items count="357">
        <item m="1" x="321"/>
        <item m="1" x="210"/>
        <item m="1" x="190"/>
        <item m="1" x="349"/>
        <item m="1" x="305"/>
        <item m="1" x="329"/>
        <item m="1" x="211"/>
        <item m="1" x="306"/>
        <item m="1" x="242"/>
        <item m="1" x="212"/>
        <item m="1" x="330"/>
        <item m="1" x="145"/>
        <item m="1" x="286"/>
        <item m="1" x="333"/>
        <item m="1" x="287"/>
        <item m="1" x="173"/>
        <item m="1" x="331"/>
        <item m="1" x="354"/>
        <item m="1" x="191"/>
        <item m="1" x="288"/>
        <item m="1" x="146"/>
        <item m="1" x="243"/>
        <item m="1" x="174"/>
        <item x="89"/>
        <item m="1" x="147"/>
        <item m="1" x="271"/>
        <item m="1" x="148"/>
        <item m="1" x="272"/>
        <item m="1" x="213"/>
        <item m="1" x="149"/>
        <item m="1" x="150"/>
        <item m="1" x="289"/>
        <item m="1" x="290"/>
        <item m="1" x="244"/>
        <item m="1" x="291"/>
        <item m="1" x="307"/>
        <item m="1" x="245"/>
        <item m="1" x="151"/>
        <item m="1" x="292"/>
        <item m="1" x="246"/>
        <item m="1" x="192"/>
        <item m="1" x="152"/>
        <item m="1" x="247"/>
        <item m="1" x="273"/>
        <item m="1" x="175"/>
        <item m="1" x="193"/>
        <item m="1" x="176"/>
        <item m="1" x="274"/>
        <item m="1" x="194"/>
        <item m="1" x="334"/>
        <item m="1" x="195"/>
        <item m="1" x="214"/>
        <item m="1" x="248"/>
        <item m="1" x="341"/>
        <item m="1" x="293"/>
        <item m="1" x="153"/>
        <item m="1" x="196"/>
        <item m="1" x="249"/>
        <item m="1" x="154"/>
        <item m="1" x="177"/>
        <item m="1" x="294"/>
        <item m="1" x="322"/>
        <item m="1" x="343"/>
        <item m="1" x="155"/>
        <item m="1" x="156"/>
        <item m="1" x="215"/>
        <item m="1" x="216"/>
        <item m="1" x="250"/>
        <item m="1" x="251"/>
        <item m="1" x="157"/>
        <item m="1" x="308"/>
        <item m="1" x="217"/>
        <item m="1" x="350"/>
        <item m="1" x="218"/>
        <item m="1" x="275"/>
        <item m="1" x="158"/>
        <item m="1" x="252"/>
        <item m="1" x="344"/>
        <item m="1" x="219"/>
        <item m="1" x="178"/>
        <item m="1" x="309"/>
        <item m="1" x="345"/>
        <item m="1" x="197"/>
        <item m="1" x="198"/>
        <item m="1" x="323"/>
        <item m="1" x="220"/>
        <item m="1" x="199"/>
        <item m="1" x="335"/>
        <item m="1" x="179"/>
        <item m="1" x="159"/>
        <item m="1" x="351"/>
        <item m="1" x="346"/>
        <item m="1" x="160"/>
        <item m="1" x="221"/>
        <item m="1" x="347"/>
        <item m="1" x="336"/>
        <item m="1" x="310"/>
        <item m="1" x="311"/>
        <item m="1" x="180"/>
        <item m="1" x="200"/>
        <item m="1" x="276"/>
        <item m="1" x="253"/>
        <item m="1" x="312"/>
        <item m="1" x="222"/>
        <item m="1" x="161"/>
        <item m="1" x="181"/>
        <item m="1" x="295"/>
        <item m="1" x="223"/>
        <item m="1" x="324"/>
        <item m="1" x="224"/>
        <item m="1" x="337"/>
        <item m="1" x="313"/>
        <item m="1" x="254"/>
        <item m="1" x="201"/>
        <item m="1" x="255"/>
        <item m="1" x="162"/>
        <item m="1" x="163"/>
        <item m="1" x="256"/>
        <item m="1" x="296"/>
        <item m="1" x="314"/>
        <item m="1" x="225"/>
        <item m="1" x="226"/>
        <item m="1" x="297"/>
        <item m="1" x="257"/>
        <item m="1" x="164"/>
        <item m="1" x="298"/>
        <item m="1" x="182"/>
        <item m="1" x="277"/>
        <item m="1" x="332"/>
        <item m="1" x="202"/>
        <item m="1" x="258"/>
        <item m="1" x="227"/>
        <item m="1" x="228"/>
        <item m="1" x="165"/>
        <item m="1" x="183"/>
        <item m="1" x="259"/>
        <item m="1" x="278"/>
        <item m="1" x="279"/>
        <item m="1" x="260"/>
        <item m="1" x="261"/>
        <item m="1" x="229"/>
        <item m="1" x="280"/>
        <item m="1" x="315"/>
        <item m="1" x="338"/>
        <item m="1" x="166"/>
        <item m="1" x="230"/>
        <item m="1" x="184"/>
        <item m="1" x="203"/>
        <item m="1" x="231"/>
        <item m="1" x="281"/>
        <item m="1" x="262"/>
        <item m="1" x="167"/>
        <item m="1" x="263"/>
        <item m="1" x="316"/>
        <item m="1" x="232"/>
        <item m="1" x="168"/>
        <item m="1" x="264"/>
        <item m="1" x="185"/>
        <item m="1" x="339"/>
        <item m="1" x="317"/>
        <item m="1" x="233"/>
        <item m="1" x="265"/>
        <item m="1" x="352"/>
        <item m="1" x="340"/>
        <item m="1" x="342"/>
        <item m="1" x="234"/>
        <item m="1" x="266"/>
        <item m="1" x="169"/>
        <item m="1" x="204"/>
        <item m="1" x="325"/>
        <item m="1" x="267"/>
        <item m="1" x="318"/>
        <item m="1" x="299"/>
        <item m="1" x="205"/>
        <item m="1" x="319"/>
        <item m="1" x="186"/>
        <item m="1" x="170"/>
        <item m="1" x="300"/>
        <item m="1" x="206"/>
        <item m="1" x="268"/>
        <item m="1" x="269"/>
        <item m="1" x="301"/>
        <item m="1" x="235"/>
        <item m="1" x="355"/>
        <item m="1" x="302"/>
        <item m="1" x="303"/>
        <item m="1" x="207"/>
        <item m="1" x="282"/>
        <item m="1" x="356"/>
        <item m="1" x="171"/>
        <item m="1" x="236"/>
        <item m="1" x="270"/>
        <item m="1" x="187"/>
        <item m="1" x="237"/>
        <item m="1" x="304"/>
        <item m="1" x="283"/>
        <item m="1" x="284"/>
        <item m="1" x="238"/>
        <item m="1" x="239"/>
        <item m="1" x="208"/>
        <item m="1" x="172"/>
        <item m="1" x="209"/>
        <item m="1" x="326"/>
        <item m="1" x="320"/>
        <item m="1" x="188"/>
        <item m="1" x="240"/>
        <item m="1" x="353"/>
        <item m="1" x="348"/>
        <item m="1" x="285"/>
        <item m="1" x="241"/>
        <item m="1" x="327"/>
        <item m="1" x="328"/>
        <item m="1" x="189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</items>
    </pivotField>
    <pivotField dataField="1" compact="0" numFmtId="164" outline="0" showAll="0" defaultSubtotal="0"/>
  </pivotFields>
  <rowFields count="2">
    <field x="0"/>
    <field x="1"/>
  </rowFields>
  <rowItems count="44">
    <i>
      <x/>
      <x v="10"/>
    </i>
    <i>
      <x v="1"/>
      <x v="36"/>
    </i>
    <i>
      <x v="2"/>
      <x/>
    </i>
    <i>
      <x v="3"/>
      <x v="9"/>
    </i>
    <i>
      <x v="4"/>
      <x v="24"/>
    </i>
    <i>
      <x v="5"/>
      <x v="39"/>
    </i>
    <i>
      <x v="6"/>
      <x v="40"/>
    </i>
    <i>
      <x v="7"/>
      <x v="41"/>
    </i>
    <i>
      <x v="8"/>
      <x v="19"/>
    </i>
    <i>
      <x v="9"/>
      <x v="31"/>
    </i>
    <i>
      <x v="10"/>
      <x v="18"/>
    </i>
    <i>
      <x v="11"/>
      <x v="12"/>
    </i>
    <i r="1">
      <x v="33"/>
    </i>
    <i>
      <x v="12"/>
      <x v="15"/>
    </i>
    <i>
      <x v="13"/>
      <x v="25"/>
    </i>
    <i>
      <x v="14"/>
      <x v="29"/>
    </i>
    <i>
      <x v="15"/>
      <x v="2"/>
    </i>
    <i>
      <x v="16"/>
      <x v="17"/>
    </i>
    <i>
      <x v="17"/>
      <x v="27"/>
    </i>
    <i>
      <x v="18"/>
      <x v="42"/>
    </i>
    <i>
      <x v="19"/>
      <x v="16"/>
    </i>
    <i>
      <x v="20"/>
      <x v="13"/>
    </i>
    <i>
      <x v="21"/>
      <x v="11"/>
    </i>
    <i>
      <x v="22"/>
      <x v="1"/>
    </i>
    <i>
      <x v="23"/>
      <x v="30"/>
    </i>
    <i>
      <x v="24"/>
      <x v="28"/>
    </i>
    <i>
      <x v="25"/>
      <x v="3"/>
    </i>
    <i>
      <x v="26"/>
      <x v="22"/>
    </i>
    <i>
      <x v="27"/>
      <x v="23"/>
    </i>
    <i>
      <x v="28"/>
      <x v="26"/>
    </i>
    <i>
      <x v="29"/>
      <x v="32"/>
    </i>
    <i>
      <x v="30"/>
      <x v="34"/>
    </i>
    <i>
      <x v="31"/>
      <x v="35"/>
    </i>
    <i>
      <x v="32"/>
      <x v="37"/>
    </i>
    <i>
      <x v="33"/>
      <x v="38"/>
    </i>
    <i>
      <x v="34"/>
      <x v="4"/>
    </i>
    <i>
      <x v="35"/>
      <x v="5"/>
    </i>
    <i>
      <x v="36"/>
      <x v="6"/>
    </i>
    <i>
      <x v="37"/>
      <x v="7"/>
    </i>
    <i>
      <x v="38"/>
      <x v="8"/>
    </i>
    <i>
      <x v="39"/>
      <x v="14"/>
    </i>
    <i>
      <x v="40"/>
      <x v="20"/>
    </i>
    <i>
      <x v="41"/>
      <x v="21"/>
    </i>
    <i t="grand">
      <x/>
    </i>
  </rowItems>
  <colFields count="2">
    <field x="2"/>
    <field x="3"/>
  </colFields>
  <colItems count="404">
    <i>
      <x/>
      <x v="213"/>
    </i>
    <i r="1">
      <x v="214"/>
    </i>
    <i r="1">
      <x v="215"/>
    </i>
    <i r="1">
      <x v="216"/>
    </i>
    <i r="1">
      <x v="217"/>
    </i>
    <i r="1">
      <x v="218"/>
    </i>
    <i r="1">
      <x v="219"/>
    </i>
    <i r="1">
      <x v="220"/>
    </i>
    <i r="1">
      <x v="221"/>
    </i>
    <i r="1">
      <x v="222"/>
    </i>
    <i r="1">
      <x v="223"/>
    </i>
    <i r="1">
      <x v="224"/>
    </i>
    <i r="1">
      <x v="225"/>
    </i>
    <i r="1">
      <x v="226"/>
    </i>
    <i r="1">
      <x v="227"/>
    </i>
    <i r="1">
      <x v="228"/>
    </i>
    <i r="1">
      <x v="229"/>
    </i>
    <i r="1">
      <x v="230"/>
    </i>
    <i>
      <x v="1"/>
      <x v="217"/>
    </i>
    <i r="1">
      <x v="221"/>
    </i>
    <i r="1">
      <x v="231"/>
    </i>
    <i r="1">
      <x v="232"/>
    </i>
    <i r="1">
      <x v="233"/>
    </i>
    <i r="1">
      <x v="234"/>
    </i>
    <i r="1">
      <x v="235"/>
    </i>
    <i r="1">
      <x v="236"/>
    </i>
    <i r="1">
      <x v="237"/>
    </i>
    <i r="1">
      <x v="238"/>
    </i>
    <i r="1">
      <x v="239"/>
    </i>
    <i r="1">
      <x v="240"/>
    </i>
    <i r="1">
      <x v="241"/>
    </i>
    <i r="1">
      <x v="242"/>
    </i>
    <i r="1">
      <x v="243"/>
    </i>
    <i>
      <x v="2"/>
      <x v="224"/>
    </i>
    <i r="1">
      <x v="227"/>
    </i>
    <i r="1">
      <x v="233"/>
    </i>
    <i r="1">
      <x v="242"/>
    </i>
    <i r="1">
      <x v="243"/>
    </i>
    <i r="1">
      <x v="244"/>
    </i>
    <i r="1">
      <x v="245"/>
    </i>
    <i r="1">
      <x v="246"/>
    </i>
    <i r="1">
      <x v="247"/>
    </i>
    <i r="1">
      <x v="248"/>
    </i>
    <i r="1">
      <x v="249"/>
    </i>
    <i r="1">
      <x v="250"/>
    </i>
    <i r="1">
      <x v="251"/>
    </i>
    <i r="1">
      <x v="252"/>
    </i>
    <i r="1">
      <x v="253"/>
    </i>
    <i r="1">
      <x v="254"/>
    </i>
    <i>
      <x v="3"/>
      <x v="216"/>
    </i>
    <i r="1">
      <x v="218"/>
    </i>
    <i r="1">
      <x v="221"/>
    </i>
    <i r="1">
      <x v="224"/>
    </i>
    <i r="1">
      <x v="235"/>
    </i>
    <i r="1">
      <x v="241"/>
    </i>
    <i r="1">
      <x v="245"/>
    </i>
    <i r="1">
      <x v="252"/>
    </i>
    <i r="1">
      <x v="255"/>
    </i>
    <i r="1">
      <x v="256"/>
    </i>
    <i r="1">
      <x v="257"/>
    </i>
    <i r="1">
      <x v="258"/>
    </i>
    <i r="1">
      <x v="259"/>
    </i>
    <i r="1">
      <x v="260"/>
    </i>
    <i r="1">
      <x v="261"/>
    </i>
    <i r="1">
      <x v="262"/>
    </i>
    <i r="1">
      <x v="263"/>
    </i>
    <i r="1">
      <x v="264"/>
    </i>
    <i r="1">
      <x v="265"/>
    </i>
    <i r="1">
      <x v="266"/>
    </i>
    <i r="1">
      <x v="267"/>
    </i>
    <i r="1">
      <x v="268"/>
    </i>
    <i r="1">
      <x v="269"/>
    </i>
    <i r="1">
      <x v="270"/>
    </i>
    <i r="1">
      <x v="271"/>
    </i>
    <i r="1">
      <x v="272"/>
    </i>
    <i r="1">
      <x v="273"/>
    </i>
    <i r="1">
      <x v="274"/>
    </i>
    <i r="1">
      <x v="275"/>
    </i>
    <i r="1">
      <x v="276"/>
    </i>
    <i r="1">
      <x v="277"/>
    </i>
    <i r="1">
      <x v="278"/>
    </i>
    <i r="1">
      <x v="279"/>
    </i>
    <i r="1">
      <x v="280"/>
    </i>
    <i>
      <x v="4"/>
      <x v="219"/>
    </i>
    <i r="1">
      <x v="224"/>
    </i>
    <i r="1">
      <x v="228"/>
    </i>
    <i r="1">
      <x v="229"/>
    </i>
    <i r="1">
      <x v="233"/>
    </i>
    <i r="1">
      <x v="239"/>
    </i>
    <i r="1">
      <x v="249"/>
    </i>
    <i r="1">
      <x v="253"/>
    </i>
    <i r="1">
      <x v="258"/>
    </i>
    <i r="1">
      <x v="265"/>
    </i>
    <i r="1">
      <x v="273"/>
    </i>
    <i r="1">
      <x v="278"/>
    </i>
    <i r="1">
      <x v="279"/>
    </i>
    <i r="1">
      <x v="280"/>
    </i>
    <i r="1">
      <x v="281"/>
    </i>
    <i r="1">
      <x v="282"/>
    </i>
    <i r="1">
      <x v="283"/>
    </i>
    <i r="1">
      <x v="284"/>
    </i>
    <i r="1">
      <x v="285"/>
    </i>
    <i r="1">
      <x v="286"/>
    </i>
    <i r="1">
      <x v="287"/>
    </i>
    <i r="1">
      <x v="288"/>
    </i>
    <i r="1">
      <x v="289"/>
    </i>
    <i r="1">
      <x v="290"/>
    </i>
    <i r="1">
      <x v="291"/>
    </i>
    <i r="1">
      <x v="292"/>
    </i>
    <i>
      <x v="5"/>
      <x v="218"/>
    </i>
    <i r="1">
      <x v="223"/>
    </i>
    <i r="1">
      <x v="229"/>
    </i>
    <i r="1">
      <x v="233"/>
    </i>
    <i r="1">
      <x v="245"/>
    </i>
    <i r="1">
      <x v="246"/>
    </i>
    <i r="1">
      <x v="253"/>
    </i>
    <i r="1">
      <x v="258"/>
    </i>
    <i r="1">
      <x v="277"/>
    </i>
    <i r="1">
      <x v="288"/>
    </i>
    <i r="1">
      <x v="290"/>
    </i>
    <i r="1">
      <x v="293"/>
    </i>
    <i r="1">
      <x v="294"/>
    </i>
    <i r="1">
      <x v="295"/>
    </i>
    <i r="1">
      <x v="296"/>
    </i>
    <i r="1">
      <x v="297"/>
    </i>
    <i r="1">
      <x v="298"/>
    </i>
    <i r="1">
      <x v="299"/>
    </i>
    <i r="1">
      <x v="300"/>
    </i>
    <i r="1">
      <x v="301"/>
    </i>
    <i>
      <x v="6"/>
      <x v="23"/>
    </i>
    <i r="1">
      <x v="217"/>
    </i>
    <i r="1">
      <x v="218"/>
    </i>
    <i r="1">
      <x v="221"/>
    </i>
    <i r="1">
      <x v="222"/>
    </i>
    <i r="1">
      <x v="224"/>
    </i>
    <i r="1">
      <x v="225"/>
    </i>
    <i r="1">
      <x v="226"/>
    </i>
    <i r="1">
      <x v="229"/>
    </i>
    <i r="1">
      <x v="231"/>
    </i>
    <i r="1">
      <x v="233"/>
    </i>
    <i r="1">
      <x v="238"/>
    </i>
    <i r="1">
      <x v="241"/>
    </i>
    <i r="1">
      <x v="246"/>
    </i>
    <i r="1">
      <x v="247"/>
    </i>
    <i r="1">
      <x v="257"/>
    </i>
    <i r="1">
      <x v="259"/>
    </i>
    <i r="1">
      <x v="261"/>
    </i>
    <i r="1">
      <x v="269"/>
    </i>
    <i r="1">
      <x v="273"/>
    </i>
    <i r="1">
      <x v="277"/>
    </i>
    <i r="1">
      <x v="282"/>
    </i>
    <i r="1">
      <x v="283"/>
    </i>
    <i r="1">
      <x v="285"/>
    </i>
    <i r="1">
      <x v="286"/>
    </i>
    <i r="1">
      <x v="302"/>
    </i>
    <i r="1">
      <x v="303"/>
    </i>
    <i r="1">
      <x v="304"/>
    </i>
    <i r="1">
      <x v="305"/>
    </i>
    <i r="1">
      <x v="306"/>
    </i>
    <i r="1">
      <x v="307"/>
    </i>
    <i r="1">
      <x v="308"/>
    </i>
    <i r="1">
      <x v="309"/>
    </i>
    <i r="1">
      <x v="310"/>
    </i>
    <i r="1">
      <x v="311"/>
    </i>
    <i r="1">
      <x v="312"/>
    </i>
    <i r="1">
      <x v="313"/>
    </i>
    <i r="1">
      <x v="314"/>
    </i>
    <i r="1">
      <x v="315"/>
    </i>
    <i r="1">
      <x v="316"/>
    </i>
    <i>
      <x v="7"/>
      <x v="23"/>
    </i>
    <i r="1">
      <x v="214"/>
    </i>
    <i r="1">
      <x v="223"/>
    </i>
    <i r="1">
      <x v="224"/>
    </i>
    <i r="1">
      <x v="226"/>
    </i>
    <i r="1">
      <x v="230"/>
    </i>
    <i r="1">
      <x v="232"/>
    </i>
    <i r="1">
      <x v="233"/>
    </i>
    <i r="1">
      <x v="237"/>
    </i>
    <i r="1">
      <x v="238"/>
    </i>
    <i r="1">
      <x v="240"/>
    </i>
    <i r="1">
      <x v="241"/>
    </i>
    <i r="1">
      <x v="244"/>
    </i>
    <i r="1">
      <x v="248"/>
    </i>
    <i r="1">
      <x v="249"/>
    </i>
    <i r="1">
      <x v="252"/>
    </i>
    <i r="1">
      <x v="253"/>
    </i>
    <i r="1">
      <x v="256"/>
    </i>
    <i r="1">
      <x v="260"/>
    </i>
    <i r="1">
      <x v="262"/>
    </i>
    <i r="1">
      <x v="289"/>
    </i>
    <i r="1">
      <x v="304"/>
    </i>
    <i r="1">
      <x v="307"/>
    </i>
    <i r="1">
      <x v="317"/>
    </i>
    <i r="1">
      <x v="318"/>
    </i>
    <i r="1">
      <x v="319"/>
    </i>
    <i r="1">
      <x v="320"/>
    </i>
    <i r="1">
      <x v="321"/>
    </i>
    <i r="1">
      <x v="322"/>
    </i>
    <i r="1">
      <x v="323"/>
    </i>
    <i r="1">
      <x v="324"/>
    </i>
    <i r="1">
      <x v="325"/>
    </i>
    <i r="1">
      <x v="326"/>
    </i>
    <i r="1">
      <x v="327"/>
    </i>
    <i r="1">
      <x v="328"/>
    </i>
    <i r="1">
      <x v="329"/>
    </i>
    <i>
      <x v="8"/>
      <x v="23"/>
    </i>
    <i r="1">
      <x v="214"/>
    </i>
    <i r="1">
      <x v="215"/>
    </i>
    <i r="1">
      <x v="216"/>
    </i>
    <i r="1">
      <x v="222"/>
    </i>
    <i r="1">
      <x v="234"/>
    </i>
    <i r="1">
      <x v="240"/>
    </i>
    <i r="1">
      <x v="241"/>
    </i>
    <i r="1">
      <x v="249"/>
    </i>
    <i r="1">
      <x v="251"/>
    </i>
    <i r="1">
      <x v="252"/>
    </i>
    <i r="1">
      <x v="262"/>
    </i>
    <i r="1">
      <x v="264"/>
    </i>
    <i r="1">
      <x v="281"/>
    </i>
    <i r="1">
      <x v="282"/>
    </i>
    <i r="1">
      <x v="285"/>
    </i>
    <i r="1">
      <x v="286"/>
    </i>
    <i r="1">
      <x v="300"/>
    </i>
    <i r="1">
      <x v="309"/>
    </i>
    <i r="1">
      <x v="317"/>
    </i>
    <i r="1">
      <x v="318"/>
    </i>
    <i r="1">
      <x v="319"/>
    </i>
    <i r="1">
      <x v="324"/>
    </i>
    <i r="1">
      <x v="326"/>
    </i>
    <i r="1">
      <x v="327"/>
    </i>
    <i r="1">
      <x v="330"/>
    </i>
    <i r="1">
      <x v="331"/>
    </i>
    <i r="1">
      <x v="332"/>
    </i>
    <i r="1">
      <x v="333"/>
    </i>
    <i>
      <x v="9"/>
      <x v="214"/>
    </i>
    <i r="1">
      <x v="220"/>
    </i>
    <i r="1">
      <x v="225"/>
    </i>
    <i r="1">
      <x v="231"/>
    </i>
    <i r="1">
      <x v="236"/>
    </i>
    <i r="1">
      <x v="246"/>
    </i>
    <i r="1">
      <x v="251"/>
    </i>
    <i r="1">
      <x v="256"/>
    </i>
    <i r="1">
      <x v="269"/>
    </i>
    <i r="1">
      <x v="278"/>
    </i>
    <i r="1">
      <x v="284"/>
    </i>
    <i r="1">
      <x v="292"/>
    </i>
    <i r="1">
      <x v="299"/>
    </i>
    <i r="1">
      <x v="305"/>
    </i>
    <i r="1">
      <x v="311"/>
    </i>
    <i r="1">
      <x v="313"/>
    </i>
    <i r="1">
      <x v="315"/>
    </i>
    <i r="1">
      <x v="332"/>
    </i>
    <i r="1">
      <x v="334"/>
    </i>
    <i r="1">
      <x v="335"/>
    </i>
    <i r="1">
      <x v="336"/>
    </i>
    <i r="1">
      <x v="337"/>
    </i>
    <i r="1">
      <x v="338"/>
    </i>
    <i>
      <x v="10"/>
      <x v="23"/>
    </i>
    <i r="1">
      <x v="228"/>
    </i>
    <i r="1">
      <x v="235"/>
    </i>
    <i r="1">
      <x v="243"/>
    </i>
    <i r="1">
      <x v="260"/>
    </i>
    <i r="1">
      <x v="268"/>
    </i>
    <i r="1">
      <x v="270"/>
    </i>
    <i r="1">
      <x v="286"/>
    </i>
    <i r="1">
      <x v="288"/>
    </i>
    <i r="1">
      <x v="290"/>
    </i>
    <i r="1">
      <x v="291"/>
    </i>
    <i r="1">
      <x v="298"/>
    </i>
    <i r="1">
      <x v="300"/>
    </i>
    <i r="1">
      <x v="301"/>
    </i>
    <i r="1">
      <x v="307"/>
    </i>
    <i r="1">
      <x v="315"/>
    </i>
    <i r="1">
      <x v="329"/>
    </i>
    <i r="1">
      <x v="339"/>
    </i>
    <i r="1">
      <x v="340"/>
    </i>
    <i r="1">
      <x v="341"/>
    </i>
    <i r="1">
      <x v="342"/>
    </i>
    <i r="1">
      <x v="343"/>
    </i>
    <i r="1">
      <x v="344"/>
    </i>
    <i r="1">
      <x v="345"/>
    </i>
    <i>
      <x v="11"/>
      <x v="216"/>
    </i>
    <i r="1">
      <x v="217"/>
    </i>
    <i r="1">
      <x v="228"/>
    </i>
    <i r="1">
      <x v="229"/>
    </i>
    <i r="1">
      <x v="247"/>
    </i>
    <i r="1">
      <x v="265"/>
    </i>
    <i r="1">
      <x v="271"/>
    </i>
    <i r="1">
      <x v="273"/>
    </i>
    <i r="1">
      <x v="295"/>
    </i>
    <i r="1">
      <x v="306"/>
    </i>
    <i r="1">
      <x v="312"/>
    </i>
    <i r="1">
      <x v="327"/>
    </i>
    <i r="1">
      <x v="329"/>
    </i>
    <i r="1">
      <x v="342"/>
    </i>
    <i r="1">
      <x v="346"/>
    </i>
    <i>
      <x v="12"/>
      <x v="213"/>
    </i>
    <i r="1">
      <x v="219"/>
    </i>
    <i r="1">
      <x v="225"/>
    </i>
    <i r="1">
      <x v="232"/>
    </i>
    <i r="1">
      <x v="234"/>
    </i>
    <i r="1">
      <x v="235"/>
    </i>
    <i r="1">
      <x v="237"/>
    </i>
    <i r="1">
      <x v="240"/>
    </i>
    <i r="1">
      <x v="248"/>
    </i>
    <i r="1">
      <x v="251"/>
    </i>
    <i r="1">
      <x v="253"/>
    </i>
    <i r="1">
      <x v="254"/>
    </i>
    <i r="1">
      <x v="255"/>
    </i>
    <i r="1">
      <x v="256"/>
    </i>
    <i r="1">
      <x v="257"/>
    </i>
    <i r="1">
      <x v="259"/>
    </i>
    <i r="1">
      <x v="264"/>
    </i>
    <i r="1">
      <x v="266"/>
    </i>
    <i r="1">
      <x v="273"/>
    </i>
    <i r="1">
      <x v="279"/>
    </i>
    <i r="1">
      <x v="283"/>
    </i>
    <i r="1">
      <x v="288"/>
    </i>
    <i r="1">
      <x v="290"/>
    </i>
    <i r="1">
      <x v="297"/>
    </i>
    <i r="1">
      <x v="307"/>
    </i>
    <i r="1">
      <x v="309"/>
    </i>
    <i r="1">
      <x v="313"/>
    </i>
    <i r="1">
      <x v="316"/>
    </i>
    <i r="1">
      <x v="321"/>
    </i>
    <i r="1">
      <x v="324"/>
    </i>
    <i r="1">
      <x v="334"/>
    </i>
    <i r="1">
      <x v="335"/>
    </i>
    <i r="1">
      <x v="338"/>
    </i>
    <i r="1">
      <x v="341"/>
    </i>
    <i r="1">
      <x v="347"/>
    </i>
    <i r="1">
      <x v="348"/>
    </i>
    <i r="1">
      <x v="349"/>
    </i>
    <i r="1">
      <x v="350"/>
    </i>
    <i r="1">
      <x v="351"/>
    </i>
    <i r="1">
      <x v="352"/>
    </i>
    <i>
      <x v="13"/>
      <x v="215"/>
    </i>
    <i r="1">
      <x v="216"/>
    </i>
    <i r="1">
      <x v="217"/>
    </i>
    <i r="1">
      <x v="218"/>
    </i>
    <i r="1">
      <x v="220"/>
    </i>
    <i r="1">
      <x v="232"/>
    </i>
    <i r="1">
      <x v="236"/>
    </i>
    <i r="1">
      <x v="237"/>
    </i>
    <i r="1">
      <x v="242"/>
    </i>
    <i r="1">
      <x v="251"/>
    </i>
    <i r="1">
      <x v="254"/>
    </i>
    <i r="1">
      <x v="255"/>
    </i>
    <i r="1">
      <x v="266"/>
    </i>
    <i r="1">
      <x v="267"/>
    </i>
    <i r="1">
      <x v="270"/>
    </i>
    <i r="1">
      <x v="271"/>
    </i>
    <i r="1">
      <x v="277"/>
    </i>
    <i r="1">
      <x v="279"/>
    </i>
    <i r="1">
      <x v="280"/>
    </i>
    <i r="1">
      <x v="282"/>
    </i>
    <i r="1">
      <x v="287"/>
    </i>
    <i r="1">
      <x v="292"/>
    </i>
    <i r="1">
      <x v="294"/>
    </i>
    <i r="1">
      <x v="299"/>
    </i>
    <i r="1">
      <x v="315"/>
    </i>
    <i r="1">
      <x v="317"/>
    </i>
    <i r="1">
      <x v="319"/>
    </i>
    <i r="1">
      <x v="320"/>
    </i>
    <i r="1">
      <x v="322"/>
    </i>
    <i r="1">
      <x v="323"/>
    </i>
    <i r="1">
      <x v="326"/>
    </i>
    <i r="1">
      <x v="329"/>
    </i>
    <i r="1">
      <x v="330"/>
    </i>
    <i r="1">
      <x v="338"/>
    </i>
    <i r="1">
      <x v="340"/>
    </i>
    <i r="1">
      <x v="344"/>
    </i>
    <i r="1">
      <x v="351"/>
    </i>
    <i r="1">
      <x v="353"/>
    </i>
    <i r="1">
      <x v="354"/>
    </i>
    <i r="1">
      <x v="355"/>
    </i>
    <i>
      <x v="14"/>
      <x v="214"/>
    </i>
    <i r="1">
      <x v="223"/>
    </i>
    <i r="1">
      <x v="236"/>
    </i>
    <i r="1">
      <x v="246"/>
    </i>
    <i r="1">
      <x v="248"/>
    </i>
    <i r="1">
      <x v="249"/>
    </i>
    <i r="1">
      <x v="255"/>
    </i>
    <i r="1">
      <x v="262"/>
    </i>
    <i r="1">
      <x v="263"/>
    </i>
    <i r="1">
      <x v="264"/>
    </i>
    <i r="1">
      <x v="269"/>
    </i>
    <i r="1">
      <x v="281"/>
    </i>
    <i r="1">
      <x v="294"/>
    </i>
    <i r="1">
      <x v="296"/>
    </i>
    <i r="1">
      <x v="302"/>
    </i>
    <i r="1">
      <x v="306"/>
    </i>
    <i r="1">
      <x v="307"/>
    </i>
    <i r="1">
      <x v="310"/>
    </i>
    <i r="1">
      <x v="317"/>
    </i>
    <i r="1">
      <x v="319"/>
    </i>
    <i r="1">
      <x v="320"/>
    </i>
    <i r="1">
      <x v="323"/>
    </i>
    <i r="1">
      <x v="324"/>
    </i>
    <i r="1">
      <x v="336"/>
    </i>
    <i r="1">
      <x v="341"/>
    </i>
    <i r="1">
      <x v="353"/>
    </i>
    <i r="1">
      <x v="356"/>
    </i>
    <i t="grand">
      <x/>
    </i>
  </colItems>
  <dataFields count="1">
    <dataField name="Sum of AMOUNT" fld="4" baseField="0" baseItem="0" numFmtId="164"/>
  </dataFields>
  <formats count="2910">
    <format dxfId="2909">
      <pivotArea outline="0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2908">
      <pivotArea outline="0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2907">
      <pivotArea outline="0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2906">
      <pivotArea outline="0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2905">
      <pivotArea outline="0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2904">
      <pivotArea outline="0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2903">
      <pivotArea outline="0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2902">
      <pivotArea outline="0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2901">
      <pivotArea outline="0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2900">
      <pivotArea outline="0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2899">
      <pivotArea outline="0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2898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2897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2896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895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2894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4"/>
          </reference>
          <reference field="3" count="1" selected="0">
            <x v="273"/>
          </reference>
        </references>
      </pivotArea>
    </format>
    <format dxfId="2893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4"/>
          </reference>
          <reference field="3" count="1" selected="0">
            <x v="278"/>
          </reference>
        </references>
      </pivotArea>
    </format>
    <format dxfId="2892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5"/>
          </reference>
          <reference field="3" count="1" selected="0">
            <x v="288"/>
          </reference>
        </references>
      </pivotArea>
    </format>
    <format dxfId="2891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2890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2889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8"/>
          </reference>
          <reference field="3" count="1" selected="0">
            <x v="240"/>
          </reference>
        </references>
      </pivotArea>
    </format>
    <format dxfId="2888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2887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9"/>
          </reference>
          <reference field="3" count="1" selected="0">
            <x v="299"/>
          </reference>
        </references>
      </pivotArea>
    </format>
    <format dxfId="2886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9"/>
          </reference>
          <reference field="3" count="1" selected="0">
            <x v="305"/>
          </reference>
        </references>
      </pivotArea>
    </format>
    <format dxfId="2885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0"/>
          </reference>
          <reference field="3" count="1" selected="0">
            <x v="343"/>
          </reference>
        </references>
      </pivotArea>
    </format>
    <format dxfId="2884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2883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882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1"/>
          </reference>
          <reference field="3" count="1" selected="0">
            <x v="312"/>
          </reference>
        </references>
      </pivotArea>
    </format>
    <format dxfId="2881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880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2"/>
          </reference>
          <reference field="3" count="1" selected="0">
            <x v="283"/>
          </reference>
        </references>
      </pivotArea>
    </format>
    <format dxfId="2879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2"/>
          </reference>
          <reference field="3" count="1" selected="0">
            <x v="313"/>
          </reference>
        </references>
      </pivotArea>
    </format>
    <format dxfId="2878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2"/>
          </reference>
          <reference field="3" count="1" selected="0">
            <x v="341"/>
          </reference>
        </references>
      </pivotArea>
    </format>
    <format dxfId="2877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3"/>
          </reference>
          <reference field="3" count="1" selected="0">
            <x v="267"/>
          </reference>
        </references>
      </pivotArea>
    </format>
    <format dxfId="2876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3"/>
          </reference>
          <reference field="3" count="1" selected="0">
            <x v="280"/>
          </reference>
        </references>
      </pivotArea>
    </format>
    <format dxfId="2875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2874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4"/>
          </reference>
          <reference field="3" count="1" selected="0">
            <x v="296"/>
          </reference>
        </references>
      </pivotArea>
    </format>
    <format dxfId="2873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4"/>
          </reference>
          <reference field="3" count="1" selected="0">
            <x v="356"/>
          </reference>
        </references>
      </pivotArea>
    </format>
    <format dxfId="2872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2871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"/>
          </reference>
          <reference field="3" count="1" selected="0">
            <x v="235"/>
          </reference>
        </references>
      </pivotArea>
    </format>
    <format dxfId="2870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"/>
          </reference>
          <reference field="3" count="1" selected="0">
            <x v="240"/>
          </reference>
        </references>
      </pivotArea>
    </format>
    <format dxfId="2869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2868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2867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5"/>
          </reference>
          <reference field="3" count="1" selected="0">
            <x v="290"/>
          </reference>
        </references>
      </pivotArea>
    </format>
    <format dxfId="2866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6"/>
          </reference>
          <reference field="3" count="1" selected="0">
            <x v="273"/>
          </reference>
        </references>
      </pivotArea>
    </format>
    <format dxfId="2865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6"/>
          </reference>
          <reference field="3" count="1" selected="0">
            <x v="312"/>
          </reference>
        </references>
      </pivotArea>
    </format>
    <format dxfId="2864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7"/>
          </reference>
          <reference field="3" count="1" selected="0">
            <x v="240"/>
          </reference>
        </references>
      </pivotArea>
    </format>
    <format dxfId="2863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7"/>
          </reference>
          <reference field="3" count="1" selected="0">
            <x v="253"/>
          </reference>
        </references>
      </pivotArea>
    </format>
    <format dxfId="2862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7"/>
          </reference>
          <reference field="3" count="1" selected="0">
            <x v="304"/>
          </reference>
        </references>
      </pivotArea>
    </format>
    <format dxfId="2861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9"/>
          </reference>
          <reference field="3" count="1" selected="0">
            <x v="251"/>
          </reference>
        </references>
      </pivotArea>
    </format>
    <format dxfId="2860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9"/>
          </reference>
          <reference field="3" count="1" selected="0">
            <x v="335"/>
          </reference>
        </references>
      </pivotArea>
    </format>
    <format dxfId="2859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858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1"/>
          </reference>
          <reference field="3" count="1" selected="0">
            <x v="327"/>
          </reference>
        </references>
      </pivotArea>
    </format>
    <format dxfId="2857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2"/>
          </reference>
          <reference field="3" count="1" selected="0">
            <x v="219"/>
          </reference>
        </references>
      </pivotArea>
    </format>
    <format dxfId="2856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2855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3"/>
          </reference>
          <reference field="3" count="1" selected="0">
            <x v="344"/>
          </reference>
        </references>
      </pivotArea>
    </format>
    <format dxfId="2854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2853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2852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23"/>
          </reference>
        </references>
      </pivotArea>
    </format>
    <format dxfId="2851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2850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2849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848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287"/>
          </reference>
        </references>
      </pivotArea>
    </format>
    <format dxfId="2847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2846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323"/>
          </reference>
        </references>
      </pivotArea>
    </format>
    <format dxfId="2845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222"/>
          </reference>
        </references>
      </pivotArea>
    </format>
    <format dxfId="2844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2843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2842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311"/>
          </reference>
        </references>
      </pivotArea>
    </format>
    <format dxfId="2841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2840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23"/>
          </reference>
        </references>
      </pivotArea>
    </format>
    <format dxfId="2839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288"/>
          </reference>
        </references>
      </pivotArea>
    </format>
    <format dxfId="2838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345"/>
          </reference>
        </references>
      </pivotArea>
    </format>
    <format dxfId="2837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2836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835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327"/>
          </reference>
        </references>
      </pivotArea>
    </format>
    <format dxfId="2834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833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232"/>
          </reference>
        </references>
      </pivotArea>
    </format>
    <format dxfId="2832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253"/>
          </reference>
        </references>
      </pivotArea>
    </format>
    <format dxfId="2831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2830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313"/>
          </reference>
        </references>
      </pivotArea>
    </format>
    <format dxfId="2829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18"/>
          </reference>
        </references>
      </pivotArea>
    </format>
    <format dxfId="2828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37"/>
          </reference>
        </references>
      </pivotArea>
    </format>
    <format dxfId="2827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2826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2825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0"/>
          </reference>
          <reference field="3" count="1" selected="0">
            <x v="221"/>
          </reference>
        </references>
      </pivotArea>
    </format>
    <format dxfId="2824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2823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"/>
          </reference>
          <reference field="3" count="1" selected="0">
            <x v="217"/>
          </reference>
        </references>
      </pivotArea>
    </format>
    <format dxfId="2822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"/>
          </reference>
          <reference field="3" count="1" selected="0">
            <x v="236"/>
          </reference>
        </references>
      </pivotArea>
    </format>
    <format dxfId="2821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"/>
          </reference>
          <reference field="3" count="1" selected="0">
            <x v="242"/>
          </reference>
        </references>
      </pivotArea>
    </format>
    <format dxfId="2820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2819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2818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3"/>
          </reference>
          <reference field="3" count="1" selected="0">
            <x v="216"/>
          </reference>
        </references>
      </pivotArea>
    </format>
    <format dxfId="2817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2816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3"/>
          </reference>
          <reference field="3" count="1" selected="0">
            <x v="277"/>
          </reference>
        </references>
      </pivotArea>
    </format>
    <format dxfId="2815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4"/>
          </reference>
          <reference field="3" count="1" selected="0">
            <x v="229"/>
          </reference>
        </references>
      </pivotArea>
    </format>
    <format dxfId="2814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4"/>
          </reference>
          <reference field="3" count="1" selected="0">
            <x v="286"/>
          </reference>
        </references>
      </pivotArea>
    </format>
    <format dxfId="2813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4"/>
          </reference>
          <reference field="3" count="1" selected="0">
            <x v="291"/>
          </reference>
        </references>
      </pivotArea>
    </format>
    <format dxfId="2812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5"/>
          </reference>
          <reference field="3" count="1" selected="0">
            <x v="297"/>
          </reference>
        </references>
      </pivotArea>
    </format>
    <format dxfId="2811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5"/>
          </reference>
          <reference field="3" count="1" selected="0">
            <x v="298"/>
          </reference>
        </references>
      </pivotArea>
    </format>
    <format dxfId="2810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2809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7"/>
          </reference>
          <reference field="3" count="1" selected="0">
            <x v="224"/>
          </reference>
        </references>
      </pivotArea>
    </format>
    <format dxfId="2808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7"/>
          </reference>
          <reference field="3" count="1" selected="0">
            <x v="328"/>
          </reference>
        </references>
      </pivotArea>
    </format>
    <format dxfId="2807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8"/>
          </reference>
          <reference field="3" count="1" selected="0">
            <x v="286"/>
          </reference>
        </references>
      </pivotArea>
    </format>
    <format dxfId="2806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2805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8"/>
          </reference>
          <reference field="3" count="1" selected="0">
            <x v="332"/>
          </reference>
        </references>
      </pivotArea>
    </format>
    <format dxfId="2804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9"/>
          </reference>
          <reference field="3" count="1" selected="0">
            <x v="220"/>
          </reference>
        </references>
      </pivotArea>
    </format>
    <format dxfId="2803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9"/>
          </reference>
          <reference field="3" count="1" selected="0">
            <x v="225"/>
          </reference>
        </references>
      </pivotArea>
    </format>
    <format dxfId="2802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301"/>
          </reference>
        </references>
      </pivotArea>
    </format>
    <format dxfId="2801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2800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799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1"/>
          </reference>
          <reference field="3" count="1" selected="0">
            <x v="329"/>
          </reference>
        </references>
      </pivotArea>
    </format>
    <format dxfId="2798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3"/>
          </reference>
          <reference field="3" count="1" selected="0">
            <x v="216"/>
          </reference>
        </references>
      </pivotArea>
    </format>
    <format dxfId="2797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2796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3"/>
          </reference>
          <reference field="3" count="1" selected="0">
            <x v="254"/>
          </reference>
        </references>
      </pivotArea>
    </format>
    <format dxfId="2795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2794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2793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0"/>
          </reference>
          <reference field="3" count="1" selected="0">
            <x v="227"/>
          </reference>
        </references>
      </pivotArea>
    </format>
    <format dxfId="2792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"/>
          </reference>
          <reference field="3" count="1" selected="0">
            <x v="234"/>
          </reference>
        </references>
      </pivotArea>
    </format>
    <format dxfId="2791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"/>
          </reference>
          <reference field="3" count="1" selected="0">
            <x v="238"/>
          </reference>
        </references>
      </pivotArea>
    </format>
    <format dxfId="2790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2789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2788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2787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5"/>
          </reference>
          <reference field="3" count="1" selected="0">
            <x v="277"/>
          </reference>
        </references>
      </pivotArea>
    </format>
    <format dxfId="2786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5"/>
          </reference>
          <reference field="3" count="1" selected="0">
            <x v="301"/>
          </reference>
        </references>
      </pivotArea>
    </format>
    <format dxfId="2785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2784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2783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8"/>
          </reference>
          <reference field="3" count="1" selected="0">
            <x v="318"/>
          </reference>
        </references>
      </pivotArea>
    </format>
    <format dxfId="2782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2781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2780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779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1"/>
          </reference>
          <reference field="3" count="1" selected="0">
            <x v="273"/>
          </reference>
        </references>
      </pivotArea>
    </format>
    <format dxfId="2778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777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2"/>
          </reference>
          <reference field="3" count="1" selected="0">
            <x v="225"/>
          </reference>
        </references>
      </pivotArea>
    </format>
    <format dxfId="2776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2"/>
          </reference>
          <reference field="3" count="1" selected="0">
            <x v="259"/>
          </reference>
        </references>
      </pivotArea>
    </format>
    <format dxfId="2775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3"/>
          </reference>
          <reference field="3" count="1" selected="0">
            <x v="215"/>
          </reference>
        </references>
      </pivotArea>
    </format>
    <format dxfId="2774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3"/>
          </reference>
          <reference field="3" count="1" selected="0">
            <x v="216"/>
          </reference>
        </references>
      </pivotArea>
    </format>
    <format dxfId="2773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3"/>
          </reference>
          <reference field="3" count="1" selected="0">
            <x v="220"/>
          </reference>
        </references>
      </pivotArea>
    </format>
    <format dxfId="2772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4"/>
          </reference>
          <reference field="3" count="1" selected="0">
            <x v="296"/>
          </reference>
        </references>
      </pivotArea>
    </format>
    <format dxfId="2771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"/>
          </reference>
          <reference field="3" count="1" selected="0">
            <x v="217"/>
          </reference>
        </references>
      </pivotArea>
    </format>
    <format dxfId="2770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"/>
          </reference>
          <reference field="3" count="1" selected="0">
            <x v="232"/>
          </reference>
        </references>
      </pivotArea>
    </format>
    <format dxfId="2769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"/>
          </reference>
          <reference field="3" count="1" selected="0">
            <x v="235"/>
          </reference>
        </references>
      </pivotArea>
    </format>
    <format dxfId="2768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"/>
          </reference>
          <reference field="3" count="1" selected="0">
            <x v="243"/>
          </reference>
        </references>
      </pivotArea>
    </format>
    <format dxfId="2767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2"/>
          </reference>
          <reference field="3" count="1" selected="0">
            <x v="233"/>
          </reference>
        </references>
      </pivotArea>
    </format>
    <format dxfId="2766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2765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2764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2"/>
          </reference>
          <reference field="3" count="1" selected="0">
            <x v="252"/>
          </reference>
        </references>
      </pivotArea>
    </format>
    <format dxfId="2763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2"/>
          </reference>
          <reference field="3" count="1" selected="0">
            <x v="254"/>
          </reference>
        </references>
      </pivotArea>
    </format>
    <format dxfId="2762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2761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3"/>
          </reference>
          <reference field="3" count="1" selected="0">
            <x v="268"/>
          </reference>
        </references>
      </pivotArea>
    </format>
    <format dxfId="2760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3"/>
          </reference>
          <reference field="3" count="1" selected="0">
            <x v="279"/>
          </reference>
        </references>
      </pivotArea>
    </format>
    <format dxfId="2759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4"/>
          </reference>
          <reference field="3" count="1" selected="0">
            <x v="290"/>
          </reference>
        </references>
      </pivotArea>
    </format>
    <format dxfId="2758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2757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6"/>
          </reference>
          <reference field="3" count="1" selected="0">
            <x v="226"/>
          </reference>
        </references>
      </pivotArea>
    </format>
    <format dxfId="2756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7"/>
          </reference>
          <reference field="3" count="1" selected="0">
            <x v="249"/>
          </reference>
        </references>
      </pivotArea>
    </format>
    <format dxfId="2755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9"/>
          </reference>
          <reference field="3" count="1" selected="0">
            <x v="246"/>
          </reference>
        </references>
      </pivotArea>
    </format>
    <format dxfId="2754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1"/>
          </reference>
          <reference field="3" count="1" selected="0">
            <x v="312"/>
          </reference>
        </references>
      </pivotArea>
    </format>
    <format dxfId="2753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2752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2751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3"/>
          </reference>
          <reference field="3" count="1" selected="0">
            <x v="277"/>
          </reference>
        </references>
      </pivotArea>
    </format>
    <format dxfId="2750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2749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0"/>
          </reference>
          <reference field="3" count="1" selected="0">
            <x v="215"/>
          </reference>
        </references>
      </pivotArea>
    </format>
    <format dxfId="2748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2747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3"/>
          </reference>
          <reference field="3" count="1" selected="0">
            <x v="278"/>
          </reference>
        </references>
      </pivotArea>
    </format>
    <format dxfId="2746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2745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4"/>
          </reference>
          <reference field="3" count="1" selected="0">
            <x v="249"/>
          </reference>
        </references>
      </pivotArea>
    </format>
    <format dxfId="2744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5"/>
          </reference>
          <reference field="3" count="1" selected="0">
            <x v="218"/>
          </reference>
        </references>
      </pivotArea>
    </format>
    <format dxfId="2743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5"/>
          </reference>
          <reference field="3" count="1" selected="0">
            <x v="245"/>
          </reference>
        </references>
      </pivotArea>
    </format>
    <format dxfId="2742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5"/>
          </reference>
          <reference field="3" count="1" selected="0">
            <x v="300"/>
          </reference>
        </references>
      </pivotArea>
    </format>
    <format dxfId="2741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2740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6"/>
          </reference>
          <reference field="3" count="1" selected="0">
            <x v="238"/>
          </reference>
        </references>
      </pivotArea>
    </format>
    <format dxfId="2739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6"/>
          </reference>
          <reference field="3" count="1" selected="0">
            <x v="304"/>
          </reference>
        </references>
      </pivotArea>
    </format>
    <format dxfId="2738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2737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2736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2735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8"/>
          </reference>
          <reference field="3" count="1" selected="0">
            <x v="300"/>
          </reference>
        </references>
      </pivotArea>
    </format>
    <format dxfId="2734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9"/>
          </reference>
          <reference field="3" count="1" selected="0">
            <x v="256"/>
          </reference>
        </references>
      </pivotArea>
    </format>
    <format dxfId="2733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2732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0"/>
          </reference>
          <reference field="3" count="1" selected="0">
            <x v="300"/>
          </reference>
        </references>
      </pivotArea>
    </format>
    <format dxfId="2731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0"/>
          </reference>
          <reference field="3" count="1" selected="0">
            <x v="329"/>
          </reference>
        </references>
      </pivotArea>
    </format>
    <format dxfId="2730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729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2"/>
          </reference>
          <reference field="3" count="1" selected="0">
            <x v="213"/>
          </reference>
        </references>
      </pivotArea>
    </format>
    <format dxfId="2728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2"/>
          </reference>
          <reference field="3" count="1" selected="0">
            <x v="256"/>
          </reference>
        </references>
      </pivotArea>
    </format>
    <format dxfId="2727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2726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3"/>
          </reference>
          <reference field="3" count="1" selected="0">
            <x v="217"/>
          </reference>
        </references>
      </pivotArea>
    </format>
    <format dxfId="2725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2724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3"/>
          </reference>
          <reference field="3" count="1" selected="0">
            <x v="279"/>
          </reference>
        </references>
      </pivotArea>
    </format>
    <format dxfId="2723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3"/>
          </reference>
          <reference field="3" count="1" selected="0">
            <x v="315"/>
          </reference>
        </references>
      </pivotArea>
    </format>
    <format dxfId="2722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2721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4"/>
          </reference>
          <reference field="3" count="1" selected="0">
            <x v="320"/>
          </reference>
        </references>
      </pivotArea>
    </format>
    <format dxfId="2720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2719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0"/>
          </reference>
          <reference field="3" count="1" selected="0">
            <x v="218"/>
          </reference>
        </references>
      </pivotArea>
    </format>
    <format dxfId="2718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0"/>
          </reference>
          <reference field="3" count="1" selected="0">
            <x v="227"/>
          </reference>
        </references>
      </pivotArea>
    </format>
    <format dxfId="2717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"/>
          </reference>
          <reference field="3" count="1" selected="0">
            <x v="217"/>
          </reference>
        </references>
      </pivotArea>
    </format>
    <format dxfId="2716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"/>
          </reference>
          <reference field="3" count="1" selected="0">
            <x v="237"/>
          </reference>
        </references>
      </pivotArea>
    </format>
    <format dxfId="2715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"/>
          </reference>
          <reference field="3" count="1" selected="0">
            <x v="238"/>
          </reference>
        </references>
      </pivotArea>
    </format>
    <format dxfId="2714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2713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2"/>
          </reference>
          <reference field="3" count="1" selected="0">
            <x v="242"/>
          </reference>
        </references>
      </pivotArea>
    </format>
    <format dxfId="2712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2"/>
          </reference>
          <reference field="3" count="1" selected="0">
            <x v="245"/>
          </reference>
        </references>
      </pivotArea>
    </format>
    <format dxfId="2711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2710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2"/>
          </reference>
          <reference field="3" count="1" selected="0">
            <x v="249"/>
          </reference>
        </references>
      </pivotArea>
    </format>
    <format dxfId="2709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2708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3"/>
          </reference>
          <reference field="3" count="1" selected="0">
            <x v="273"/>
          </reference>
        </references>
      </pivotArea>
    </format>
    <format dxfId="2707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3"/>
          </reference>
          <reference field="3" count="1" selected="0">
            <x v="275"/>
          </reference>
        </references>
      </pivotArea>
    </format>
    <format dxfId="2706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5"/>
          </reference>
          <reference field="3" count="1" selected="0">
            <x v="229"/>
          </reference>
        </references>
      </pivotArea>
    </format>
    <format dxfId="2705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5"/>
          </reference>
          <reference field="3" count="1" selected="0">
            <x v="233"/>
          </reference>
        </references>
      </pivotArea>
    </format>
    <format dxfId="2704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5"/>
          </reference>
          <reference field="3" count="1" selected="0">
            <x v="299"/>
          </reference>
        </references>
      </pivotArea>
    </format>
    <format dxfId="2703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2702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6"/>
          </reference>
          <reference field="3" count="1" selected="0">
            <x v="314"/>
          </reference>
        </references>
      </pivotArea>
    </format>
    <format dxfId="2701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7"/>
          </reference>
          <reference field="3" count="1" selected="0">
            <x v="329"/>
          </reference>
        </references>
      </pivotArea>
    </format>
    <format dxfId="2700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2699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2698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8"/>
          </reference>
          <reference field="3" count="1" selected="0">
            <x v="240"/>
          </reference>
        </references>
      </pivotArea>
    </format>
    <format dxfId="2697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2696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0"/>
          </reference>
          <reference field="3" count="1" selected="0">
            <x v="291"/>
          </reference>
        </references>
      </pivotArea>
    </format>
    <format dxfId="2695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2"/>
          </reference>
          <reference field="3" count="1" selected="0">
            <x v="219"/>
          </reference>
        </references>
      </pivotArea>
    </format>
    <format dxfId="2694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3"/>
          </reference>
          <reference field="3" count="1" selected="0">
            <x v="215"/>
          </reference>
        </references>
      </pivotArea>
    </format>
    <format dxfId="2693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2692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3"/>
          </reference>
          <reference field="3" count="1" selected="0">
            <x v="282"/>
          </reference>
        </references>
      </pivotArea>
    </format>
    <format dxfId="2691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3"/>
          </reference>
          <reference field="3" count="1" selected="0">
            <x v="320"/>
          </reference>
        </references>
      </pivotArea>
    </format>
    <format dxfId="2690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3"/>
          </reference>
          <reference field="3" count="1" selected="0">
            <x v="322"/>
          </reference>
        </references>
      </pivotArea>
    </format>
    <format dxfId="2689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3"/>
          </reference>
          <reference field="3" count="1" selected="0">
            <x v="353"/>
          </reference>
        </references>
      </pivotArea>
    </format>
    <format dxfId="2688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4"/>
          </reference>
          <reference field="3" count="1" selected="0">
            <x v="214"/>
          </reference>
        </references>
      </pivotArea>
    </format>
    <format dxfId="2687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4"/>
          </reference>
          <reference field="3" count="1" selected="0">
            <x v="263"/>
          </reference>
        </references>
      </pivotArea>
    </format>
    <format dxfId="2686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2685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0"/>
          </reference>
          <reference field="3" count="1" selected="0">
            <x v="217"/>
          </reference>
        </references>
      </pivotArea>
    </format>
    <format dxfId="2684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2683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0"/>
          </reference>
          <reference field="3" count="1" selected="0">
            <x v="225"/>
          </reference>
        </references>
      </pivotArea>
    </format>
    <format dxfId="2682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2681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"/>
          </reference>
          <reference field="3" count="1" selected="0">
            <x v="232"/>
          </reference>
        </references>
      </pivotArea>
    </format>
    <format dxfId="2680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"/>
          </reference>
          <reference field="3" count="1" selected="0">
            <x v="233"/>
          </reference>
        </references>
      </pivotArea>
    </format>
    <format dxfId="2679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"/>
          </reference>
          <reference field="3" count="1" selected="0">
            <x v="234"/>
          </reference>
        </references>
      </pivotArea>
    </format>
    <format dxfId="2678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677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4"/>
          </reference>
          <reference field="3" count="1" selected="0">
            <x v="219"/>
          </reference>
        </references>
      </pivotArea>
    </format>
    <format dxfId="2676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6"/>
          </reference>
          <reference field="3" count="1" selected="0">
            <x v="246"/>
          </reference>
        </references>
      </pivotArea>
    </format>
    <format dxfId="2675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8"/>
          </reference>
          <reference field="3" count="1" selected="0">
            <x v="215"/>
          </reference>
        </references>
      </pivotArea>
    </format>
    <format dxfId="2674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2673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8"/>
          </reference>
          <reference field="3" count="1" selected="0">
            <x v="318"/>
          </reference>
        </references>
      </pivotArea>
    </format>
    <format dxfId="2672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9"/>
          </reference>
          <reference field="3" count="1" selected="0">
            <x v="214"/>
          </reference>
        </references>
      </pivotArea>
    </format>
    <format dxfId="2671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9"/>
          </reference>
          <reference field="3" count="1" selected="0">
            <x v="336"/>
          </reference>
        </references>
      </pivotArea>
    </format>
    <format dxfId="2670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0"/>
          </reference>
          <reference field="3" count="1" selected="0">
            <x v="228"/>
          </reference>
        </references>
      </pivotArea>
    </format>
    <format dxfId="2669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1"/>
          </reference>
          <reference field="3" count="1" selected="0">
            <x v="228"/>
          </reference>
        </references>
      </pivotArea>
    </format>
    <format dxfId="2668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2667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2"/>
          </reference>
          <reference field="3" count="1" selected="0">
            <x v="254"/>
          </reference>
        </references>
      </pivotArea>
    </format>
    <format dxfId="2666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3"/>
          </reference>
          <reference field="3" count="1" selected="0">
            <x v="338"/>
          </reference>
        </references>
      </pivotArea>
    </format>
    <format dxfId="2665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4"/>
          </reference>
          <reference field="3" count="1" selected="0">
            <x v="269"/>
          </reference>
        </references>
      </pivotArea>
    </format>
    <format dxfId="2664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0"/>
          </reference>
          <reference field="3" count="1" selected="0">
            <x v="217"/>
          </reference>
        </references>
      </pivotArea>
    </format>
    <format dxfId="2663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2662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0"/>
          </reference>
          <reference field="3" count="1" selected="0">
            <x v="220"/>
          </reference>
        </references>
      </pivotArea>
    </format>
    <format dxfId="2661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"/>
          </reference>
          <reference field="3" count="1" selected="0">
            <x v="238"/>
          </reference>
        </references>
      </pivotArea>
    </format>
    <format dxfId="2660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"/>
          </reference>
          <reference field="3" count="1" selected="0">
            <x v="242"/>
          </reference>
        </references>
      </pivotArea>
    </format>
    <format dxfId="2659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2658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2657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3"/>
          </reference>
          <reference field="3" count="1" selected="0">
            <x v="256"/>
          </reference>
        </references>
      </pivotArea>
    </format>
    <format dxfId="2656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3"/>
          </reference>
          <reference field="3" count="1" selected="0">
            <x v="262"/>
          </reference>
        </references>
      </pivotArea>
    </format>
    <format dxfId="2655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3"/>
          </reference>
          <reference field="3" count="1" selected="0">
            <x v="275"/>
          </reference>
        </references>
      </pivotArea>
    </format>
    <format dxfId="2654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4"/>
          </reference>
          <reference field="3" count="1" selected="0">
            <x v="219"/>
          </reference>
        </references>
      </pivotArea>
    </format>
    <format dxfId="2653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4"/>
          </reference>
          <reference field="3" count="1" selected="0">
            <x v="280"/>
          </reference>
        </references>
      </pivotArea>
    </format>
    <format dxfId="2652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5"/>
          </reference>
          <reference field="3" count="1" selected="0">
            <x v="245"/>
          </reference>
        </references>
      </pivotArea>
    </format>
    <format dxfId="2651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5"/>
          </reference>
          <reference field="3" count="1" selected="0">
            <x v="246"/>
          </reference>
        </references>
      </pivotArea>
    </format>
    <format dxfId="2650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5"/>
          </reference>
          <reference field="3" count="1" selected="0">
            <x v="258"/>
          </reference>
        </references>
      </pivotArea>
    </format>
    <format dxfId="2649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2648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9"/>
          </reference>
          <reference field="3" count="1" selected="0">
            <x v="220"/>
          </reference>
        </references>
      </pivotArea>
    </format>
    <format dxfId="2647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9"/>
          </reference>
          <reference field="3" count="1" selected="0">
            <x v="256"/>
          </reference>
        </references>
      </pivotArea>
    </format>
    <format dxfId="2646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2645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9"/>
          </reference>
          <reference field="3" count="1" selected="0">
            <x v="284"/>
          </reference>
        </references>
      </pivotArea>
    </format>
    <format dxfId="2644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0"/>
          </reference>
          <reference field="3" count="1" selected="0">
            <x v="235"/>
          </reference>
        </references>
      </pivotArea>
    </format>
    <format dxfId="2643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0"/>
          </reference>
          <reference field="3" count="1" selected="0">
            <x v="290"/>
          </reference>
        </references>
      </pivotArea>
    </format>
    <format dxfId="2642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0"/>
          </reference>
          <reference field="3" count="1" selected="0">
            <x v="300"/>
          </reference>
        </references>
      </pivotArea>
    </format>
    <format dxfId="2641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0"/>
          </reference>
          <reference field="3" count="1" selected="0">
            <x v="343"/>
          </reference>
        </references>
      </pivotArea>
    </format>
    <format dxfId="2640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639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2"/>
          </reference>
          <reference field="3" count="1" selected="0">
            <x v="225"/>
          </reference>
        </references>
      </pivotArea>
    </format>
    <format dxfId="2638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2"/>
          </reference>
          <reference field="3" count="1" selected="0">
            <x v="307"/>
          </reference>
        </references>
      </pivotArea>
    </format>
    <format dxfId="2637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2636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2635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0"/>
          </reference>
          <reference field="3" count="1" selected="0">
            <x v="217"/>
          </reference>
        </references>
      </pivotArea>
    </format>
    <format dxfId="2634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2633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0"/>
          </reference>
          <reference field="3" count="1" selected="0">
            <x v="220"/>
          </reference>
        </references>
      </pivotArea>
    </format>
    <format dxfId="2632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"/>
          </reference>
          <reference field="3" count="1" selected="0">
            <x v="231"/>
          </reference>
        </references>
      </pivotArea>
    </format>
    <format dxfId="2631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"/>
          </reference>
          <reference field="3" count="1" selected="0">
            <x v="233"/>
          </reference>
        </references>
      </pivotArea>
    </format>
    <format dxfId="2630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"/>
          </reference>
          <reference field="3" count="1" selected="0">
            <x v="236"/>
          </reference>
        </references>
      </pivotArea>
    </format>
    <format dxfId="2629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"/>
          </reference>
          <reference field="3" count="1" selected="0">
            <x v="243"/>
          </reference>
        </references>
      </pivotArea>
    </format>
    <format dxfId="2628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627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2626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3"/>
          </reference>
          <reference field="3" count="1" selected="0">
            <x v="221"/>
          </reference>
        </references>
      </pivotArea>
    </format>
    <format dxfId="2625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2624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3"/>
          </reference>
          <reference field="3" count="1" selected="0">
            <x v="271"/>
          </reference>
        </references>
      </pivotArea>
    </format>
    <format dxfId="2623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3"/>
          </reference>
          <reference field="3" count="1" selected="0">
            <x v="280"/>
          </reference>
        </references>
      </pivotArea>
    </format>
    <format dxfId="2622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5"/>
          </reference>
          <reference field="3" count="1" selected="0">
            <x v="277"/>
          </reference>
        </references>
      </pivotArea>
    </format>
    <format dxfId="2621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5"/>
          </reference>
          <reference field="3" count="1" selected="0">
            <x v="295"/>
          </reference>
        </references>
      </pivotArea>
    </format>
    <format dxfId="2620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2619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7"/>
          </reference>
          <reference field="3" count="1" selected="0">
            <x v="252"/>
          </reference>
        </references>
      </pivotArea>
    </format>
    <format dxfId="2618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617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1"/>
          </reference>
          <reference field="3" count="1" selected="0">
            <x v="312"/>
          </reference>
        </references>
      </pivotArea>
    </format>
    <format dxfId="2616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615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3"/>
          </reference>
          <reference field="3" count="1" selected="0">
            <x v="232"/>
          </reference>
        </references>
      </pivotArea>
    </format>
    <format dxfId="2614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3"/>
          </reference>
          <reference field="3" count="1" selected="0">
            <x v="270"/>
          </reference>
        </references>
      </pivotArea>
    </format>
    <format dxfId="2613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3"/>
          </reference>
          <reference field="3" count="1" selected="0">
            <x v="322"/>
          </reference>
        </references>
      </pivotArea>
    </format>
    <format dxfId="2612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3"/>
          </reference>
          <reference field="3" count="1" selected="0">
            <x v="338"/>
          </reference>
        </references>
      </pivotArea>
    </format>
    <format dxfId="2611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4"/>
          </reference>
          <reference field="3" count="1" selected="0">
            <x v="214"/>
          </reference>
        </references>
      </pivotArea>
    </format>
    <format dxfId="2610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2609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0"/>
          </reference>
          <reference field="3" count="1" selected="0">
            <x v="217"/>
          </reference>
        </references>
      </pivotArea>
    </format>
    <format dxfId="2608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0"/>
          </reference>
          <reference field="3" count="1" selected="0">
            <x v="227"/>
          </reference>
        </references>
      </pivotArea>
    </format>
    <format dxfId="2607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"/>
          </reference>
          <reference field="3" count="1" selected="0">
            <x v="236"/>
          </reference>
        </references>
      </pivotArea>
    </format>
    <format dxfId="2606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2605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2604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4"/>
          </reference>
          <reference field="3" count="1" selected="0">
            <x v="253"/>
          </reference>
        </references>
      </pivotArea>
    </format>
    <format dxfId="2603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4"/>
          </reference>
          <reference field="3" count="1" selected="0">
            <x v="280"/>
          </reference>
        </references>
      </pivotArea>
    </format>
    <format dxfId="2602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7"/>
          </reference>
          <reference field="3" count="1" selected="0">
            <x v="328"/>
          </reference>
        </references>
      </pivotArea>
    </format>
    <format dxfId="2601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8"/>
          </reference>
          <reference field="3" count="1" selected="0">
            <x v="249"/>
          </reference>
        </references>
      </pivotArea>
    </format>
    <format dxfId="2600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8"/>
          </reference>
          <reference field="3" count="1" selected="0">
            <x v="251"/>
          </reference>
        </references>
      </pivotArea>
    </format>
    <format dxfId="2599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2598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8"/>
          </reference>
          <reference field="3" count="1" selected="0">
            <x v="317"/>
          </reference>
        </references>
      </pivotArea>
    </format>
    <format dxfId="2597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8"/>
          </reference>
          <reference field="3" count="1" selected="0">
            <x v="331"/>
          </reference>
        </references>
      </pivotArea>
    </format>
    <format dxfId="2596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9"/>
          </reference>
          <reference field="3" count="1" selected="0">
            <x v="236"/>
          </reference>
        </references>
      </pivotArea>
    </format>
    <format dxfId="2595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9"/>
          </reference>
          <reference field="3" count="1" selected="0">
            <x v="284"/>
          </reference>
        </references>
      </pivotArea>
    </format>
    <format dxfId="2594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9"/>
          </reference>
          <reference field="3" count="1" selected="0">
            <x v="315"/>
          </reference>
        </references>
      </pivotArea>
    </format>
    <format dxfId="2593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0"/>
          </reference>
          <reference field="3" count="1" selected="0">
            <x v="288"/>
          </reference>
        </references>
      </pivotArea>
    </format>
    <format dxfId="2592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0"/>
          </reference>
          <reference field="3" count="1" selected="0">
            <x v="290"/>
          </reference>
        </references>
      </pivotArea>
    </format>
    <format dxfId="2591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1"/>
          </reference>
          <reference field="3" count="1" selected="0">
            <x v="247"/>
          </reference>
        </references>
      </pivotArea>
    </format>
    <format dxfId="2590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589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1"/>
          </reference>
          <reference field="3" count="1" selected="0">
            <x v="327"/>
          </reference>
        </references>
      </pivotArea>
    </format>
    <format dxfId="2588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3"/>
          </reference>
          <reference field="3" count="1" selected="0">
            <x v="218"/>
          </reference>
        </references>
      </pivotArea>
    </format>
    <format dxfId="2587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2586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3"/>
          </reference>
          <reference field="3" count="1" selected="0">
            <x v="271"/>
          </reference>
        </references>
      </pivotArea>
    </format>
    <format dxfId="2585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3"/>
          </reference>
          <reference field="3" count="1" selected="0">
            <x v="326"/>
          </reference>
        </references>
      </pivotArea>
    </format>
    <format dxfId="2584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4"/>
          </reference>
          <reference field="3" count="1" selected="0">
            <x v="317"/>
          </reference>
        </references>
      </pivotArea>
    </format>
    <format dxfId="2583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2582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0"/>
          </reference>
          <reference field="3" count="1" selected="0">
            <x v="217"/>
          </reference>
        </references>
      </pivotArea>
    </format>
    <format dxfId="2581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0"/>
          </reference>
          <reference field="3" count="1" selected="0">
            <x v="222"/>
          </reference>
        </references>
      </pivotArea>
    </format>
    <format dxfId="2580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0"/>
          </reference>
          <reference field="3" count="1" selected="0">
            <x v="228"/>
          </reference>
        </references>
      </pivotArea>
    </format>
    <format dxfId="2579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"/>
          </reference>
          <reference field="3" count="1" selected="0">
            <x v="233"/>
          </reference>
        </references>
      </pivotArea>
    </format>
    <format dxfId="2578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2577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2576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3"/>
          </reference>
          <reference field="3" count="1" selected="0">
            <x v="257"/>
          </reference>
        </references>
      </pivotArea>
    </format>
    <format dxfId="2575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2574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4"/>
          </reference>
          <reference field="3" count="1" selected="0">
            <x v="249"/>
          </reference>
        </references>
      </pivotArea>
    </format>
    <format dxfId="2573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4"/>
          </reference>
          <reference field="3" count="1" selected="0">
            <x v="288"/>
          </reference>
        </references>
      </pivotArea>
    </format>
    <format dxfId="2572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4"/>
          </reference>
          <reference field="3" count="1" selected="0">
            <x v="292"/>
          </reference>
        </references>
      </pivotArea>
    </format>
    <format dxfId="2571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5"/>
          </reference>
          <reference field="3" count="1" selected="0">
            <x v="223"/>
          </reference>
        </references>
      </pivotArea>
    </format>
    <format dxfId="2570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5"/>
          </reference>
          <reference field="3" count="1" selected="0">
            <x v="229"/>
          </reference>
        </references>
      </pivotArea>
    </format>
    <format dxfId="2569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5"/>
          </reference>
          <reference field="3" count="1" selected="0">
            <x v="290"/>
          </reference>
        </references>
      </pivotArea>
    </format>
    <format dxfId="2568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6"/>
          </reference>
          <reference field="3" count="1" selected="0">
            <x v="238"/>
          </reference>
        </references>
      </pivotArea>
    </format>
    <format dxfId="2567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6"/>
          </reference>
          <reference field="3" count="1" selected="0">
            <x v="309"/>
          </reference>
        </references>
      </pivotArea>
    </format>
    <format dxfId="2566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7"/>
          </reference>
          <reference field="3" count="1" selected="0">
            <x v="232"/>
          </reference>
        </references>
      </pivotArea>
    </format>
    <format dxfId="2565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7"/>
          </reference>
          <reference field="3" count="1" selected="0">
            <x v="321"/>
          </reference>
        </references>
      </pivotArea>
    </format>
    <format dxfId="2564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2563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2562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9"/>
          </reference>
          <reference field="3" count="1" selected="0">
            <x v="269"/>
          </reference>
        </references>
      </pivotArea>
    </format>
    <format dxfId="2561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9"/>
          </reference>
          <reference field="3" count="1" selected="0">
            <x v="284"/>
          </reference>
        </references>
      </pivotArea>
    </format>
    <format dxfId="2560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9"/>
          </reference>
          <reference field="3" count="1" selected="0">
            <x v="292"/>
          </reference>
        </references>
      </pivotArea>
    </format>
    <format dxfId="2559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9"/>
          </reference>
          <reference field="3" count="1" selected="0">
            <x v="337"/>
          </reference>
        </references>
      </pivotArea>
    </format>
    <format dxfId="2558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2557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0"/>
          </reference>
          <reference field="3" count="1" selected="0">
            <x v="290"/>
          </reference>
        </references>
      </pivotArea>
    </format>
    <format dxfId="2556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0"/>
          </reference>
          <reference field="3" count="1" selected="0">
            <x v="291"/>
          </reference>
        </references>
      </pivotArea>
    </format>
    <format dxfId="2555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0"/>
          </reference>
          <reference field="3" count="1" selected="0">
            <x v="298"/>
          </reference>
        </references>
      </pivotArea>
    </format>
    <format dxfId="2554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2553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1"/>
          </reference>
          <reference field="3" count="1" selected="0">
            <x v="247"/>
          </reference>
        </references>
      </pivotArea>
    </format>
    <format dxfId="2552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551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1"/>
          </reference>
          <reference field="3" count="1" selected="0">
            <x v="295"/>
          </reference>
        </references>
      </pivotArea>
    </format>
    <format dxfId="2550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3"/>
          </reference>
          <reference field="3" count="1" selected="0">
            <x v="255"/>
          </reference>
        </references>
      </pivotArea>
    </format>
    <format dxfId="2549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4"/>
          </reference>
          <reference field="3" count="1" selected="0">
            <x v="223"/>
          </reference>
        </references>
      </pivotArea>
    </format>
    <format dxfId="2548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4"/>
          </reference>
          <reference field="3" count="1" selected="0">
            <x v="263"/>
          </reference>
        </references>
      </pivotArea>
    </format>
    <format dxfId="2547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2546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0"/>
          </reference>
          <reference field="3" count="1" selected="0">
            <x v="218"/>
          </reference>
        </references>
      </pivotArea>
    </format>
    <format dxfId="2545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2544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0"/>
          </reference>
          <reference field="3" count="1" selected="0">
            <x v="230"/>
          </reference>
        </references>
      </pivotArea>
    </format>
    <format dxfId="2543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"/>
          </reference>
          <reference field="3" count="1" selected="0">
            <x v="217"/>
          </reference>
        </references>
      </pivotArea>
    </format>
    <format dxfId="2542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"/>
          </reference>
          <reference field="3" count="1" selected="0">
            <x v="235"/>
          </reference>
        </references>
      </pivotArea>
    </format>
    <format dxfId="2541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"/>
          </reference>
          <reference field="3" count="1" selected="0">
            <x v="242"/>
          </reference>
        </references>
      </pivotArea>
    </format>
    <format dxfId="2540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233"/>
          </reference>
        </references>
      </pivotArea>
    </format>
    <format dxfId="2539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2538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537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2536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250"/>
          </reference>
        </references>
      </pivotArea>
    </format>
    <format dxfId="2535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2534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3"/>
          </reference>
          <reference field="3" count="1" selected="0">
            <x v="268"/>
          </reference>
        </references>
      </pivotArea>
    </format>
    <format dxfId="2533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4"/>
          </reference>
          <reference field="3" count="1" selected="0">
            <x v="228"/>
          </reference>
        </references>
      </pivotArea>
    </format>
    <format dxfId="2532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4"/>
          </reference>
          <reference field="3" count="1" selected="0">
            <x v="265"/>
          </reference>
        </references>
      </pivotArea>
    </format>
    <format dxfId="2531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5"/>
          </reference>
          <reference field="3" count="1" selected="0">
            <x v="253"/>
          </reference>
        </references>
      </pivotArea>
    </format>
    <format dxfId="2530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2529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7"/>
          </reference>
          <reference field="3" count="1" selected="0">
            <x v="304"/>
          </reference>
        </references>
      </pivotArea>
    </format>
    <format dxfId="2528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9"/>
          </reference>
          <reference field="3" count="1" selected="0">
            <x v="313"/>
          </reference>
        </references>
      </pivotArea>
    </format>
    <format dxfId="2527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9"/>
          </reference>
          <reference field="3" count="1" selected="0">
            <x v="332"/>
          </reference>
        </references>
      </pivotArea>
    </format>
    <format dxfId="2526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0"/>
          </reference>
          <reference field="3" count="1" selected="0">
            <x v="23"/>
          </reference>
        </references>
      </pivotArea>
    </format>
    <format dxfId="2525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0"/>
          </reference>
          <reference field="3" count="1" selected="0">
            <x v="270"/>
          </reference>
        </references>
      </pivotArea>
    </format>
    <format dxfId="2524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0"/>
          </reference>
          <reference field="3" count="1" selected="0">
            <x v="291"/>
          </reference>
        </references>
      </pivotArea>
    </format>
    <format dxfId="2523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2522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0"/>
          </reference>
          <reference field="3" count="1" selected="0">
            <x v="345"/>
          </reference>
        </references>
      </pivotArea>
    </format>
    <format dxfId="2521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2520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519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1"/>
          </reference>
          <reference field="3" count="1" selected="0">
            <x v="327"/>
          </reference>
        </references>
      </pivotArea>
    </format>
    <format dxfId="2518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1"/>
          </reference>
          <reference field="3" count="1" selected="0">
            <x v="329"/>
          </reference>
        </references>
      </pivotArea>
    </format>
    <format dxfId="2517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516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2"/>
          </reference>
          <reference field="3" count="1" selected="0">
            <x v="266"/>
          </reference>
        </references>
      </pivotArea>
    </format>
    <format dxfId="2515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3"/>
          </reference>
          <reference field="3" count="1" selected="0">
            <x v="218"/>
          </reference>
        </references>
      </pivotArea>
    </format>
    <format dxfId="2514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3"/>
          </reference>
          <reference field="3" count="1" selected="0">
            <x v="270"/>
          </reference>
        </references>
      </pivotArea>
    </format>
    <format dxfId="2513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3"/>
          </reference>
          <reference field="3" count="1" selected="0">
            <x v="323"/>
          </reference>
        </references>
      </pivotArea>
    </format>
    <format dxfId="2512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2511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2510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0"/>
          </reference>
          <reference field="3" count="1" selected="0">
            <x v="221"/>
          </reference>
        </references>
      </pivotArea>
    </format>
    <format dxfId="2509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0"/>
          </reference>
          <reference field="3" count="1" selected="0">
            <x v="230"/>
          </reference>
        </references>
      </pivotArea>
    </format>
    <format dxfId="2508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"/>
          </reference>
          <reference field="3" count="1" selected="0">
            <x v="217"/>
          </reference>
        </references>
      </pivotArea>
    </format>
    <format dxfId="2507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"/>
          </reference>
          <reference field="3" count="1" selected="0">
            <x v="221"/>
          </reference>
        </references>
      </pivotArea>
    </format>
    <format dxfId="2506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"/>
          </reference>
          <reference field="3" count="1" selected="0">
            <x v="233"/>
          </reference>
        </references>
      </pivotArea>
    </format>
    <format dxfId="2505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2"/>
          </reference>
          <reference field="3" count="1" selected="0">
            <x v="224"/>
          </reference>
        </references>
      </pivotArea>
    </format>
    <format dxfId="2504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2"/>
          </reference>
          <reference field="3" count="1" selected="0">
            <x v="233"/>
          </reference>
        </references>
      </pivotArea>
    </format>
    <format dxfId="2503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502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2"/>
          </reference>
          <reference field="3" count="1" selected="0">
            <x v="253"/>
          </reference>
        </references>
      </pivotArea>
    </format>
    <format dxfId="2501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3"/>
          </reference>
          <reference field="3" count="1" selected="0">
            <x v="261"/>
          </reference>
        </references>
      </pivotArea>
    </format>
    <format dxfId="2500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3"/>
          </reference>
          <reference field="3" count="1" selected="0">
            <x v="272"/>
          </reference>
        </references>
      </pivotArea>
    </format>
    <format dxfId="2499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2498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4"/>
          </reference>
          <reference field="3" count="1" selected="0">
            <x v="273"/>
          </reference>
        </references>
      </pivotArea>
    </format>
    <format dxfId="2497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4"/>
          </reference>
          <reference field="3" count="1" selected="0">
            <x v="290"/>
          </reference>
        </references>
      </pivotArea>
    </format>
    <format dxfId="2496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5"/>
          </reference>
          <reference field="3" count="1" selected="0">
            <x v="288"/>
          </reference>
        </references>
      </pivotArea>
    </format>
    <format dxfId="2495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5"/>
          </reference>
          <reference field="3" count="1" selected="0">
            <x v="293"/>
          </reference>
        </references>
      </pivotArea>
    </format>
    <format dxfId="2494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5"/>
          </reference>
          <reference field="3" count="1" selected="0">
            <x v="298"/>
          </reference>
        </references>
      </pivotArea>
    </format>
    <format dxfId="2493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7"/>
          </reference>
          <reference field="3" count="1" selected="0">
            <x v="214"/>
          </reference>
        </references>
      </pivotArea>
    </format>
    <format dxfId="2492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7"/>
          </reference>
          <reference field="3" count="1" selected="0">
            <x v="328"/>
          </reference>
        </references>
      </pivotArea>
    </format>
    <format dxfId="2491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2490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9"/>
          </reference>
          <reference field="3" count="1" selected="0">
            <x v="334"/>
          </reference>
        </references>
      </pivotArea>
    </format>
    <format dxfId="2489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2488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0"/>
          </reference>
          <reference field="3" count="1" selected="0">
            <x v="343"/>
          </reference>
        </references>
      </pivotArea>
    </format>
    <format dxfId="2487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2486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3"/>
          </reference>
          <reference field="3" count="1" selected="0">
            <x v="320"/>
          </reference>
        </references>
      </pivotArea>
    </format>
    <format dxfId="2485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0"/>
          </reference>
          <reference field="3" count="1" selected="0">
            <x v="215"/>
          </reference>
        </references>
      </pivotArea>
    </format>
    <format dxfId="2484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2483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2482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0"/>
          </reference>
          <reference field="3" count="1" selected="0">
            <x v="228"/>
          </reference>
        </references>
      </pivotArea>
    </format>
    <format dxfId="2481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2480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"/>
          </reference>
          <reference field="3" count="1" selected="0">
            <x v="236"/>
          </reference>
        </references>
      </pivotArea>
    </format>
    <format dxfId="2479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2"/>
          </reference>
          <reference field="3" count="1" selected="0">
            <x v="233"/>
          </reference>
        </references>
      </pivotArea>
    </format>
    <format dxfId="2478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477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2"/>
          </reference>
          <reference field="3" count="1" selected="0">
            <x v="247"/>
          </reference>
        </references>
      </pivotArea>
    </format>
    <format dxfId="2476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2475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2"/>
          </reference>
          <reference field="3" count="1" selected="0">
            <x v="253"/>
          </reference>
        </references>
      </pivotArea>
    </format>
    <format dxfId="2474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2473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4"/>
          </reference>
          <reference field="3" count="1" selected="0">
            <x v="258"/>
          </reference>
        </references>
      </pivotArea>
    </format>
    <format dxfId="2472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4"/>
          </reference>
          <reference field="3" count="1" selected="0">
            <x v="289"/>
          </reference>
        </references>
      </pivotArea>
    </format>
    <format dxfId="2471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4"/>
          </reference>
          <reference field="3" count="1" selected="0">
            <x v="290"/>
          </reference>
        </references>
      </pivotArea>
    </format>
    <format dxfId="2470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5"/>
          </reference>
          <reference field="3" count="1" selected="0">
            <x v="253"/>
          </reference>
        </references>
      </pivotArea>
    </format>
    <format dxfId="2469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5"/>
          </reference>
          <reference field="3" count="1" selected="0">
            <x v="301"/>
          </reference>
        </references>
      </pivotArea>
    </format>
    <format dxfId="2468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6"/>
          </reference>
          <reference field="3" count="1" selected="0">
            <x v="222"/>
          </reference>
        </references>
      </pivotArea>
    </format>
    <format dxfId="2467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6"/>
          </reference>
          <reference field="3" count="1" selected="0">
            <x v="231"/>
          </reference>
        </references>
      </pivotArea>
    </format>
    <format dxfId="2466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2465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7"/>
          </reference>
          <reference field="3" count="1" selected="0">
            <x v="252"/>
          </reference>
        </references>
      </pivotArea>
    </format>
    <format dxfId="2464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7"/>
          </reference>
          <reference field="3" count="1" selected="0">
            <x v="289"/>
          </reference>
        </references>
      </pivotArea>
    </format>
    <format dxfId="2463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2462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1"/>
          </reference>
          <reference field="3" count="1" selected="0">
            <x v="229"/>
          </reference>
        </references>
      </pivotArea>
    </format>
    <format dxfId="2461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460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1"/>
          </reference>
          <reference field="3" count="1" selected="0">
            <x v="312"/>
          </reference>
        </references>
      </pivotArea>
    </format>
    <format dxfId="2459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2458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2"/>
          </reference>
          <reference field="3" count="1" selected="0">
            <x v="259"/>
          </reference>
        </references>
      </pivotArea>
    </format>
    <format dxfId="2457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2"/>
          </reference>
          <reference field="3" count="1" selected="0">
            <x v="279"/>
          </reference>
        </references>
      </pivotArea>
    </format>
    <format dxfId="2456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2455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2454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2453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4"/>
          </reference>
          <reference field="3" count="1" selected="0">
            <x v="248"/>
          </reference>
        </references>
      </pivotArea>
    </format>
    <format dxfId="2452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4"/>
          </reference>
          <reference field="3" count="1" selected="0">
            <x v="317"/>
          </reference>
        </references>
      </pivotArea>
    </format>
    <format dxfId="2451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2450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2449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2448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2447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"/>
          </reference>
          <reference field="3" count="1" selected="0">
            <x v="217"/>
          </reference>
        </references>
      </pivotArea>
    </format>
    <format dxfId="2446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2"/>
          </reference>
          <reference field="3" count="1" selected="0">
            <x v="242"/>
          </reference>
        </references>
      </pivotArea>
    </format>
    <format dxfId="2445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444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5"/>
          </reference>
          <reference field="3" count="1" selected="0">
            <x v="277"/>
          </reference>
        </references>
      </pivotArea>
    </format>
    <format dxfId="2443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5"/>
          </reference>
          <reference field="3" count="1" selected="0">
            <x v="290"/>
          </reference>
        </references>
      </pivotArea>
    </format>
    <format dxfId="2442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5"/>
          </reference>
          <reference field="3" count="1" selected="0">
            <x v="294"/>
          </reference>
        </references>
      </pivotArea>
    </format>
    <format dxfId="2441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2440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6"/>
          </reference>
          <reference field="3" count="1" selected="0">
            <x v="305"/>
          </reference>
        </references>
      </pivotArea>
    </format>
    <format dxfId="2439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7"/>
          </reference>
          <reference field="3" count="1" selected="0">
            <x v="238"/>
          </reference>
        </references>
      </pivotArea>
    </format>
    <format dxfId="2438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7"/>
          </reference>
          <reference field="3" count="1" selected="0">
            <x v="317"/>
          </reference>
        </references>
      </pivotArea>
    </format>
    <format dxfId="2437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7"/>
          </reference>
          <reference field="3" count="1" selected="0">
            <x v="319"/>
          </reference>
        </references>
      </pivotArea>
    </format>
    <format dxfId="2436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7"/>
          </reference>
          <reference field="3" count="1" selected="0">
            <x v="327"/>
          </reference>
        </references>
      </pivotArea>
    </format>
    <format dxfId="2435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7"/>
          </reference>
          <reference field="3" count="1" selected="0">
            <x v="328"/>
          </reference>
        </references>
      </pivotArea>
    </format>
    <format dxfId="2434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8"/>
          </reference>
          <reference field="3" count="1" selected="0">
            <x v="222"/>
          </reference>
        </references>
      </pivotArea>
    </format>
    <format dxfId="2433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2432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2431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8"/>
          </reference>
          <reference field="3" count="1" selected="0">
            <x v="330"/>
          </reference>
        </references>
      </pivotArea>
    </format>
    <format dxfId="2430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2429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9"/>
          </reference>
          <reference field="3" count="1" selected="0">
            <x v="284"/>
          </reference>
        </references>
      </pivotArea>
    </format>
    <format dxfId="2428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0"/>
          </reference>
          <reference field="3" count="1" selected="0">
            <x v="235"/>
          </reference>
        </references>
      </pivotArea>
    </format>
    <format dxfId="2427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2426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2425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1"/>
          </reference>
          <reference field="3" count="1" selected="0">
            <x v="327"/>
          </reference>
        </references>
      </pivotArea>
    </format>
    <format dxfId="2424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2423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2"/>
          </reference>
          <reference field="3" count="1" selected="0">
            <x v="351"/>
          </reference>
        </references>
      </pivotArea>
    </format>
    <format dxfId="2422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2421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4"/>
          </reference>
          <reference field="3" count="1" selected="0">
            <x v="269"/>
          </reference>
        </references>
      </pivotArea>
    </format>
    <format dxfId="2420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2419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2418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0"/>
          </reference>
          <reference field="3" count="1" selected="0">
            <x v="230"/>
          </reference>
        </references>
      </pivotArea>
    </format>
    <format dxfId="2417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"/>
          </reference>
          <reference field="3" count="1" selected="0">
            <x v="221"/>
          </reference>
        </references>
      </pivotArea>
    </format>
    <format dxfId="2416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"/>
          </reference>
          <reference field="3" count="1" selected="0">
            <x v="242"/>
          </reference>
        </references>
      </pivotArea>
    </format>
    <format dxfId="2415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2414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413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2412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3"/>
          </reference>
          <reference field="3" count="1" selected="0">
            <x v="257"/>
          </reference>
        </references>
      </pivotArea>
    </format>
    <format dxfId="2411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2410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3"/>
          </reference>
          <reference field="3" count="1" selected="0">
            <x v="272"/>
          </reference>
        </references>
      </pivotArea>
    </format>
    <format dxfId="2409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2408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6"/>
          </reference>
          <reference field="3" count="1" selected="0">
            <x v="282"/>
          </reference>
        </references>
      </pivotArea>
    </format>
    <format dxfId="2407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6"/>
          </reference>
          <reference field="3" count="1" selected="0">
            <x v="312"/>
          </reference>
        </references>
      </pivotArea>
    </format>
    <format dxfId="2406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7"/>
          </reference>
          <reference field="3" count="1" selected="0">
            <x v="324"/>
          </reference>
        </references>
      </pivotArea>
    </format>
    <format dxfId="2405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8"/>
          </reference>
          <reference field="3" count="1" selected="0">
            <x v="215"/>
          </reference>
        </references>
      </pivotArea>
    </format>
    <format dxfId="2404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8"/>
          </reference>
          <reference field="3" count="1" selected="0">
            <x v="286"/>
          </reference>
        </references>
      </pivotArea>
    </format>
    <format dxfId="2403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8"/>
          </reference>
          <reference field="3" count="1" selected="0">
            <x v="326"/>
          </reference>
        </references>
      </pivotArea>
    </format>
    <format dxfId="2402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8"/>
          </reference>
          <reference field="3" count="1" selected="0">
            <x v="331"/>
          </reference>
        </references>
      </pivotArea>
    </format>
    <format dxfId="2401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9"/>
          </reference>
          <reference field="3" count="1" selected="0">
            <x v="336"/>
          </reference>
        </references>
      </pivotArea>
    </format>
    <format dxfId="2400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0"/>
          </reference>
          <reference field="3" count="1" selected="0">
            <x v="270"/>
          </reference>
        </references>
      </pivotArea>
    </format>
    <format dxfId="2399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0"/>
          </reference>
          <reference field="3" count="1" selected="0">
            <x v="300"/>
          </reference>
        </references>
      </pivotArea>
    </format>
    <format dxfId="2398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2397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2"/>
          </reference>
          <reference field="3" count="1" selected="0">
            <x v="213"/>
          </reference>
        </references>
      </pivotArea>
    </format>
    <format dxfId="2396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3"/>
          </reference>
          <reference field="3" count="1" selected="0">
            <x v="292"/>
          </reference>
        </references>
      </pivotArea>
    </format>
    <format dxfId="2395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3"/>
          </reference>
          <reference field="3" count="1" selected="0">
            <x v="320"/>
          </reference>
        </references>
      </pivotArea>
    </format>
    <format dxfId="2394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2393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2392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0"/>
          </reference>
          <reference field="3" count="1" selected="0">
            <x v="218"/>
          </reference>
        </references>
      </pivotArea>
    </format>
    <format dxfId="2391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2390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2389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0"/>
          </reference>
          <reference field="3" count="1" selected="0">
            <x v="227"/>
          </reference>
        </references>
      </pivotArea>
    </format>
    <format dxfId="2388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0"/>
          </reference>
          <reference field="3" count="1" selected="0">
            <x v="228"/>
          </reference>
        </references>
      </pivotArea>
    </format>
    <format dxfId="2387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"/>
          </reference>
          <reference field="3" count="1" selected="0">
            <x v="233"/>
          </reference>
        </references>
      </pivotArea>
    </format>
    <format dxfId="2386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"/>
          </reference>
          <reference field="3" count="1" selected="0">
            <x v="236"/>
          </reference>
        </references>
      </pivotArea>
    </format>
    <format dxfId="2385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"/>
          </reference>
          <reference field="3" count="1" selected="0">
            <x v="239"/>
          </reference>
        </references>
      </pivotArea>
    </format>
    <format dxfId="2384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2"/>
          </reference>
          <reference field="3" count="1" selected="0">
            <x v="233"/>
          </reference>
        </references>
      </pivotArea>
    </format>
    <format dxfId="2383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2382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381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2380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2379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2"/>
          </reference>
          <reference field="3" count="1" selected="0">
            <x v="253"/>
          </reference>
        </references>
      </pivotArea>
    </format>
    <format dxfId="2378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3"/>
          </reference>
          <reference field="3" count="1" selected="0">
            <x v="277"/>
          </reference>
        </references>
      </pivotArea>
    </format>
    <format dxfId="2377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5"/>
          </reference>
          <reference field="3" count="1" selected="0">
            <x v="253"/>
          </reference>
        </references>
      </pivotArea>
    </format>
    <format dxfId="2376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5"/>
          </reference>
          <reference field="3" count="1" selected="0">
            <x v="288"/>
          </reference>
        </references>
      </pivotArea>
    </format>
    <format dxfId="2375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5"/>
          </reference>
          <reference field="3" count="1" selected="0">
            <x v="290"/>
          </reference>
        </references>
      </pivotArea>
    </format>
    <format dxfId="2374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2373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7"/>
          </reference>
          <reference field="3" count="1" selected="0">
            <x v="262"/>
          </reference>
        </references>
      </pivotArea>
    </format>
    <format dxfId="2372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8"/>
          </reference>
          <reference field="3" count="1" selected="0">
            <x v="215"/>
          </reference>
        </references>
      </pivotArea>
    </format>
    <format dxfId="2371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8"/>
          </reference>
          <reference field="3" count="1" selected="0">
            <x v="222"/>
          </reference>
        </references>
      </pivotArea>
    </format>
    <format dxfId="2370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2369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8"/>
          </reference>
          <reference field="3" count="1" selected="0">
            <x v="331"/>
          </reference>
        </references>
      </pivotArea>
    </format>
    <format dxfId="2368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9"/>
          </reference>
          <reference field="3" count="1" selected="0">
            <x v="256"/>
          </reference>
        </references>
      </pivotArea>
    </format>
    <format dxfId="2367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0"/>
          </reference>
          <reference field="3" count="1" selected="0">
            <x v="23"/>
          </reference>
        </references>
      </pivotArea>
    </format>
    <format dxfId="2366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0"/>
          </reference>
          <reference field="3" count="1" selected="0">
            <x v="243"/>
          </reference>
        </references>
      </pivotArea>
    </format>
    <format dxfId="2365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0"/>
          </reference>
          <reference field="3" count="1" selected="0">
            <x v="288"/>
          </reference>
        </references>
      </pivotArea>
    </format>
    <format dxfId="2364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0"/>
          </reference>
          <reference field="3" count="1" selected="0">
            <x v="298"/>
          </reference>
        </references>
      </pivotArea>
    </format>
    <format dxfId="2363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0"/>
          </reference>
          <reference field="3" count="1" selected="0">
            <x v="307"/>
          </reference>
        </references>
      </pivotArea>
    </format>
    <format dxfId="2362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0"/>
          </reference>
          <reference field="3" count="1" selected="0">
            <x v="339"/>
          </reference>
        </references>
      </pivotArea>
    </format>
    <format dxfId="2361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2360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1"/>
          </reference>
          <reference field="3" count="1" selected="0">
            <x v="247"/>
          </reference>
        </references>
      </pivotArea>
    </format>
    <format dxfId="2359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1"/>
          </reference>
          <reference field="3" count="1" selected="0">
            <x v="265"/>
          </reference>
        </references>
      </pivotArea>
    </format>
    <format dxfId="2358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357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1"/>
          </reference>
          <reference field="3" count="1" selected="0">
            <x v="306"/>
          </reference>
        </references>
      </pivotArea>
    </format>
    <format dxfId="2356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1"/>
          </reference>
          <reference field="3" count="1" selected="0">
            <x v="342"/>
          </reference>
        </references>
      </pivotArea>
    </format>
    <format dxfId="2355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213"/>
          </reference>
        </references>
      </pivotArea>
    </format>
    <format dxfId="2354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225"/>
          </reference>
        </references>
      </pivotArea>
    </format>
    <format dxfId="2353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2352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255"/>
          </reference>
        </references>
      </pivotArea>
    </format>
    <format dxfId="2351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259"/>
          </reference>
        </references>
      </pivotArea>
    </format>
    <format dxfId="2350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264"/>
          </reference>
        </references>
      </pivotArea>
    </format>
    <format dxfId="2349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2348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2347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3"/>
          </reference>
          <reference field="3" count="1" selected="0">
            <x v="267"/>
          </reference>
        </references>
      </pivotArea>
    </format>
    <format dxfId="2346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3"/>
          </reference>
          <reference field="3" count="1" selected="0">
            <x v="338"/>
          </reference>
        </references>
      </pivotArea>
    </format>
    <format dxfId="2345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2344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0"/>
          </reference>
          <reference field="3" count="1" selected="0">
            <x v="216"/>
          </reference>
        </references>
      </pivotArea>
    </format>
    <format dxfId="2343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"/>
          </reference>
          <reference field="3" count="1" selected="0">
            <x v="241"/>
          </reference>
        </references>
      </pivotArea>
    </format>
    <format dxfId="2342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"/>
          </reference>
          <reference field="3" count="1" selected="0">
            <x v="243"/>
          </reference>
        </references>
      </pivotArea>
    </format>
    <format dxfId="2341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2340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339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2"/>
          </reference>
          <reference field="3" count="1" selected="0">
            <x v="248"/>
          </reference>
        </references>
      </pivotArea>
    </format>
    <format dxfId="2338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2"/>
          </reference>
          <reference field="3" count="1" selected="0">
            <x v="249"/>
          </reference>
        </references>
      </pivotArea>
    </format>
    <format dxfId="2337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2"/>
          </reference>
          <reference field="3" count="1" selected="0">
            <x v="252"/>
          </reference>
        </references>
      </pivotArea>
    </format>
    <format dxfId="2336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2335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3"/>
          </reference>
          <reference field="3" count="1" selected="0">
            <x v="268"/>
          </reference>
        </references>
      </pivotArea>
    </format>
    <format dxfId="2334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5"/>
          </reference>
          <reference field="3" count="1" selected="0">
            <x v="288"/>
          </reference>
        </references>
      </pivotArea>
    </format>
    <format dxfId="2333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2332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6"/>
          </reference>
          <reference field="3" count="1" selected="0">
            <x v="229"/>
          </reference>
        </references>
      </pivotArea>
    </format>
    <format dxfId="2331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6"/>
          </reference>
          <reference field="3" count="1" selected="0">
            <x v="247"/>
          </reference>
        </references>
      </pivotArea>
    </format>
    <format dxfId="2330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6"/>
          </reference>
          <reference field="3" count="1" selected="0">
            <x v="269"/>
          </reference>
        </references>
      </pivotArea>
    </format>
    <format dxfId="2329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2328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8"/>
          </reference>
          <reference field="3" count="1" selected="0">
            <x v="251"/>
          </reference>
        </references>
      </pivotArea>
    </format>
    <format dxfId="2327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2326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8"/>
          </reference>
          <reference field="3" count="1" selected="0">
            <x v="331"/>
          </reference>
        </references>
      </pivotArea>
    </format>
    <format dxfId="2325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2324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9"/>
          </reference>
          <reference field="3" count="1" selected="0">
            <x v="336"/>
          </reference>
        </references>
      </pivotArea>
    </format>
    <format dxfId="2323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2322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0"/>
          </reference>
          <reference field="3" count="1" selected="0">
            <x v="260"/>
          </reference>
        </references>
      </pivotArea>
    </format>
    <format dxfId="2321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2320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1"/>
          </reference>
          <reference field="3" count="1" selected="0">
            <x v="342"/>
          </reference>
        </references>
      </pivotArea>
    </format>
    <format dxfId="2319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318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4"/>
          </reference>
          <reference field="3" count="1" selected="0">
            <x v="323"/>
          </reference>
        </references>
      </pivotArea>
    </format>
    <format dxfId="2317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2316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4"/>
          </reference>
          <reference field="3" count="1" selected="0">
            <x v="356"/>
          </reference>
        </references>
      </pivotArea>
    </format>
    <format dxfId="2315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2314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2313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2312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"/>
          </reference>
          <reference field="3" count="1" selected="0">
            <x v="234"/>
          </reference>
        </references>
      </pivotArea>
    </format>
    <format dxfId="2311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"/>
          </reference>
          <reference field="3" count="1" selected="0">
            <x v="243"/>
          </reference>
        </references>
      </pivotArea>
    </format>
    <format dxfId="2310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2309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2308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4"/>
          </reference>
          <reference field="3" count="1" selected="0">
            <x v="278"/>
          </reference>
        </references>
      </pivotArea>
    </format>
    <format dxfId="2307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2306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6"/>
          </reference>
          <reference field="3" count="1" selected="0">
            <x v="302"/>
          </reference>
        </references>
      </pivotArea>
    </format>
    <format dxfId="2305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6"/>
          </reference>
          <reference field="3" count="1" selected="0">
            <x v="316"/>
          </reference>
        </references>
      </pivotArea>
    </format>
    <format dxfId="2304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8"/>
          </reference>
          <reference field="3" count="1" selected="0">
            <x v="241"/>
          </reference>
        </references>
      </pivotArea>
    </format>
    <format dxfId="2303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2302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2301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0"/>
          </reference>
          <reference field="3" count="1" selected="0">
            <x v="344"/>
          </reference>
        </references>
      </pivotArea>
    </format>
    <format dxfId="2300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299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2298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2297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2296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0"/>
          </reference>
          <reference field="3" count="1" selected="0">
            <x v="217"/>
          </reference>
        </references>
      </pivotArea>
    </format>
    <format dxfId="2295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2294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2293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0"/>
          </reference>
          <reference field="3" count="1" selected="0">
            <x v="227"/>
          </reference>
        </references>
      </pivotArea>
    </format>
    <format dxfId="2292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0"/>
          </reference>
          <reference field="3" count="1" selected="0">
            <x v="228"/>
          </reference>
        </references>
      </pivotArea>
    </format>
    <format dxfId="2291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"/>
          </reference>
          <reference field="3" count="1" selected="0">
            <x v="238"/>
          </reference>
        </references>
      </pivotArea>
    </format>
    <format dxfId="2290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"/>
          </reference>
          <reference field="3" count="1" selected="0">
            <x v="240"/>
          </reference>
        </references>
      </pivotArea>
    </format>
    <format dxfId="2289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2"/>
          </reference>
          <reference field="3" count="1" selected="0">
            <x v="224"/>
          </reference>
        </references>
      </pivotArea>
    </format>
    <format dxfId="2288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2"/>
          </reference>
          <reference field="3" count="1" selected="0">
            <x v="233"/>
          </reference>
        </references>
      </pivotArea>
    </format>
    <format dxfId="2287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2"/>
          </reference>
          <reference field="3" count="1" selected="0">
            <x v="242"/>
          </reference>
        </references>
      </pivotArea>
    </format>
    <format dxfId="2286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285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2284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2"/>
          </reference>
          <reference field="3" count="1" selected="0">
            <x v="254"/>
          </reference>
        </references>
      </pivotArea>
    </format>
    <format dxfId="2283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3"/>
          </reference>
          <reference field="3" count="1" selected="0">
            <x v="221"/>
          </reference>
        </references>
      </pivotArea>
    </format>
    <format dxfId="2282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2281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2280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2279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4"/>
          </reference>
          <reference field="3" count="1" selected="0">
            <x v="280"/>
          </reference>
        </references>
      </pivotArea>
    </format>
    <format dxfId="2278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4"/>
          </reference>
          <reference field="3" count="1" selected="0">
            <x v="285"/>
          </reference>
        </references>
      </pivotArea>
    </format>
    <format dxfId="2277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5"/>
          </reference>
          <reference field="3" count="1" selected="0">
            <x v="294"/>
          </reference>
        </references>
      </pivotArea>
    </format>
    <format dxfId="2276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2275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5"/>
          </reference>
          <reference field="3" count="1" selected="0">
            <x v="301"/>
          </reference>
        </references>
      </pivotArea>
    </format>
    <format dxfId="2274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6"/>
          </reference>
          <reference field="3" count="1" selected="0">
            <x v="218"/>
          </reference>
        </references>
      </pivotArea>
    </format>
    <format dxfId="2273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2272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6"/>
          </reference>
          <reference field="3" count="1" selected="0">
            <x v="273"/>
          </reference>
        </references>
      </pivotArea>
    </format>
    <format dxfId="2271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7"/>
          </reference>
          <reference field="3" count="1" selected="0">
            <x v="237"/>
          </reference>
        </references>
      </pivotArea>
    </format>
    <format dxfId="2270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7"/>
          </reference>
          <reference field="3" count="1" selected="0">
            <x v="249"/>
          </reference>
        </references>
      </pivotArea>
    </format>
    <format dxfId="2269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2268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8"/>
          </reference>
          <reference field="3" count="1" selected="0">
            <x v="326"/>
          </reference>
        </references>
      </pivotArea>
    </format>
    <format dxfId="2267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0"/>
          </reference>
          <reference field="3" count="1" selected="0">
            <x v="268"/>
          </reference>
        </references>
      </pivotArea>
    </format>
    <format dxfId="2266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0"/>
          </reference>
          <reference field="3" count="1" selected="0">
            <x v="298"/>
          </reference>
        </references>
      </pivotArea>
    </format>
    <format dxfId="2265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2264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263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1"/>
          </reference>
          <reference field="3" count="1" selected="0">
            <x v="329"/>
          </reference>
        </references>
      </pivotArea>
    </format>
    <format dxfId="2262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261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2"/>
          </reference>
          <reference field="3" count="1" selected="0">
            <x v="213"/>
          </reference>
        </references>
      </pivotArea>
    </format>
    <format dxfId="2260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2259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2258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2"/>
          </reference>
          <reference field="3" count="1" selected="0">
            <x v="341"/>
          </reference>
        </references>
      </pivotArea>
    </format>
    <format dxfId="2257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237"/>
          </reference>
        </references>
      </pivotArea>
    </format>
    <format dxfId="2256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319"/>
          </reference>
        </references>
      </pivotArea>
    </format>
    <format dxfId="2255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340"/>
          </reference>
        </references>
      </pivotArea>
    </format>
    <format dxfId="2254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0"/>
          </reference>
          <reference field="3" count="1" selected="0">
            <x v="213"/>
          </reference>
        </references>
      </pivotArea>
    </format>
    <format dxfId="2253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0"/>
          </reference>
          <reference field="3" count="1" selected="0">
            <x v="221"/>
          </reference>
        </references>
      </pivotArea>
    </format>
    <format dxfId="2252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2251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0"/>
          </reference>
          <reference field="3" count="1" selected="0">
            <x v="227"/>
          </reference>
        </references>
      </pivotArea>
    </format>
    <format dxfId="2250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2249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"/>
          </reference>
          <reference field="3" count="1" selected="0">
            <x v="233"/>
          </reference>
        </references>
      </pivotArea>
    </format>
    <format dxfId="2248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"/>
          </reference>
          <reference field="3" count="1" selected="0">
            <x v="237"/>
          </reference>
        </references>
      </pivotArea>
    </format>
    <format dxfId="2247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"/>
          </reference>
          <reference field="3" count="1" selected="0">
            <x v="243"/>
          </reference>
        </references>
      </pivotArea>
    </format>
    <format dxfId="2246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2"/>
          </reference>
          <reference field="3" count="1" selected="0">
            <x v="248"/>
          </reference>
        </references>
      </pivotArea>
    </format>
    <format dxfId="2245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2"/>
          </reference>
          <reference field="3" count="1" selected="0">
            <x v="250"/>
          </reference>
        </references>
      </pivotArea>
    </format>
    <format dxfId="2244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2243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2"/>
          </reference>
          <reference field="3" count="1" selected="0">
            <x v="254"/>
          </reference>
        </references>
      </pivotArea>
    </format>
    <format dxfId="2242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2241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3"/>
          </reference>
          <reference field="3" count="1" selected="0">
            <x v="257"/>
          </reference>
        </references>
      </pivotArea>
    </format>
    <format dxfId="2240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3"/>
          </reference>
          <reference field="3" count="1" selected="0">
            <x v="276"/>
          </reference>
        </references>
      </pivotArea>
    </format>
    <format dxfId="2239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4"/>
          </reference>
          <reference field="3" count="1" selected="0">
            <x v="229"/>
          </reference>
        </references>
      </pivotArea>
    </format>
    <format dxfId="2238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4"/>
          </reference>
          <reference field="3" count="1" selected="0">
            <x v="287"/>
          </reference>
        </references>
      </pivotArea>
    </format>
    <format dxfId="2237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5"/>
          </reference>
          <reference field="3" count="1" selected="0">
            <x v="258"/>
          </reference>
        </references>
      </pivotArea>
    </format>
    <format dxfId="2236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5"/>
          </reference>
          <reference field="3" count="1" selected="0">
            <x v="297"/>
          </reference>
        </references>
      </pivotArea>
    </format>
    <format dxfId="2235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6"/>
          </reference>
          <reference field="3" count="1" selected="0">
            <x v="233"/>
          </reference>
        </references>
      </pivotArea>
    </format>
    <format dxfId="2234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6"/>
          </reference>
          <reference field="3" count="1" selected="0">
            <x v="313"/>
          </reference>
        </references>
      </pivotArea>
    </format>
    <format dxfId="2233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7"/>
          </reference>
          <reference field="3" count="1" selected="0">
            <x v="237"/>
          </reference>
        </references>
      </pivotArea>
    </format>
    <format dxfId="2232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8"/>
          </reference>
          <reference field="3" count="1" selected="0">
            <x v="23"/>
          </reference>
        </references>
      </pivotArea>
    </format>
    <format dxfId="2231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8"/>
          </reference>
          <reference field="3" count="1" selected="0">
            <x v="281"/>
          </reference>
        </references>
      </pivotArea>
    </format>
    <format dxfId="2230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2229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9"/>
          </reference>
          <reference field="3" count="1" selected="0">
            <x v="231"/>
          </reference>
        </references>
      </pivotArea>
    </format>
    <format dxfId="2228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0"/>
          </reference>
          <reference field="3" count="1" selected="0">
            <x v="270"/>
          </reference>
        </references>
      </pivotArea>
    </format>
    <format dxfId="2227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2226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0"/>
          </reference>
          <reference field="3" count="1" selected="0">
            <x v="344"/>
          </reference>
        </references>
      </pivotArea>
    </format>
    <format dxfId="2225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2224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223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273"/>
          </reference>
        </references>
      </pivotArea>
    </format>
    <format dxfId="2222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2221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3"/>
          </reference>
          <reference field="3" count="1" selected="0">
            <x v="282"/>
          </reference>
        </references>
      </pivotArea>
    </format>
    <format dxfId="2220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4"/>
          </reference>
          <reference field="3" count="1" selected="0">
            <x v="319"/>
          </reference>
        </references>
      </pivotArea>
    </format>
    <format dxfId="2219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223"/>
          </reference>
        </references>
      </pivotArea>
    </format>
    <format dxfId="2218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2217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216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50"/>
          </reference>
        </references>
      </pivotArea>
    </format>
    <format dxfId="2215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54"/>
          </reference>
        </references>
      </pivotArea>
    </format>
    <format dxfId="2214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2213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2212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273"/>
          </reference>
        </references>
      </pivotArea>
    </format>
    <format dxfId="2211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285"/>
          </reference>
        </references>
      </pivotArea>
    </format>
    <format dxfId="2210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23"/>
          </reference>
        </references>
      </pivotArea>
    </format>
    <format dxfId="2209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226"/>
          </reference>
        </references>
      </pivotArea>
    </format>
    <format dxfId="2208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277"/>
          </reference>
        </references>
      </pivotArea>
    </format>
    <format dxfId="2207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314"/>
          </reference>
        </references>
      </pivotArea>
    </format>
    <format dxfId="2206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318"/>
          </reference>
        </references>
      </pivotArea>
    </format>
    <format dxfId="2205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264"/>
          </reference>
        </references>
      </pivotArea>
    </format>
    <format dxfId="2204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300"/>
          </reference>
        </references>
      </pivotArea>
    </format>
    <format dxfId="2203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288"/>
          </reference>
        </references>
      </pivotArea>
    </format>
    <format dxfId="2202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2201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228"/>
          </reference>
        </references>
      </pivotArea>
    </format>
    <format dxfId="2200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199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2198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2197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350"/>
          </reference>
        </references>
      </pivotArea>
    </format>
    <format dxfId="2196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17"/>
          </reference>
        </references>
      </pivotArea>
    </format>
    <format dxfId="2195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70"/>
          </reference>
        </references>
      </pivotArea>
    </format>
    <format dxfId="2194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317"/>
          </reference>
        </references>
      </pivotArea>
    </format>
    <format dxfId="2193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2192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48"/>
          </reference>
        </references>
      </pivotArea>
    </format>
    <format dxfId="2191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96"/>
          </reference>
        </references>
      </pivotArea>
    </format>
    <format dxfId="2190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2189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2188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0"/>
          </reference>
          <reference field="3" count="1" selected="0">
            <x v="217"/>
          </reference>
        </references>
      </pivotArea>
    </format>
    <format dxfId="2187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0"/>
          </reference>
          <reference field="3" count="1" selected="0">
            <x v="228"/>
          </reference>
        </references>
      </pivotArea>
    </format>
    <format dxfId="2186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2185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"/>
          </reference>
          <reference field="3" count="1" selected="0">
            <x v="231"/>
          </reference>
        </references>
      </pivotArea>
    </format>
    <format dxfId="2184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"/>
          </reference>
          <reference field="3" count="1" selected="0">
            <x v="238"/>
          </reference>
        </references>
      </pivotArea>
    </format>
    <format dxfId="2183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2"/>
          </reference>
          <reference field="3" count="1" selected="0">
            <x v="242"/>
          </reference>
        </references>
      </pivotArea>
    </format>
    <format dxfId="2182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181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2180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2"/>
          </reference>
          <reference field="3" count="1" selected="0">
            <x v="252"/>
          </reference>
        </references>
      </pivotArea>
    </format>
    <format dxfId="2179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2"/>
          </reference>
          <reference field="3" count="1" selected="0">
            <x v="254"/>
          </reference>
        </references>
      </pivotArea>
    </format>
    <format dxfId="2178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2177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4"/>
          </reference>
          <reference field="3" count="1" selected="0">
            <x v="278"/>
          </reference>
        </references>
      </pivotArea>
    </format>
    <format dxfId="2176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6"/>
          </reference>
          <reference field="3" count="1" selected="0">
            <x v="259"/>
          </reference>
        </references>
      </pivotArea>
    </format>
    <format dxfId="2175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6"/>
          </reference>
          <reference field="3" count="1" selected="0">
            <x v="261"/>
          </reference>
        </references>
      </pivotArea>
    </format>
    <format dxfId="2174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2173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7"/>
          </reference>
          <reference field="3" count="1" selected="0">
            <x v="249"/>
          </reference>
        </references>
      </pivotArea>
    </format>
    <format dxfId="2172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7"/>
          </reference>
          <reference field="3" count="1" selected="0">
            <x v="289"/>
          </reference>
        </references>
      </pivotArea>
    </format>
    <format dxfId="2171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2170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2169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8"/>
          </reference>
          <reference field="3" count="1" selected="0">
            <x v="264"/>
          </reference>
        </references>
      </pivotArea>
    </format>
    <format dxfId="2168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0"/>
          </reference>
          <reference field="3" count="1" selected="0">
            <x v="260"/>
          </reference>
        </references>
      </pivotArea>
    </format>
    <format dxfId="2167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0"/>
          </reference>
          <reference field="3" count="1" selected="0">
            <x v="291"/>
          </reference>
        </references>
      </pivotArea>
    </format>
    <format dxfId="2166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0"/>
          </reference>
          <reference field="3" count="1" selected="0">
            <x v="343"/>
          </reference>
        </references>
      </pivotArea>
    </format>
    <format dxfId="2165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1"/>
          </reference>
          <reference field="3" count="1" selected="0">
            <x v="228"/>
          </reference>
        </references>
      </pivotArea>
    </format>
    <format dxfId="2164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1"/>
          </reference>
          <reference field="3" count="1" selected="0">
            <x v="295"/>
          </reference>
        </references>
      </pivotArea>
    </format>
    <format dxfId="2163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1"/>
          </reference>
          <reference field="3" count="1" selected="0">
            <x v="329"/>
          </reference>
        </references>
      </pivotArea>
    </format>
    <format dxfId="2162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161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2160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3"/>
          </reference>
          <reference field="3" count="1" selected="0">
            <x v="315"/>
          </reference>
        </references>
      </pivotArea>
    </format>
    <format dxfId="2159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4"/>
          </reference>
          <reference field="3" count="1" selected="0">
            <x v="246"/>
          </reference>
        </references>
      </pivotArea>
    </format>
    <format dxfId="2158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4"/>
          </reference>
          <reference field="3" count="1" selected="0">
            <x v="249"/>
          </reference>
        </references>
      </pivotArea>
    </format>
    <format dxfId="2157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4"/>
          </reference>
          <reference field="3" count="1" selected="0">
            <x v="262"/>
          </reference>
        </references>
      </pivotArea>
    </format>
    <format dxfId="2156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2155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2154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0"/>
          </reference>
          <reference field="3" count="1" selected="0">
            <x v="221"/>
          </reference>
        </references>
      </pivotArea>
    </format>
    <format dxfId="2153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2152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2"/>
          </reference>
          <reference field="3" count="1" selected="0">
            <x v="249"/>
          </reference>
        </references>
      </pivotArea>
    </format>
    <format dxfId="2151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2"/>
          </reference>
          <reference field="3" count="1" selected="0">
            <x v="252"/>
          </reference>
        </references>
      </pivotArea>
    </format>
    <format dxfId="2150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3"/>
          </reference>
          <reference field="3" count="1" selected="0">
            <x v="245"/>
          </reference>
        </references>
      </pivotArea>
    </format>
    <format dxfId="2149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3"/>
          </reference>
          <reference field="3" count="1" selected="0">
            <x v="265"/>
          </reference>
        </references>
      </pivotArea>
    </format>
    <format dxfId="2148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3"/>
          </reference>
          <reference field="3" count="1" selected="0">
            <x v="280"/>
          </reference>
        </references>
      </pivotArea>
    </format>
    <format dxfId="2147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4"/>
          </reference>
          <reference field="3" count="1" selected="0">
            <x v="292"/>
          </reference>
        </references>
      </pivotArea>
    </format>
    <format dxfId="2146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5"/>
          </reference>
          <reference field="3" count="1" selected="0">
            <x v="253"/>
          </reference>
        </references>
      </pivotArea>
    </format>
    <format dxfId="2145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5"/>
          </reference>
          <reference field="3" count="1" selected="0">
            <x v="293"/>
          </reference>
        </references>
      </pivotArea>
    </format>
    <format dxfId="2144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7"/>
          </reference>
          <reference field="3" count="1" selected="0">
            <x v="256"/>
          </reference>
        </references>
      </pivotArea>
    </format>
    <format dxfId="2143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8"/>
          </reference>
          <reference field="3" count="1" selected="0">
            <x v="240"/>
          </reference>
        </references>
      </pivotArea>
    </format>
    <format dxfId="2142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2141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8"/>
          </reference>
          <reference field="3" count="1" selected="0">
            <x v="300"/>
          </reference>
        </references>
      </pivotArea>
    </format>
    <format dxfId="2140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2139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2138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2"/>
          </reference>
          <reference field="3" count="1" selected="0">
            <x v="283"/>
          </reference>
        </references>
      </pivotArea>
    </format>
    <format dxfId="2137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2"/>
          </reference>
          <reference field="3" count="1" selected="0">
            <x v="297"/>
          </reference>
        </references>
      </pivotArea>
    </format>
    <format dxfId="2136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2135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2134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2133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4"/>
          </reference>
          <reference field="3" count="1" selected="0">
            <x v="306"/>
          </reference>
        </references>
      </pivotArea>
    </format>
    <format dxfId="2132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4"/>
          </reference>
          <reference field="3" count="1" selected="0">
            <x v="320"/>
          </reference>
        </references>
      </pivotArea>
    </format>
    <format dxfId="2131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2130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0"/>
          </reference>
          <reference field="3" count="1" selected="0">
            <x v="217"/>
          </reference>
        </references>
      </pivotArea>
    </format>
    <format dxfId="2129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0"/>
          </reference>
          <reference field="3" count="1" selected="0">
            <x v="220"/>
          </reference>
        </references>
      </pivotArea>
    </format>
    <format dxfId="2128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0"/>
          </reference>
          <reference field="3" count="1" selected="0">
            <x v="228"/>
          </reference>
        </references>
      </pivotArea>
    </format>
    <format dxfId="2127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"/>
          </reference>
          <reference field="3" count="1" selected="0">
            <x v="234"/>
          </reference>
        </references>
      </pivotArea>
    </format>
    <format dxfId="2126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125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2124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253"/>
          </reference>
        </references>
      </pivotArea>
    </format>
    <format dxfId="2123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249"/>
          </reference>
        </references>
      </pivotArea>
    </format>
    <format dxfId="2122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286"/>
          </reference>
        </references>
      </pivotArea>
    </format>
    <format dxfId="2121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5"/>
          </reference>
          <reference field="3" count="1" selected="0">
            <x v="245"/>
          </reference>
        </references>
      </pivotArea>
    </format>
    <format dxfId="2120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5"/>
          </reference>
          <reference field="3" count="1" selected="0">
            <x v="253"/>
          </reference>
        </references>
      </pivotArea>
    </format>
    <format dxfId="2119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2118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7"/>
          </reference>
          <reference field="3" count="1" selected="0">
            <x v="329"/>
          </reference>
        </references>
      </pivotArea>
    </format>
    <format dxfId="2117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8"/>
          </reference>
          <reference field="3" count="1" selected="0">
            <x v="332"/>
          </reference>
        </references>
      </pivotArea>
    </format>
    <format dxfId="2116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0"/>
          </reference>
          <reference field="3" count="1" selected="0">
            <x v="288"/>
          </reference>
        </references>
      </pivotArea>
    </format>
    <format dxfId="2115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0"/>
          </reference>
          <reference field="3" count="1" selected="0">
            <x v="290"/>
          </reference>
        </references>
      </pivotArea>
    </format>
    <format dxfId="2114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113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2112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3"/>
          </reference>
          <reference field="3" count="1" selected="0">
            <x v="299"/>
          </reference>
        </references>
      </pivotArea>
    </format>
    <format dxfId="2111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3"/>
          </reference>
          <reference field="3" count="1" selected="0">
            <x v="354"/>
          </reference>
        </references>
      </pivotArea>
    </format>
    <format dxfId="2110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2109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4"/>
          </reference>
          <reference field="3" count="1" selected="0">
            <x v="269"/>
          </reference>
        </references>
      </pivotArea>
    </format>
    <format dxfId="2108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2107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0"/>
          </reference>
          <reference field="3" count="1" selected="0">
            <x v="228"/>
          </reference>
        </references>
      </pivotArea>
    </format>
    <format dxfId="2106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0"/>
          </reference>
          <reference field="3" count="1" selected="0">
            <x v="230"/>
          </reference>
        </references>
      </pivotArea>
    </format>
    <format dxfId="2105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"/>
          </reference>
          <reference field="3" count="1" selected="0">
            <x v="221"/>
          </reference>
        </references>
      </pivotArea>
    </format>
    <format dxfId="2104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2"/>
          </reference>
          <reference field="3" count="1" selected="0">
            <x v="224"/>
          </reference>
        </references>
      </pivotArea>
    </format>
    <format dxfId="2103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2102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2101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100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2099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3"/>
          </reference>
          <reference field="3" count="1" selected="0">
            <x v="271"/>
          </reference>
        </references>
      </pivotArea>
    </format>
    <format dxfId="2098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4"/>
          </reference>
          <reference field="3" count="1" selected="0">
            <x v="278"/>
          </reference>
        </references>
      </pivotArea>
    </format>
    <format dxfId="2097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5"/>
          </reference>
          <reference field="3" count="1" selected="0">
            <x v="223"/>
          </reference>
        </references>
      </pivotArea>
    </format>
    <format dxfId="2096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2095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6"/>
          </reference>
          <reference field="3" count="1" selected="0">
            <x v="238"/>
          </reference>
        </references>
      </pivotArea>
    </format>
    <format dxfId="2094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6"/>
          </reference>
          <reference field="3" count="1" selected="0">
            <x v="283"/>
          </reference>
        </references>
      </pivotArea>
    </format>
    <format dxfId="2093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8"/>
          </reference>
          <reference field="3" count="1" selected="0">
            <x v="222"/>
          </reference>
        </references>
      </pivotArea>
    </format>
    <format dxfId="2092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8"/>
          </reference>
          <reference field="3" count="1" selected="0">
            <x v="264"/>
          </reference>
        </references>
      </pivotArea>
    </format>
    <format dxfId="2091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2090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8"/>
          </reference>
          <reference field="3" count="1" selected="0">
            <x v="327"/>
          </reference>
        </references>
      </pivotArea>
    </format>
    <format dxfId="2089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2088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9"/>
          </reference>
          <reference field="3" count="1" selected="0">
            <x v="284"/>
          </reference>
        </references>
      </pivotArea>
    </format>
    <format dxfId="2087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2086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085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1"/>
          </reference>
          <reference field="3" count="1" selected="0">
            <x v="295"/>
          </reference>
        </references>
      </pivotArea>
    </format>
    <format dxfId="2084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083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2"/>
          </reference>
          <reference field="3" count="1" selected="0">
            <x v="253"/>
          </reference>
        </references>
      </pivotArea>
    </format>
    <format dxfId="2082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2"/>
          </reference>
          <reference field="3" count="1" selected="0">
            <x v="324"/>
          </reference>
        </references>
      </pivotArea>
    </format>
    <format dxfId="2081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2080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2079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3"/>
          </reference>
          <reference field="3" count="1" selected="0">
            <x v="282"/>
          </reference>
        </references>
      </pivotArea>
    </format>
    <format dxfId="2078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2077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2076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2075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2"/>
          </reference>
          <reference field="3" count="1" selected="0">
            <x v="245"/>
          </reference>
        </references>
      </pivotArea>
    </format>
    <format dxfId="2074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2073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2"/>
          </reference>
          <reference field="3" count="1" selected="0">
            <x v="249"/>
          </reference>
        </references>
      </pivotArea>
    </format>
    <format dxfId="2072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2"/>
          </reference>
          <reference field="3" count="1" selected="0">
            <x v="252"/>
          </reference>
        </references>
      </pivotArea>
    </format>
    <format dxfId="2071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2"/>
          </reference>
          <reference field="3" count="1" selected="0">
            <x v="253"/>
          </reference>
        </references>
      </pivotArea>
    </format>
    <format dxfId="2070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3"/>
          </reference>
          <reference field="3" count="1" selected="0">
            <x v="216"/>
          </reference>
        </references>
      </pivotArea>
    </format>
    <format dxfId="2069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2068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3"/>
          </reference>
          <reference field="3" count="1" selected="0">
            <x v="256"/>
          </reference>
        </references>
      </pivotArea>
    </format>
    <format dxfId="2067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2066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4"/>
          </reference>
          <reference field="3" count="1" selected="0">
            <x v="265"/>
          </reference>
        </references>
      </pivotArea>
    </format>
    <format dxfId="2065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4"/>
          </reference>
          <reference field="3" count="1" selected="0">
            <x v="285"/>
          </reference>
        </references>
      </pivotArea>
    </format>
    <format dxfId="2064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2063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6"/>
          </reference>
          <reference field="3" count="1" selected="0">
            <x v="309"/>
          </reference>
        </references>
      </pivotArea>
    </format>
    <format dxfId="2062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7"/>
          </reference>
          <reference field="3" count="1" selected="0">
            <x v="289"/>
          </reference>
        </references>
      </pivotArea>
    </format>
    <format dxfId="2061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7"/>
          </reference>
          <reference field="3" count="1" selected="0">
            <x v="325"/>
          </reference>
        </references>
      </pivotArea>
    </format>
    <format dxfId="2060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7"/>
          </reference>
          <reference field="3" count="1" selected="0">
            <x v="328"/>
          </reference>
        </references>
      </pivotArea>
    </format>
    <format dxfId="2059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8"/>
          </reference>
          <reference field="3" count="1" selected="0">
            <x v="240"/>
          </reference>
        </references>
      </pivotArea>
    </format>
    <format dxfId="2058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8"/>
          </reference>
          <reference field="3" count="1" selected="0">
            <x v="300"/>
          </reference>
        </references>
      </pivotArea>
    </format>
    <format dxfId="2057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2056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1"/>
          </reference>
          <reference field="3" count="1" selected="0">
            <x v="327"/>
          </reference>
        </references>
      </pivotArea>
    </format>
    <format dxfId="2055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1"/>
          </reference>
          <reference field="3" count="1" selected="0">
            <x v="342"/>
          </reference>
        </references>
      </pivotArea>
    </format>
    <format dxfId="2054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053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2"/>
          </reference>
          <reference field="3" count="1" selected="0">
            <x v="213"/>
          </reference>
        </references>
      </pivotArea>
    </format>
    <format dxfId="2052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2"/>
          </reference>
          <reference field="3" count="1" selected="0">
            <x v="316"/>
          </reference>
        </references>
      </pivotArea>
    </format>
    <format dxfId="2051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3"/>
          </reference>
          <reference field="3" count="1" selected="0">
            <x v="232"/>
          </reference>
        </references>
      </pivotArea>
    </format>
    <format dxfId="2050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3"/>
          </reference>
          <reference field="3" count="1" selected="0">
            <x v="237"/>
          </reference>
        </references>
      </pivotArea>
    </format>
    <format dxfId="2049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3"/>
          </reference>
          <reference field="3" count="1" selected="0">
            <x v="266"/>
          </reference>
        </references>
      </pivotArea>
    </format>
    <format dxfId="2048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0"/>
          </reference>
          <reference field="3" count="1" selected="0">
            <x v="213"/>
          </reference>
        </references>
      </pivotArea>
    </format>
    <format dxfId="2047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0"/>
          </reference>
          <reference field="3" count="1" selected="0">
            <x v="215"/>
          </reference>
        </references>
      </pivotArea>
    </format>
    <format dxfId="2046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2045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2044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0"/>
          </reference>
          <reference field="3" count="1" selected="0">
            <x v="227"/>
          </reference>
        </references>
      </pivotArea>
    </format>
    <format dxfId="2043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2042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2041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2040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2039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2038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5"/>
          </reference>
          <reference field="3" count="1" selected="0">
            <x v="233"/>
          </reference>
        </references>
      </pivotArea>
    </format>
    <format dxfId="2037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5"/>
          </reference>
          <reference field="3" count="1" selected="0">
            <x v="294"/>
          </reference>
        </references>
      </pivotArea>
    </format>
    <format dxfId="2036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2035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7"/>
          </reference>
          <reference field="3" count="1" selected="0">
            <x v="240"/>
          </reference>
        </references>
      </pivotArea>
    </format>
    <format dxfId="2034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7"/>
          </reference>
          <reference field="3" count="1" selected="0">
            <x v="262"/>
          </reference>
        </references>
      </pivotArea>
    </format>
    <format dxfId="2033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7"/>
          </reference>
          <reference field="3" count="1" selected="0">
            <x v="307"/>
          </reference>
        </references>
      </pivotArea>
    </format>
    <format dxfId="2032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7"/>
          </reference>
          <reference field="3" count="1" selected="0">
            <x v="328"/>
          </reference>
        </references>
      </pivotArea>
    </format>
    <format dxfId="2031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2030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2029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2028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9"/>
          </reference>
          <reference field="3" count="1" selected="0">
            <x v="246"/>
          </reference>
        </references>
      </pivotArea>
    </format>
    <format dxfId="2027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9"/>
          </reference>
          <reference field="3" count="1" selected="0">
            <x v="256"/>
          </reference>
        </references>
      </pivotArea>
    </format>
    <format dxfId="2026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9"/>
          </reference>
          <reference field="3" count="1" selected="0">
            <x v="332"/>
          </reference>
        </references>
      </pivotArea>
    </format>
    <format dxfId="2025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9"/>
          </reference>
          <reference field="3" count="1" selected="0">
            <x v="334"/>
          </reference>
        </references>
      </pivotArea>
    </format>
    <format dxfId="2024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0"/>
          </reference>
          <reference field="3" count="1" selected="0">
            <x v="270"/>
          </reference>
        </references>
      </pivotArea>
    </format>
    <format dxfId="2023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0"/>
          </reference>
          <reference field="3" count="1" selected="0">
            <x v="290"/>
          </reference>
        </references>
      </pivotArea>
    </format>
    <format dxfId="2022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0"/>
          </reference>
          <reference field="3" count="1" selected="0">
            <x v="342"/>
          </reference>
        </references>
      </pivotArea>
    </format>
    <format dxfId="2021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020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2019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2"/>
          </reference>
          <reference field="3" count="1" selected="0">
            <x v="255"/>
          </reference>
        </references>
      </pivotArea>
    </format>
    <format dxfId="2018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2017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2"/>
          </reference>
          <reference field="3" count="1" selected="0">
            <x v="297"/>
          </reference>
        </references>
      </pivotArea>
    </format>
    <format dxfId="2016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2"/>
          </reference>
          <reference field="3" count="1" selected="0">
            <x v="351"/>
          </reference>
        </references>
      </pivotArea>
    </format>
    <format dxfId="2015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2014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2013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0"/>
          </reference>
          <reference field="3" count="1" selected="0">
            <x v="221"/>
          </reference>
        </references>
      </pivotArea>
    </format>
    <format dxfId="2012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0"/>
          </reference>
          <reference field="3" count="1" selected="0">
            <x v="223"/>
          </reference>
        </references>
      </pivotArea>
    </format>
    <format dxfId="2011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"/>
          </reference>
          <reference field="3" count="1" selected="0">
            <x v="217"/>
          </reference>
        </references>
      </pivotArea>
    </format>
    <format dxfId="2010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"/>
          </reference>
          <reference field="3" count="1" selected="0">
            <x v="241"/>
          </reference>
        </references>
      </pivotArea>
    </format>
    <format dxfId="2009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"/>
          </reference>
          <reference field="3" count="1" selected="0">
            <x v="242"/>
          </reference>
        </references>
      </pivotArea>
    </format>
    <format dxfId="2008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2007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3"/>
          </reference>
          <reference field="3" count="1" selected="0">
            <x v="224"/>
          </reference>
        </references>
      </pivotArea>
    </format>
    <format dxfId="2006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2005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3"/>
          </reference>
          <reference field="3" count="1" selected="0">
            <x v="256"/>
          </reference>
        </references>
      </pivotArea>
    </format>
    <format dxfId="2004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2003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5"/>
          </reference>
          <reference field="3" count="1" selected="0">
            <x v="223"/>
          </reference>
        </references>
      </pivotArea>
    </format>
    <format dxfId="2002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5"/>
          </reference>
          <reference field="3" count="1" selected="0">
            <x v="233"/>
          </reference>
        </references>
      </pivotArea>
    </format>
    <format dxfId="2001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5"/>
          </reference>
          <reference field="3" count="1" selected="0">
            <x v="253"/>
          </reference>
        </references>
      </pivotArea>
    </format>
    <format dxfId="2000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5"/>
          </reference>
          <reference field="3" count="1" selected="0">
            <x v="299"/>
          </reference>
        </references>
      </pivotArea>
    </format>
    <format dxfId="1999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7"/>
          </reference>
          <reference field="3" count="1" selected="0">
            <x v="224"/>
          </reference>
        </references>
      </pivotArea>
    </format>
    <format dxfId="1998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0"/>
          </reference>
          <reference field="3" count="1" selected="0">
            <x v="243"/>
          </reference>
        </references>
      </pivotArea>
    </format>
    <format dxfId="1997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0"/>
          </reference>
          <reference field="3" count="1" selected="0">
            <x v="268"/>
          </reference>
        </references>
      </pivotArea>
    </format>
    <format dxfId="1996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995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994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"/>
          </reference>
          <reference field="3" count="1" selected="0">
            <x v="221"/>
          </reference>
        </references>
      </pivotArea>
    </format>
    <format dxfId="1993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2"/>
          </reference>
          <reference field="3" count="1" selected="0">
            <x v="224"/>
          </reference>
        </references>
      </pivotArea>
    </format>
    <format dxfId="1992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991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2"/>
          </reference>
          <reference field="3" count="1" selected="0">
            <x v="248"/>
          </reference>
        </references>
      </pivotArea>
    </format>
    <format dxfId="1990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2"/>
          </reference>
          <reference field="3" count="1" selected="0">
            <x v="250"/>
          </reference>
        </references>
      </pivotArea>
    </format>
    <format dxfId="1989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2"/>
          </reference>
          <reference field="3" count="1" selected="0">
            <x v="252"/>
          </reference>
        </references>
      </pivotArea>
    </format>
    <format dxfId="1988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3"/>
          </reference>
          <reference field="3" count="1" selected="0">
            <x v="256"/>
          </reference>
        </references>
      </pivotArea>
    </format>
    <format dxfId="1987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986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3"/>
          </reference>
          <reference field="3" count="1" selected="0">
            <x v="266"/>
          </reference>
        </references>
      </pivotArea>
    </format>
    <format dxfId="1985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3"/>
          </reference>
          <reference field="3" count="1" selected="0">
            <x v="269"/>
          </reference>
        </references>
      </pivotArea>
    </format>
    <format dxfId="1984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3"/>
          </reference>
          <reference field="3" count="1" selected="0">
            <x v="279"/>
          </reference>
        </references>
      </pivotArea>
    </format>
    <format dxfId="1983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5"/>
          </reference>
          <reference field="3" count="1" selected="0">
            <x v="258"/>
          </reference>
        </references>
      </pivotArea>
    </format>
    <format dxfId="1982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5"/>
          </reference>
          <reference field="3" count="1" selected="0">
            <x v="298"/>
          </reference>
        </references>
      </pivotArea>
    </format>
    <format dxfId="1981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7"/>
          </reference>
          <reference field="3" count="1" selected="0">
            <x v="232"/>
          </reference>
        </references>
      </pivotArea>
    </format>
    <format dxfId="1980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7"/>
          </reference>
          <reference field="3" count="1" selected="0">
            <x v="326"/>
          </reference>
        </references>
      </pivotArea>
    </format>
    <format dxfId="1979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8"/>
          </reference>
          <reference field="3" count="1" selected="0">
            <x v="286"/>
          </reference>
        </references>
      </pivotArea>
    </format>
    <format dxfId="1978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9"/>
          </reference>
          <reference field="3" count="1" selected="0">
            <x v="313"/>
          </reference>
        </references>
      </pivotArea>
    </format>
    <format dxfId="1977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9"/>
          </reference>
          <reference field="3" count="1" selected="0">
            <x v="335"/>
          </reference>
        </references>
      </pivotArea>
    </format>
    <format dxfId="1976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0"/>
          </reference>
          <reference field="3" count="1" selected="0">
            <x v="23"/>
          </reference>
        </references>
      </pivotArea>
    </format>
    <format dxfId="1975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0"/>
          </reference>
          <reference field="3" count="1" selected="0">
            <x v="339"/>
          </reference>
        </references>
      </pivotArea>
    </format>
    <format dxfId="1974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973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2"/>
          </reference>
          <reference field="3" count="1" selected="0">
            <x v="257"/>
          </reference>
        </references>
      </pivotArea>
    </format>
    <format dxfId="1972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971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1970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3"/>
          </reference>
          <reference field="3" count="1" selected="0">
            <x v="319"/>
          </reference>
        </references>
      </pivotArea>
    </format>
    <format dxfId="1969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968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1967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966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"/>
          </reference>
          <reference field="3" count="1" selected="0">
            <x v="217"/>
          </reference>
        </references>
      </pivotArea>
    </format>
    <format dxfId="1965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"/>
          </reference>
          <reference field="3" count="1" selected="0">
            <x v="242"/>
          </reference>
        </references>
      </pivotArea>
    </format>
    <format dxfId="1964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963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962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2"/>
          </reference>
          <reference field="3" count="1" selected="0">
            <x v="252"/>
          </reference>
        </references>
      </pivotArea>
    </format>
    <format dxfId="1961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960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6"/>
          </reference>
          <reference field="3" count="1" selected="0">
            <x v="217"/>
          </reference>
        </references>
      </pivotArea>
    </format>
    <format dxfId="1959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958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7"/>
          </reference>
          <reference field="3" count="1" selected="0">
            <x v="252"/>
          </reference>
        </references>
      </pivotArea>
    </format>
    <format dxfId="1957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8"/>
          </reference>
          <reference field="3" count="1" selected="0">
            <x v="262"/>
          </reference>
        </references>
      </pivotArea>
    </format>
    <format dxfId="1956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8"/>
          </reference>
          <reference field="3" count="1" selected="0">
            <x v="326"/>
          </reference>
        </references>
      </pivotArea>
    </format>
    <format dxfId="1955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8"/>
          </reference>
          <reference field="3" count="1" selected="0">
            <x v="331"/>
          </reference>
        </references>
      </pivotArea>
    </format>
    <format dxfId="1954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9"/>
          </reference>
          <reference field="3" count="1" selected="0">
            <x v="225"/>
          </reference>
        </references>
      </pivotArea>
    </format>
    <format dxfId="1953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9"/>
          </reference>
          <reference field="3" count="1" selected="0">
            <x v="334"/>
          </reference>
        </references>
      </pivotArea>
    </format>
    <format dxfId="1952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951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0"/>
          </reference>
          <reference field="3" count="1" selected="0">
            <x v="343"/>
          </reference>
        </references>
      </pivotArea>
    </format>
    <format dxfId="1950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1"/>
          </reference>
          <reference field="3" count="1" selected="0">
            <x v="329"/>
          </reference>
        </references>
      </pivotArea>
    </format>
    <format dxfId="1949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3"/>
          </reference>
          <reference field="3" count="1" selected="0">
            <x v="217"/>
          </reference>
        </references>
      </pivotArea>
    </format>
    <format dxfId="1948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3"/>
          </reference>
          <reference field="3" count="1" selected="0">
            <x v="294"/>
          </reference>
        </references>
      </pivotArea>
    </format>
    <format dxfId="1947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3"/>
          </reference>
          <reference field="3" count="1" selected="0">
            <x v="353"/>
          </reference>
        </references>
      </pivotArea>
    </format>
    <format dxfId="1946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945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1944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943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0"/>
          </reference>
          <reference field="3" count="1" selected="0">
            <x v="225"/>
          </reference>
        </references>
      </pivotArea>
    </format>
    <format dxfId="1942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"/>
          </reference>
          <reference field="3" count="1" selected="0">
            <x v="217"/>
          </reference>
        </references>
      </pivotArea>
    </format>
    <format dxfId="1941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"/>
          </reference>
          <reference field="3" count="1" selected="0">
            <x v="232"/>
          </reference>
        </references>
      </pivotArea>
    </format>
    <format dxfId="1940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"/>
          </reference>
          <reference field="3" count="1" selected="0">
            <x v="233"/>
          </reference>
        </references>
      </pivotArea>
    </format>
    <format dxfId="1939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"/>
          </reference>
          <reference field="3" count="1" selected="0">
            <x v="243"/>
          </reference>
        </references>
      </pivotArea>
    </format>
    <format dxfId="1938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2"/>
          </reference>
          <reference field="3" count="1" selected="0">
            <x v="224"/>
          </reference>
        </references>
      </pivotArea>
    </format>
    <format dxfId="1937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936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935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1934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933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2"/>
          </reference>
          <reference field="3" count="1" selected="0">
            <x v="248"/>
          </reference>
        </references>
      </pivotArea>
    </format>
    <format dxfId="1932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931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3"/>
          </reference>
          <reference field="3" count="1" selected="0">
            <x v="269"/>
          </reference>
        </references>
      </pivotArea>
    </format>
    <format dxfId="1930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4"/>
          </reference>
          <reference field="3" count="1" selected="0">
            <x v="279"/>
          </reference>
        </references>
      </pivotArea>
    </format>
    <format dxfId="1929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4"/>
          </reference>
          <reference field="3" count="1" selected="0">
            <x v="292"/>
          </reference>
        </references>
      </pivotArea>
    </format>
    <format dxfId="1928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5"/>
          </reference>
          <reference field="3" count="1" selected="0">
            <x v="245"/>
          </reference>
        </references>
      </pivotArea>
    </format>
    <format dxfId="1927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5"/>
          </reference>
          <reference field="3" count="1" selected="0">
            <x v="294"/>
          </reference>
        </references>
      </pivotArea>
    </format>
    <format dxfId="1926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5"/>
          </reference>
          <reference field="3" count="1" selected="0">
            <x v="295"/>
          </reference>
        </references>
      </pivotArea>
    </format>
    <format dxfId="1925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7"/>
          </reference>
          <reference field="3" count="1" selected="0">
            <x v="226"/>
          </reference>
        </references>
      </pivotArea>
    </format>
    <format dxfId="1924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7"/>
          </reference>
          <reference field="3" count="1" selected="0">
            <x v="289"/>
          </reference>
        </references>
      </pivotArea>
    </format>
    <format dxfId="1923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7"/>
          </reference>
          <reference field="3" count="1" selected="0">
            <x v="320"/>
          </reference>
        </references>
      </pivotArea>
    </format>
    <format dxfId="1922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8"/>
          </reference>
          <reference field="3" count="1" selected="0">
            <x v="264"/>
          </reference>
        </references>
      </pivotArea>
    </format>
    <format dxfId="1921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920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919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9"/>
          </reference>
          <reference field="3" count="1" selected="0">
            <x v="231"/>
          </reference>
        </references>
      </pivotArea>
    </format>
    <format dxfId="1918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9"/>
          </reference>
          <reference field="3" count="1" selected="0">
            <x v="269"/>
          </reference>
        </references>
      </pivotArea>
    </format>
    <format dxfId="1917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916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915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1914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913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2"/>
          </reference>
          <reference field="3" count="1" selected="0">
            <x v="256"/>
          </reference>
        </references>
      </pivotArea>
    </format>
    <format dxfId="1912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"/>
          </reference>
          <reference field="3" count="1" selected="0">
            <x v="237"/>
          </reference>
        </references>
      </pivotArea>
    </format>
    <format dxfId="1911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910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2"/>
          </reference>
          <reference field="3" count="1" selected="0">
            <x v="233"/>
          </reference>
        </references>
      </pivotArea>
    </format>
    <format dxfId="1909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908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2"/>
          </reference>
          <reference field="3" count="1" selected="0">
            <x v="249"/>
          </reference>
        </references>
      </pivotArea>
    </format>
    <format dxfId="1907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906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905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3"/>
          </reference>
          <reference field="3" count="1" selected="0">
            <x v="260"/>
          </reference>
        </references>
      </pivotArea>
    </format>
    <format dxfId="1904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903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3"/>
          </reference>
          <reference field="3" count="1" selected="0">
            <x v="274"/>
          </reference>
        </references>
      </pivotArea>
    </format>
    <format dxfId="1902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4"/>
          </reference>
          <reference field="3" count="1" selected="0">
            <x v="229"/>
          </reference>
        </references>
      </pivotArea>
    </format>
    <format dxfId="1901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4"/>
          </reference>
          <reference field="3" count="1" selected="0">
            <x v="278"/>
          </reference>
        </references>
      </pivotArea>
    </format>
    <format dxfId="1900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899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8"/>
          </reference>
          <reference field="3" count="1" selected="0">
            <x v="300"/>
          </reference>
        </references>
      </pivotArea>
    </format>
    <format dxfId="1898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9"/>
          </reference>
          <reference field="3" count="1" selected="0">
            <x v="305"/>
          </reference>
        </references>
      </pivotArea>
    </format>
    <format dxfId="1897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896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0"/>
          </reference>
          <reference field="3" count="1" selected="0">
            <x v="23"/>
          </reference>
        </references>
      </pivotArea>
    </format>
    <format dxfId="1895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0"/>
          </reference>
          <reference field="3" count="1" selected="0">
            <x v="268"/>
          </reference>
        </references>
      </pivotArea>
    </format>
    <format dxfId="1894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0"/>
          </reference>
          <reference field="3" count="1" selected="0">
            <x v="291"/>
          </reference>
        </references>
      </pivotArea>
    </format>
    <format dxfId="1893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0"/>
          </reference>
          <reference field="3" count="1" selected="0">
            <x v="298"/>
          </reference>
        </references>
      </pivotArea>
    </format>
    <format dxfId="1892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1891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1"/>
          </reference>
          <reference field="3" count="1" selected="0">
            <x v="247"/>
          </reference>
        </references>
      </pivotArea>
    </format>
    <format dxfId="1890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2"/>
          </reference>
          <reference field="3" count="1" selected="0">
            <x v="232"/>
          </reference>
        </references>
      </pivotArea>
    </format>
    <format dxfId="1889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888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3"/>
          </reference>
          <reference field="3" count="1" selected="0">
            <x v="271"/>
          </reference>
        </references>
      </pivotArea>
    </format>
    <format dxfId="1887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3"/>
          </reference>
          <reference field="3" count="1" selected="0">
            <x v="279"/>
          </reference>
        </references>
      </pivotArea>
    </format>
    <format dxfId="1886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3"/>
          </reference>
          <reference field="3" count="1" selected="0">
            <x v="299"/>
          </reference>
        </references>
      </pivotArea>
    </format>
    <format dxfId="1885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4"/>
          </reference>
          <reference field="3" count="1" selected="0">
            <x v="246"/>
          </reference>
        </references>
      </pivotArea>
    </format>
    <format dxfId="1884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883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0"/>
          </reference>
          <reference field="3" count="1" selected="0">
            <x v="220"/>
          </reference>
        </references>
      </pivotArea>
    </format>
    <format dxfId="1882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881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"/>
          </reference>
          <reference field="3" count="1" selected="0">
            <x v="217"/>
          </reference>
        </references>
      </pivotArea>
    </format>
    <format dxfId="1880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"/>
          </reference>
          <reference field="3" count="1" selected="0">
            <x v="231"/>
          </reference>
        </references>
      </pivotArea>
    </format>
    <format dxfId="1879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878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877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2"/>
          </reference>
          <reference field="3" count="1" selected="0">
            <x v="248"/>
          </reference>
        </references>
      </pivotArea>
    </format>
    <format dxfId="1876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3"/>
          </reference>
          <reference field="3" count="1" selected="0">
            <x v="258"/>
          </reference>
        </references>
      </pivotArea>
    </format>
    <format dxfId="1875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3"/>
          </reference>
          <reference field="3" count="1" selected="0">
            <x v="268"/>
          </reference>
        </references>
      </pivotArea>
    </format>
    <format dxfId="1874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3"/>
          </reference>
          <reference field="3" count="1" selected="0">
            <x v="278"/>
          </reference>
        </references>
      </pivotArea>
    </format>
    <format dxfId="1873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293"/>
          </reference>
        </references>
      </pivotArea>
    </format>
    <format dxfId="1872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6"/>
          </reference>
          <reference field="3" count="1" selected="0">
            <x v="229"/>
          </reference>
        </references>
      </pivotArea>
    </format>
    <format dxfId="1871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6"/>
          </reference>
          <reference field="3" count="1" selected="0">
            <x v="231"/>
          </reference>
        </references>
      </pivotArea>
    </format>
    <format dxfId="1870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869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868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867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9"/>
          </reference>
          <reference field="3" count="1" selected="0">
            <x v="311"/>
          </reference>
        </references>
      </pivotArea>
    </format>
    <format dxfId="1866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0"/>
          </reference>
          <reference field="3" count="1" selected="0">
            <x v="301"/>
          </reference>
        </references>
      </pivotArea>
    </format>
    <format dxfId="1865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2"/>
          </reference>
          <reference field="3" count="1" selected="0">
            <x v="219"/>
          </reference>
        </references>
      </pivotArea>
    </format>
    <format dxfId="1864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2"/>
          </reference>
          <reference field="3" count="1" selected="0">
            <x v="234"/>
          </reference>
        </references>
      </pivotArea>
    </format>
    <format dxfId="1863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2"/>
          </reference>
          <reference field="3" count="1" selected="0">
            <x v="307"/>
          </reference>
        </references>
      </pivotArea>
    </format>
    <format dxfId="1862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3"/>
          </reference>
          <reference field="3" count="1" selected="0">
            <x v="215"/>
          </reference>
        </references>
      </pivotArea>
    </format>
    <format dxfId="1861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3"/>
          </reference>
          <reference field="3" count="1" selected="0">
            <x v="217"/>
          </reference>
        </references>
      </pivotArea>
    </format>
    <format dxfId="1860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859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3"/>
          </reference>
          <reference field="3" count="1" selected="0">
            <x v="294"/>
          </reference>
        </references>
      </pivotArea>
    </format>
    <format dxfId="1858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3"/>
          </reference>
          <reference field="3" count="1" selected="0">
            <x v="315"/>
          </reference>
        </references>
      </pivotArea>
    </format>
    <format dxfId="1857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4"/>
          </reference>
          <reference field="3" count="1" selected="0">
            <x v="296"/>
          </reference>
        </references>
      </pivotArea>
    </format>
    <format dxfId="1856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855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0"/>
          </reference>
          <reference field="3" count="1" selected="0">
            <x v="217"/>
          </reference>
        </references>
      </pivotArea>
    </format>
    <format dxfId="1854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1853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852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851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2"/>
          </reference>
          <reference field="3" count="1" selected="0">
            <x v="250"/>
          </reference>
        </references>
      </pivotArea>
    </format>
    <format dxfId="1850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849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3"/>
          </reference>
          <reference field="3" count="1" selected="0">
            <x v="224"/>
          </reference>
        </references>
      </pivotArea>
    </format>
    <format dxfId="1848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847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846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3"/>
          </reference>
          <reference field="3" count="1" selected="0">
            <x v="278"/>
          </reference>
        </references>
      </pivotArea>
    </format>
    <format dxfId="1845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4"/>
          </reference>
          <reference field="3" count="1" selected="0">
            <x v="279"/>
          </reference>
        </references>
      </pivotArea>
    </format>
    <format dxfId="1844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302"/>
          </reference>
        </references>
      </pivotArea>
    </format>
    <format dxfId="1843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7"/>
          </reference>
          <reference field="3" count="1" selected="0">
            <x v="241"/>
          </reference>
        </references>
      </pivotArea>
    </format>
    <format dxfId="1842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7"/>
          </reference>
          <reference field="3" count="1" selected="0">
            <x v="320"/>
          </reference>
        </references>
      </pivotArea>
    </format>
    <format dxfId="1841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7"/>
          </reference>
          <reference field="3" count="1" selected="0">
            <x v="327"/>
          </reference>
        </references>
      </pivotArea>
    </format>
    <format dxfId="1840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9"/>
          </reference>
          <reference field="3" count="1" selected="0">
            <x v="231"/>
          </reference>
        </references>
      </pivotArea>
    </format>
    <format dxfId="1839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0"/>
          </reference>
          <reference field="3" count="1" selected="0">
            <x v="298"/>
          </reference>
        </references>
      </pivotArea>
    </format>
    <format dxfId="1838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837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1836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1"/>
          </reference>
          <reference field="3" count="1" selected="0">
            <x v="229"/>
          </reference>
        </references>
      </pivotArea>
    </format>
    <format dxfId="1835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1834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1"/>
          </reference>
          <reference field="3" count="1" selected="0">
            <x v="295"/>
          </reference>
        </references>
      </pivotArea>
    </format>
    <format dxfId="1833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832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3"/>
          </reference>
          <reference field="3" count="1" selected="0">
            <x v="287"/>
          </reference>
        </references>
      </pivotArea>
    </format>
    <format dxfId="1831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3"/>
          </reference>
          <reference field="3" count="1" selected="0">
            <x v="292"/>
          </reference>
        </references>
      </pivotArea>
    </format>
    <format dxfId="1830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829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221"/>
          </reference>
        </references>
      </pivotArea>
    </format>
    <format dxfId="1828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827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"/>
          </reference>
          <reference field="3" count="1" selected="0">
            <x v="217"/>
          </reference>
        </references>
      </pivotArea>
    </format>
    <format dxfId="1826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"/>
          </reference>
          <reference field="3" count="1" selected="0">
            <x v="221"/>
          </reference>
        </references>
      </pivotArea>
    </format>
    <format dxfId="1825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224"/>
          </reference>
        </references>
      </pivotArea>
    </format>
    <format dxfId="1824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823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1822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821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248"/>
          </reference>
        </references>
      </pivotArea>
    </format>
    <format dxfId="1820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250"/>
          </reference>
        </references>
      </pivotArea>
    </format>
    <format dxfId="1819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3"/>
          </reference>
          <reference field="3" count="1" selected="0">
            <x v="267"/>
          </reference>
        </references>
      </pivotArea>
    </format>
    <format dxfId="1818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3"/>
          </reference>
          <reference field="3" count="1" selected="0">
            <x v="271"/>
          </reference>
        </references>
      </pivotArea>
    </format>
    <format dxfId="1817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3"/>
          </reference>
          <reference field="3" count="1" selected="0">
            <x v="279"/>
          </reference>
        </references>
      </pivotArea>
    </format>
    <format dxfId="1816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4"/>
          </reference>
          <reference field="3" count="1" selected="0">
            <x v="219"/>
          </reference>
        </references>
      </pivotArea>
    </format>
    <format dxfId="1815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814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5"/>
          </reference>
          <reference field="3" count="1" selected="0">
            <x v="233"/>
          </reference>
        </references>
      </pivotArea>
    </format>
    <format dxfId="1813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5"/>
          </reference>
          <reference field="3" count="1" selected="0">
            <x v="299"/>
          </reference>
        </references>
      </pivotArea>
    </format>
    <format dxfId="1812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6"/>
          </reference>
          <reference field="3" count="1" selected="0">
            <x v="231"/>
          </reference>
        </references>
      </pivotArea>
    </format>
    <format dxfId="1811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6"/>
          </reference>
          <reference field="3" count="1" selected="0">
            <x v="261"/>
          </reference>
        </references>
      </pivotArea>
    </format>
    <format dxfId="1810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6"/>
          </reference>
          <reference field="3" count="1" selected="0">
            <x v="304"/>
          </reference>
        </references>
      </pivotArea>
    </format>
    <format dxfId="1809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232"/>
          </reference>
        </references>
      </pivotArea>
    </format>
    <format dxfId="1808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244"/>
          </reference>
        </references>
      </pivotArea>
    </format>
    <format dxfId="1807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323"/>
          </reference>
        </references>
      </pivotArea>
    </format>
    <format dxfId="1806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8"/>
          </reference>
          <reference field="3" count="1" selected="0">
            <x v="222"/>
          </reference>
        </references>
      </pivotArea>
    </format>
    <format dxfId="1805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1804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803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8"/>
          </reference>
          <reference field="3" count="1" selected="0">
            <x v="262"/>
          </reference>
        </references>
      </pivotArea>
    </format>
    <format dxfId="1802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8"/>
          </reference>
          <reference field="3" count="1" selected="0">
            <x v="300"/>
          </reference>
        </references>
      </pivotArea>
    </format>
    <format dxfId="1801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800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799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1798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2"/>
          </reference>
          <reference field="3" count="1" selected="0">
            <x v="213"/>
          </reference>
        </references>
      </pivotArea>
    </format>
    <format dxfId="1797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796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2"/>
          </reference>
          <reference field="3" count="1" selected="0">
            <x v="307"/>
          </reference>
        </references>
      </pivotArea>
    </format>
    <format dxfId="1795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2"/>
          </reference>
          <reference field="3" count="1" selected="0">
            <x v="309"/>
          </reference>
        </references>
      </pivotArea>
    </format>
    <format dxfId="1794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2"/>
          </reference>
          <reference field="3" count="1" selected="0">
            <x v="348"/>
          </reference>
        </references>
      </pivotArea>
    </format>
    <format dxfId="1793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3"/>
          </reference>
          <reference field="3" count="1" selected="0">
            <x v="215"/>
          </reference>
        </references>
      </pivotArea>
    </format>
    <format dxfId="1792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3"/>
          </reference>
          <reference field="3" count="1" selected="0">
            <x v="319"/>
          </reference>
        </references>
      </pivotArea>
    </format>
    <format dxfId="1791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790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789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"/>
          </reference>
          <reference field="3" count="1" selected="0">
            <x v="237"/>
          </reference>
        </references>
      </pivotArea>
    </format>
    <format dxfId="1788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"/>
          </reference>
          <reference field="3" count="1" selected="0">
            <x v="243"/>
          </reference>
        </references>
      </pivotArea>
    </format>
    <format dxfId="1787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786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2"/>
          </reference>
          <reference field="3" count="1" selected="0">
            <x v="247"/>
          </reference>
        </references>
      </pivotArea>
    </format>
    <format dxfId="1785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2"/>
          </reference>
          <reference field="3" count="1" selected="0">
            <x v="248"/>
          </reference>
        </references>
      </pivotArea>
    </format>
    <format dxfId="1784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3"/>
          </reference>
          <reference field="3" count="1" selected="0">
            <x v="263"/>
          </reference>
        </references>
      </pivotArea>
    </format>
    <format dxfId="1783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3"/>
          </reference>
          <reference field="3" count="1" selected="0">
            <x v="269"/>
          </reference>
        </references>
      </pivotArea>
    </format>
    <format dxfId="1782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5"/>
          </reference>
          <reference field="3" count="1" selected="0">
            <x v="245"/>
          </reference>
        </references>
      </pivotArea>
    </format>
    <format dxfId="1781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5"/>
          </reference>
          <reference field="3" count="1" selected="0">
            <x v="253"/>
          </reference>
        </references>
      </pivotArea>
    </format>
    <format dxfId="1780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5"/>
          </reference>
          <reference field="3" count="1" selected="0">
            <x v="277"/>
          </reference>
        </references>
      </pivotArea>
    </format>
    <format dxfId="1779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6"/>
          </reference>
          <reference field="3" count="1" selected="0">
            <x v="222"/>
          </reference>
        </references>
      </pivotArea>
    </format>
    <format dxfId="1778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6"/>
          </reference>
          <reference field="3" count="1" selected="0">
            <x v="305"/>
          </reference>
        </references>
      </pivotArea>
    </format>
    <format dxfId="1777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6"/>
          </reference>
          <reference field="3" count="1" selected="0">
            <x v="314"/>
          </reference>
        </references>
      </pivotArea>
    </format>
    <format dxfId="1776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7"/>
          </reference>
          <reference field="3" count="1" selected="0">
            <x v="248"/>
          </reference>
        </references>
      </pivotArea>
    </format>
    <format dxfId="1775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7"/>
          </reference>
          <reference field="3" count="1" selected="0">
            <x v="252"/>
          </reference>
        </references>
      </pivotArea>
    </format>
    <format dxfId="1774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7"/>
          </reference>
          <reference field="3" count="1" selected="0">
            <x v="317"/>
          </reference>
        </references>
      </pivotArea>
    </format>
    <format dxfId="1773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7"/>
          </reference>
          <reference field="3" count="1" selected="0">
            <x v="319"/>
          </reference>
        </references>
      </pivotArea>
    </format>
    <format dxfId="1772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214"/>
          </reference>
        </references>
      </pivotArea>
    </format>
    <format dxfId="1771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1770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286"/>
          </reference>
        </references>
      </pivotArea>
    </format>
    <format dxfId="1769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9"/>
          </reference>
          <reference field="3" count="1" selected="0">
            <x v="332"/>
          </reference>
        </references>
      </pivotArea>
    </format>
    <format dxfId="1768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0"/>
          </reference>
          <reference field="3" count="1" selected="0">
            <x v="286"/>
          </reference>
        </references>
      </pivotArea>
    </format>
    <format dxfId="1767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0"/>
          </reference>
          <reference field="3" count="1" selected="0">
            <x v="345"/>
          </reference>
        </references>
      </pivotArea>
    </format>
    <format dxfId="1766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1765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764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"/>
          </reference>
          <reference field="3" count="1" selected="0">
            <x v="231"/>
          </reference>
        </references>
      </pivotArea>
    </format>
    <format dxfId="1763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"/>
          </reference>
          <reference field="3" count="1" selected="0">
            <x v="232"/>
          </reference>
        </references>
      </pivotArea>
    </format>
    <format dxfId="1762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1761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248"/>
          </reference>
        </references>
      </pivotArea>
    </format>
    <format dxfId="1760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1759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3"/>
          </reference>
          <reference field="3" count="1" selected="0">
            <x v="265"/>
          </reference>
        </references>
      </pivotArea>
    </format>
    <format dxfId="1758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3"/>
          </reference>
          <reference field="3" count="1" selected="0">
            <x v="269"/>
          </reference>
        </references>
      </pivotArea>
    </format>
    <format dxfId="1757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756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4"/>
          </reference>
          <reference field="3" count="1" selected="0">
            <x v="249"/>
          </reference>
        </references>
      </pivotArea>
    </format>
    <format dxfId="1755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4"/>
          </reference>
          <reference field="3" count="1" selected="0">
            <x v="253"/>
          </reference>
        </references>
      </pivotArea>
    </format>
    <format dxfId="1754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4"/>
          </reference>
          <reference field="3" count="1" selected="0">
            <x v="279"/>
          </reference>
        </references>
      </pivotArea>
    </format>
    <format dxfId="1753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5"/>
          </reference>
          <reference field="3" count="1" selected="0">
            <x v="300"/>
          </reference>
        </references>
      </pivotArea>
    </format>
    <format dxfId="1752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5"/>
          </reference>
          <reference field="3" count="1" selected="0">
            <x v="301"/>
          </reference>
        </references>
      </pivotArea>
    </format>
    <format dxfId="1751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6"/>
          </reference>
          <reference field="3" count="1" selected="0">
            <x v="246"/>
          </reference>
        </references>
      </pivotArea>
    </format>
    <format dxfId="1750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6"/>
          </reference>
          <reference field="3" count="1" selected="0">
            <x v="257"/>
          </reference>
        </references>
      </pivotArea>
    </format>
    <format dxfId="1749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748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6"/>
          </reference>
          <reference field="3" count="1" selected="0">
            <x v="305"/>
          </reference>
        </references>
      </pivotArea>
    </format>
    <format dxfId="1747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6"/>
          </reference>
          <reference field="3" count="1" selected="0">
            <x v="316"/>
          </reference>
        </references>
      </pivotArea>
    </format>
    <format dxfId="1746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745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8"/>
          </reference>
          <reference field="3" count="1" selected="0">
            <x v="222"/>
          </reference>
        </references>
      </pivotArea>
    </format>
    <format dxfId="1744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8"/>
          </reference>
          <reference field="3" count="1" selected="0">
            <x v="241"/>
          </reference>
        </references>
      </pivotArea>
    </format>
    <format dxfId="1743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8"/>
          </reference>
          <reference field="3" count="1" selected="0">
            <x v="262"/>
          </reference>
        </references>
      </pivotArea>
    </format>
    <format dxfId="1742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741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8"/>
          </reference>
          <reference field="3" count="1" selected="0">
            <x v="333"/>
          </reference>
        </references>
      </pivotArea>
    </format>
    <format dxfId="1740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0"/>
          </reference>
          <reference field="3" count="1" selected="0">
            <x v="307"/>
          </reference>
        </references>
      </pivotArea>
    </format>
    <format dxfId="1739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0"/>
          </reference>
          <reference field="3" count="1" selected="0">
            <x v="345"/>
          </reference>
        </references>
      </pivotArea>
    </format>
    <format dxfId="1738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2"/>
          </reference>
          <reference field="3" count="1" selected="0">
            <x v="264"/>
          </reference>
        </references>
      </pivotArea>
    </format>
    <format dxfId="1737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736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4"/>
          </reference>
          <reference field="3" count="1" selected="0">
            <x v="223"/>
          </reference>
        </references>
      </pivotArea>
    </format>
    <format dxfId="1735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4"/>
          </reference>
          <reference field="3" count="1" selected="0">
            <x v="248"/>
          </reference>
        </references>
      </pivotArea>
    </format>
    <format dxfId="1734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4"/>
          </reference>
          <reference field="3" count="1" selected="0">
            <x v="263"/>
          </reference>
        </references>
      </pivotArea>
    </format>
    <format dxfId="1733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1732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0"/>
          </reference>
          <reference field="3" count="1" selected="0">
            <x v="215"/>
          </reference>
        </references>
      </pivotArea>
    </format>
    <format dxfId="1731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730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0"/>
          </reference>
          <reference field="3" count="1" selected="0">
            <x v="225"/>
          </reference>
        </references>
      </pivotArea>
    </format>
    <format dxfId="1729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"/>
          </reference>
          <reference field="3" count="1" selected="0">
            <x v="217"/>
          </reference>
        </references>
      </pivotArea>
    </format>
    <format dxfId="1728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"/>
          </reference>
          <reference field="3" count="1" selected="0">
            <x v="231"/>
          </reference>
        </references>
      </pivotArea>
    </format>
    <format dxfId="1727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726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725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1724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723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4"/>
          </reference>
          <reference field="3" count="1" selected="0">
            <x v="273"/>
          </reference>
        </references>
      </pivotArea>
    </format>
    <format dxfId="1722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4"/>
          </reference>
          <reference field="3" count="1" selected="0">
            <x v="291"/>
          </reference>
        </references>
      </pivotArea>
    </format>
    <format dxfId="1721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5"/>
          </reference>
          <reference field="3" count="1" selected="0">
            <x v="218"/>
          </reference>
        </references>
      </pivotArea>
    </format>
    <format dxfId="1720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5"/>
          </reference>
          <reference field="3" count="1" selected="0">
            <x v="277"/>
          </reference>
        </references>
      </pivotArea>
    </format>
    <format dxfId="1719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718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6"/>
          </reference>
          <reference field="3" count="1" selected="0">
            <x v="306"/>
          </reference>
        </references>
      </pivotArea>
    </format>
    <format dxfId="1717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6"/>
          </reference>
          <reference field="3" count="1" selected="0">
            <x v="311"/>
          </reference>
        </references>
      </pivotArea>
    </format>
    <format dxfId="1716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6"/>
          </reference>
          <reference field="3" count="1" selected="0">
            <x v="312"/>
          </reference>
        </references>
      </pivotArea>
    </format>
    <format dxfId="1715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7"/>
          </reference>
          <reference field="3" count="1" selected="0">
            <x v="214"/>
          </reference>
        </references>
      </pivotArea>
    </format>
    <format dxfId="1714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713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712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0"/>
          </reference>
          <reference field="3" count="1" selected="0">
            <x v="243"/>
          </reference>
        </references>
      </pivotArea>
    </format>
    <format dxfId="1711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0"/>
          </reference>
          <reference field="3" count="1" selected="0">
            <x v="290"/>
          </reference>
        </references>
      </pivotArea>
    </format>
    <format dxfId="1710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0"/>
          </reference>
          <reference field="3" count="1" selected="0">
            <x v="339"/>
          </reference>
        </references>
      </pivotArea>
    </format>
    <format dxfId="1709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708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0"/>
          </reference>
          <reference field="3" count="1" selected="0">
            <x v="343"/>
          </reference>
        </references>
      </pivotArea>
    </format>
    <format dxfId="1707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706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705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2"/>
          </reference>
          <reference field="3" count="1" selected="0">
            <x v="324"/>
          </reference>
        </references>
      </pivotArea>
    </format>
    <format dxfId="1704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2"/>
          </reference>
          <reference field="3" count="1" selected="0">
            <x v="349"/>
          </reference>
        </references>
      </pivotArea>
    </format>
    <format dxfId="1703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702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1701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700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699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2"/>
          </reference>
          <reference field="3" count="1" selected="0">
            <x v="245"/>
          </reference>
        </references>
      </pivotArea>
    </format>
    <format dxfId="1698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3"/>
          </reference>
          <reference field="3" count="1" selected="0">
            <x v="255"/>
          </reference>
        </references>
      </pivotArea>
    </format>
    <format dxfId="1697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3"/>
          </reference>
          <reference field="3" count="1" selected="0">
            <x v="261"/>
          </reference>
        </references>
      </pivotArea>
    </format>
    <format dxfId="1696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695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4"/>
          </reference>
          <reference field="3" count="1" selected="0">
            <x v="258"/>
          </reference>
        </references>
      </pivotArea>
    </format>
    <format dxfId="1694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4"/>
          </reference>
          <reference field="3" count="1" selected="0">
            <x v="283"/>
          </reference>
        </references>
      </pivotArea>
    </format>
    <format dxfId="1693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5"/>
          </reference>
          <reference field="3" count="1" selected="0">
            <x v="294"/>
          </reference>
        </references>
      </pivotArea>
    </format>
    <format dxfId="1692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691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5"/>
          </reference>
          <reference field="3" count="1" selected="0">
            <x v="298"/>
          </reference>
        </references>
      </pivotArea>
    </format>
    <format dxfId="1690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689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6"/>
          </reference>
          <reference field="3" count="1" selected="0">
            <x v="313"/>
          </reference>
        </references>
      </pivotArea>
    </format>
    <format dxfId="1688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7"/>
          </reference>
          <reference field="3" count="1" selected="0">
            <x v="241"/>
          </reference>
        </references>
      </pivotArea>
    </format>
    <format dxfId="1687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9"/>
          </reference>
          <reference field="3" count="1" selected="0">
            <x v="292"/>
          </reference>
        </references>
      </pivotArea>
    </format>
    <format dxfId="1686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9"/>
          </reference>
          <reference field="3" count="1" selected="0">
            <x v="336"/>
          </reference>
        </references>
      </pivotArea>
    </format>
    <format dxfId="1685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0"/>
          </reference>
          <reference field="3" count="1" selected="0">
            <x v="268"/>
          </reference>
        </references>
      </pivotArea>
    </format>
    <format dxfId="1684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683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2"/>
          </reference>
          <reference field="3" count="1" selected="0">
            <x v="256"/>
          </reference>
        </references>
      </pivotArea>
    </format>
    <format dxfId="1682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3"/>
          </reference>
          <reference field="3" count="1" selected="0">
            <x v="218"/>
          </reference>
        </references>
      </pivotArea>
    </format>
    <format dxfId="1681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3"/>
          </reference>
          <reference field="3" count="1" selected="0">
            <x v="279"/>
          </reference>
        </references>
      </pivotArea>
    </format>
    <format dxfId="1680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3"/>
          </reference>
          <reference field="3" count="1" selected="0">
            <x v="354"/>
          </reference>
        </references>
      </pivotArea>
    </format>
    <format dxfId="1679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678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1677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676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"/>
          </reference>
          <reference field="3" count="1" selected="0">
            <x v="217"/>
          </reference>
        </references>
      </pivotArea>
    </format>
    <format dxfId="1675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"/>
          </reference>
          <reference field="3" count="1" selected="0">
            <x v="221"/>
          </reference>
        </references>
      </pivotArea>
    </format>
    <format dxfId="1674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"/>
          </reference>
          <reference field="3" count="1" selected="0">
            <x v="234"/>
          </reference>
        </references>
      </pivotArea>
    </format>
    <format dxfId="1673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"/>
          </reference>
          <reference field="3" count="1" selected="0">
            <x v="236"/>
          </reference>
        </references>
      </pivotArea>
    </format>
    <format dxfId="1672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671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1670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669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1668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3"/>
          </reference>
          <reference field="3" count="1" selected="0">
            <x v="245"/>
          </reference>
        </references>
      </pivotArea>
    </format>
    <format dxfId="1667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3"/>
          </reference>
          <reference field="3" count="1" selected="0">
            <x v="274"/>
          </reference>
        </references>
      </pivotArea>
    </format>
    <format dxfId="1666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4"/>
          </reference>
          <reference field="3" count="1" selected="0">
            <x v="228"/>
          </reference>
        </references>
      </pivotArea>
    </format>
    <format dxfId="1665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4"/>
          </reference>
          <reference field="3" count="1" selected="0">
            <x v="249"/>
          </reference>
        </references>
      </pivotArea>
    </format>
    <format dxfId="1664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5"/>
          </reference>
          <reference field="3" count="1" selected="0">
            <x v="229"/>
          </reference>
        </references>
      </pivotArea>
    </format>
    <format dxfId="1663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5"/>
          </reference>
          <reference field="3" count="1" selected="0">
            <x v="288"/>
          </reference>
        </references>
      </pivotArea>
    </format>
    <format dxfId="1662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661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7"/>
          </reference>
          <reference field="3" count="1" selected="0">
            <x v="224"/>
          </reference>
        </references>
      </pivotArea>
    </format>
    <format dxfId="1660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7"/>
          </reference>
          <reference field="3" count="1" selected="0">
            <x v="289"/>
          </reference>
        </references>
      </pivotArea>
    </format>
    <format dxfId="1659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7"/>
          </reference>
          <reference field="3" count="1" selected="0">
            <x v="317"/>
          </reference>
        </references>
      </pivotArea>
    </format>
    <format dxfId="1658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7"/>
          </reference>
          <reference field="3" count="1" selected="0">
            <x v="318"/>
          </reference>
        </references>
      </pivotArea>
    </format>
    <format dxfId="1657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7"/>
          </reference>
          <reference field="3" count="1" selected="0">
            <x v="325"/>
          </reference>
        </references>
      </pivotArea>
    </format>
    <format dxfId="1656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655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654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653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0"/>
          </reference>
          <reference field="3" count="1" selected="0">
            <x v="291"/>
          </reference>
        </references>
      </pivotArea>
    </format>
    <format dxfId="1652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651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1650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1"/>
          </reference>
          <reference field="3" count="1" selected="0">
            <x v="306"/>
          </reference>
        </references>
      </pivotArea>
    </format>
    <format dxfId="1649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648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2"/>
          </reference>
          <reference field="3" count="1" selected="0">
            <x v="307"/>
          </reference>
        </references>
      </pivotArea>
    </format>
    <format dxfId="1647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2"/>
          </reference>
          <reference field="3" count="1" selected="0">
            <x v="347"/>
          </reference>
        </references>
      </pivotArea>
    </format>
    <format dxfId="1646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1645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3"/>
          </reference>
          <reference field="3" count="1" selected="0">
            <x v="255"/>
          </reference>
        </references>
      </pivotArea>
    </format>
    <format dxfId="1644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3"/>
          </reference>
          <reference field="3" count="1" selected="0">
            <x v="271"/>
          </reference>
        </references>
      </pivotArea>
    </format>
    <format dxfId="1643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4"/>
          </reference>
          <reference field="3" count="1" selected="0">
            <x v="263"/>
          </reference>
        </references>
      </pivotArea>
    </format>
    <format dxfId="1642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1641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1640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639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638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637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636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635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1634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633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632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631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630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629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628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627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626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1625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624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623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622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621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620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619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618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617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616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615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614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613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1612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1611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610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609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608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607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606">
      <pivotArea outline="0" fieldPosition="0">
        <references count="4">
          <reference field="0" count="1" selected="0">
            <x v="0"/>
          </reference>
          <reference field="1" count="1" selected="0">
            <x v="10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605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1604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1603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602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601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600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599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1598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597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596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595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594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593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592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591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590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589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588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587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586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1585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584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583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582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581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580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579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578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577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1576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575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574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573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572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571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570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1569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568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567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566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565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564">
      <pivotArea outline="0" fieldPosition="0">
        <references count="4">
          <reference field="0" count="1" selected="0">
            <x v="1"/>
          </reference>
          <reference field="1" count="1" selected="0">
            <x v="36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563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1562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561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560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559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558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557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1556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555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554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553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552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551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550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549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548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547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546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545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544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543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542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541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540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539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538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537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536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1535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534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533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532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531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530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529">
      <pivotArea outline="0" fieldPosition="0">
        <references count="4">
          <reference field="0" count="1" selected="0">
            <x v="2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528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1527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526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525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524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1523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522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1521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520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519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518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517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516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515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514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513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512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1511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510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509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508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507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506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505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1504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503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502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501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500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499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498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1497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496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495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494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493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492">
      <pivotArea outline="0" fieldPosition="0">
        <references count="4">
          <reference field="0" count="1" selected="0">
            <x v="3"/>
          </reference>
          <reference field="1" count="1" selected="0">
            <x v="9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491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1490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1489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488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487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486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485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1484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483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482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481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480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479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478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477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476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475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474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1473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472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471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470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469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468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467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466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465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464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463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462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1461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1460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459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458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457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456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455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454">
      <pivotArea outline="0" fieldPosition="0">
        <references count="4">
          <reference field="0" count="1" selected="0">
            <x v="4"/>
          </reference>
          <reference field="1" count="1" selected="0">
            <x v="24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453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1452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1451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450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449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448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447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1446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445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1444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443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442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441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440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439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438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437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436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435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1434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433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432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431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430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429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428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427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426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1425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1424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423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422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421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420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419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418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417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416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415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414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413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412">
      <pivotArea outline="0" fieldPosition="0">
        <references count="4">
          <reference field="0" count="1" selected="0">
            <x v="5"/>
          </reference>
          <reference field="1" count="1" selected="0">
            <x v="39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411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1410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409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408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407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406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405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1404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403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402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401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400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399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398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397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396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395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394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393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392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391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390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389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388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1387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386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385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384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383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382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1381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1380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379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378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377">
      <pivotArea outline="0" fieldPosition="0">
        <references count="4">
          <reference field="0" count="1" selected="0">
            <x v="6"/>
          </reference>
          <reference field="1" count="1" selected="0">
            <x v="40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376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1375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1374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373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372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371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370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1369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368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367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366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365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364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363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362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361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360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359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358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357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356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355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354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353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352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1351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1350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349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348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347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346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345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344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1343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342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341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340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339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338">
      <pivotArea outline="0" fieldPosition="0">
        <references count="4">
          <reference field="0" count="1" selected="0">
            <x v="7"/>
          </reference>
          <reference field="1" count="1" selected="0">
            <x v="41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337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1336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335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334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333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332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331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330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1329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328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327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326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325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324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323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322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321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320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319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1318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317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316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315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314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313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312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311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310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1309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1308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307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306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305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304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303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1302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1301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300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299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298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297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296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295">
      <pivotArea outline="0" fieldPosition="0">
        <references count="4">
          <reference field="0" count="1" selected="0">
            <x v="8"/>
          </reference>
          <reference field="1" count="1" selected="0">
            <x v="19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294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1293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292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291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290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289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288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1287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286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1285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284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283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282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281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280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279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278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277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276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1275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274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273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272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271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270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269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268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1267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266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265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264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263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262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261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1260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1259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258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257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256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255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254">
      <pivotArea outline="0" fieldPosition="0">
        <references count="4">
          <reference field="0" count="1" selected="0">
            <x v="9"/>
          </reference>
          <reference field="1" count="1" selected="0">
            <x v="31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253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252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251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250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249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248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247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1246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245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244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243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242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241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240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239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238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237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1236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235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234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233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232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231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230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229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228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1227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226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225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224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223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222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1221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1220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219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218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217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216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215">
      <pivotArea outline="0" fieldPosition="0">
        <references count="4">
          <reference field="0" count="1" selected="0">
            <x v="10"/>
          </reference>
          <reference field="1" count="1" selected="0">
            <x v="18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214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1213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1212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211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210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209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208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207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1206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205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204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1203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202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201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200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199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198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197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196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195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194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1193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192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191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190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189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188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187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186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1185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184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183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182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181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180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179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1178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177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176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175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174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173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172">
      <pivotArea outline="0" fieldPosition="0">
        <references count="4">
          <reference field="0" count="1" selected="0">
            <x v="11"/>
          </reference>
          <reference field="1" count="1" selected="0">
            <x v="12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171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1170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169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168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167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166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165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1164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163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162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161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160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159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158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157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156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155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154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153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1152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151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150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149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148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147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146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145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144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143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142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141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1140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1139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138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137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136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135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134">
      <pivotArea outline="0" fieldPosition="0">
        <references count="4">
          <reference field="0" count="1" selected="0">
            <x v="11"/>
          </reference>
          <reference field="1" count="1" selected="0">
            <x v="33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133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1132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131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130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129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128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127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1126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125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124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123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122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121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120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119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118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117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1116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115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114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113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112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111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110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109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108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107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106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105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104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1103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1102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101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100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099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098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097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096">
      <pivotArea outline="0" fieldPosition="0">
        <references count="4">
          <reference field="0" count="1" selected="0">
            <x v="12"/>
          </reference>
          <reference field="1" count="1" selected="0">
            <x v="15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095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094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093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092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091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090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089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088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1087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086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085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084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083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082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081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080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079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078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077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076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075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074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073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072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071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070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1069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068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067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066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065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064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063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1062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1061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060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059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058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057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056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055">
      <pivotArea outline="0" fieldPosition="0">
        <references count="4">
          <reference field="0" count="1" selected="0">
            <x v="13"/>
          </reference>
          <reference field="1" count="1" selected="0">
            <x v="25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054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1053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052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051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050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049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1048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047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046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045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044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043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042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041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040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039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1038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037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036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035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034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033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032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031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1030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029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028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027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026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1025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024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023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022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021">
      <pivotArea outline="0" fieldPosition="0">
        <references count="4">
          <reference field="0" count="1" selected="0">
            <x v="14"/>
          </reference>
          <reference field="1" count="1" selected="0">
            <x v="29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020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1019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018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017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016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015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014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1013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012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011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010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009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008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007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006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005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004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003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1002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001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000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999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998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997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996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995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994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993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992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991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990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989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988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987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986">
      <pivotArea outline="0" fieldPosition="0">
        <references count="4">
          <reference field="0" count="1" selected="0">
            <x v="15"/>
          </reference>
          <reference field="1" count="1" selected="0">
            <x v="2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985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984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983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982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981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980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979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978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977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976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975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974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973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972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971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970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969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968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967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966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965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964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963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962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961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960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959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958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957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956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955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954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953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952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951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950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949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948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947">
      <pivotArea outline="0" fieldPosition="0">
        <references count="4">
          <reference field="0" count="1" selected="0">
            <x v="16"/>
          </reference>
          <reference field="1" count="1" selected="0">
            <x v="17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946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945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944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943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942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941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940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939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938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937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936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935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934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933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932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931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930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929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928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927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926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925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924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923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922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921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920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919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918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917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916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915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914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913">
      <pivotArea outline="0" fieldPosition="0">
        <references count="4">
          <reference field="0" count="1" selected="0">
            <x v="17"/>
          </reference>
          <reference field="1" count="1" selected="0">
            <x v="27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912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911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910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909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908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907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906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905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904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903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902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901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900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899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898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897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896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895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894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893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892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891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890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889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888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887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886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885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884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883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882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881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880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879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878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877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876">
      <pivotArea outline="0" fieldPosition="0">
        <references count="4">
          <reference field="0" count="1" selected="0">
            <x v="18"/>
          </reference>
          <reference field="1" count="1" selected="0">
            <x v="42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875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874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873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872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871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870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869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868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867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866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865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864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863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862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861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860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859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858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857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856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855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854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853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852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851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850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849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848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847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846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845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844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843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842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841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840">
      <pivotArea outline="0" fieldPosition="0">
        <references count="4">
          <reference field="0" count="1" selected="0">
            <x v="19"/>
          </reference>
          <reference field="1" count="1" selected="0">
            <x v="16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839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838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837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836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835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834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833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832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831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830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829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828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827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826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825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824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823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822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821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820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819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818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817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816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815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814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813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812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811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810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809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808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807">
      <pivotArea outline="0" fieldPosition="0">
        <references count="4">
          <reference field="0" count="1" selected="0">
            <x v="20"/>
          </reference>
          <reference field="1" count="1" selected="0">
            <x v="13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806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805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804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803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802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801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800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799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798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797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796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795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794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793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792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791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790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789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788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787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786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785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784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783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782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781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780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779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778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777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776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775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774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773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772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771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770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769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768">
      <pivotArea outline="0" fieldPosition="0">
        <references count="4">
          <reference field="0" count="1" selected="0">
            <x v="21"/>
          </reference>
          <reference field="1" count="1" selected="0">
            <x v="11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767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766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765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764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763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762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761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760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759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758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757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756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755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754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753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752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751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750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749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748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747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746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745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744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743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742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741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740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739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738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737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736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735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734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733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732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731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730">
      <pivotArea outline="0" fieldPosition="0">
        <references count="4">
          <reference field="0" count="1" selected="0">
            <x v="22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729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728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727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726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725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724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723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722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721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720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719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718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717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716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715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714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713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712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711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710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709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708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707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706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705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704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703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702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701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700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699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698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697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696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695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694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693">
      <pivotArea outline="0" fieldPosition="0">
        <references count="4">
          <reference field="0" count="1" selected="0">
            <x v="23"/>
          </reference>
          <reference field="1" count="1" selected="0">
            <x v="30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692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691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690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689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688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687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686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685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684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683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682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681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680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679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678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677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676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675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674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673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672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671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670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669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668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667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666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665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664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663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662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661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660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659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658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657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656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655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654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653">
      <pivotArea outline="0" fieldPosition="0">
        <references count="4">
          <reference field="0" count="1" selected="0">
            <x v="24"/>
          </reference>
          <reference field="1" count="1" selected="0">
            <x v="28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652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651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650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649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648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647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646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645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644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643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642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641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640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639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638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637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636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635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634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633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632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631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630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629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628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627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626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625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624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623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622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621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620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619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618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617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616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615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614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613">
      <pivotArea outline="0" fieldPosition="0">
        <references count="4">
          <reference field="0" count="1" selected="0">
            <x v="25"/>
          </reference>
          <reference field="1" count="1" selected="0">
            <x v="3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612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611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610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609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608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607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606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605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604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603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602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601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600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599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598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597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596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595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594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593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592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591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590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589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588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587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586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585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584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583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582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581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580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579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578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577">
      <pivotArea outline="0" fieldPosition="0">
        <references count="4">
          <reference field="0" count="1" selected="0">
            <x v="26"/>
          </reference>
          <reference field="1" count="1" selected="0">
            <x v="22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576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575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574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573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572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571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570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569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568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567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566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565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564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563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562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561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560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559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558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557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556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555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554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553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552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551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550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549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548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547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546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545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544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543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542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541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540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539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538">
      <pivotArea outline="0" fieldPosition="0">
        <references count="4">
          <reference field="0" count="1" selected="0">
            <x v="27"/>
          </reference>
          <reference field="1" count="1" selected="0">
            <x v="23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537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536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535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534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533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532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531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530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529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528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527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526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525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524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523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522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521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520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519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518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517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516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515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514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513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512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511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510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509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508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507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506">
      <pivotArea outline="0" fieldPosition="0">
        <references count="4">
          <reference field="0" count="1" selected="0">
            <x v="28"/>
          </reference>
          <reference field="1" count="1" selected="0">
            <x v="26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505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504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503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502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501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500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499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498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497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496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495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494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493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492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491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490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489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488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487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486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485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484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483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482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481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480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479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478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477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476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475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474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473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472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471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470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469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468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467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466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465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464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463">
      <pivotArea outline="0" fieldPosition="0">
        <references count="4">
          <reference field="0" count="1" selected="0">
            <x v="29"/>
          </reference>
          <reference field="1" count="1" selected="0">
            <x v="32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462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461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460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459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458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457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456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455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454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453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452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451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450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449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448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447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446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445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444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443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442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441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440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439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438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437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436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435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434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433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432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431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430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429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428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427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426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425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424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423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422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421">
      <pivotArea outline="0" fieldPosition="0">
        <references count="4">
          <reference field="0" count="1" selected="0">
            <x v="30"/>
          </reference>
          <reference field="1" count="1" selected="0">
            <x v="34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420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419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418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417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416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415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414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413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412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411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410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409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408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407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406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405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404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403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402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401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400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399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398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397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396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395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394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393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392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391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390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389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388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387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386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385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384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383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382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381">
      <pivotArea outline="0" fieldPosition="0">
        <references count="4">
          <reference field="0" count="1" selected="0">
            <x v="31"/>
          </reference>
          <reference field="1" count="1" selected="0">
            <x v="35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380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379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378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377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376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375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374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373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372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371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370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369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368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367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366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365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364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363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362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361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360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359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358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357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356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355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354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353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352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351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350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349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348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347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346">
      <pivotArea outline="0" fieldPosition="0">
        <references count="4">
          <reference field="0" count="1" selected="0">
            <x v="32"/>
          </reference>
          <reference field="1" count="1" selected="0">
            <x v="37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345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344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343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342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341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340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339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338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337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336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335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334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333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332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331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330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329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328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327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326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325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324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323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322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321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320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319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318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317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316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315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314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313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312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311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310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309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308">
      <pivotArea outline="0" fieldPosition="0">
        <references count="4">
          <reference field="0" count="1" selected="0">
            <x v="33"/>
          </reference>
          <reference field="1" count="1" selected="0">
            <x v="38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307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306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305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304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303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302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301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300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299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298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297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296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295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294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293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292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291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290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289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288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287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286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285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284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283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282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281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80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79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278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277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276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275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274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273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272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271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270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269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268">
      <pivotArea outline="0" fieldPosition="0">
        <references count="4">
          <reference field="0" count="1" selected="0">
            <x v="34"/>
          </reference>
          <reference field="1" count="1" selected="0">
            <x v="4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267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266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265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264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263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262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261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260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259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258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257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256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255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254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253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252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251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250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249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248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247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246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245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244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243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42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241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240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239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238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237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236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235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234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233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232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231">
      <pivotArea outline="0" fieldPosition="0">
        <references count="4">
          <reference field="0" count="1" selected="0">
            <x v="35"/>
          </reference>
          <reference field="1" count="1" selected="0">
            <x v="5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230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229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228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227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226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225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224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223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222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221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220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219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218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217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216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215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214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213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212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211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210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209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208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207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206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205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204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203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202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201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200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99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98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97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96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95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94">
      <pivotArea outline="0" fieldPosition="0">
        <references count="4">
          <reference field="0" count="1" selected="0">
            <x v="36"/>
          </reference>
          <reference field="1" count="1" selected="0">
            <x v="6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93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192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191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90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89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188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87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86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185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84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83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82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81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180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79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78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177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76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75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174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73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72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71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70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69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68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67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66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165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164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63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62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61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60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59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58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157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156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55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54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53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52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51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50">
      <pivotArea outline="0" fieldPosition="0">
        <references count="4">
          <reference field="0" count="1" selected="0">
            <x v="37"/>
          </reference>
          <reference field="1" count="1" selected="0">
            <x v="7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49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148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147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46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145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44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143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42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41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40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39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38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137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136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135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134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133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132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31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30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129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28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27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126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125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124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123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22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21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20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119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118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117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116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115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114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113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112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111">
      <pivotArea outline="0" fieldPosition="0">
        <references count="4">
          <reference field="0" count="1" selected="0">
            <x v="38"/>
          </reference>
          <reference field="1" count="1" selected="0">
            <x v="8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10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109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108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107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106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105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104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103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102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101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100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99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6"/>
          </reference>
          <reference field="3" count="1" selected="0">
            <x v="285"/>
          </reference>
        </references>
      </pivotArea>
    </format>
    <format dxfId="98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97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96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95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94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93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92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91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90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89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88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87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1"/>
          </reference>
          <reference field="3" count="1" selected="0">
            <x v="346"/>
          </reference>
        </references>
      </pivotArea>
    </format>
    <format dxfId="86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85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84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83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82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81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80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79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78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77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76">
      <pivotArea outline="0" fieldPosition="0">
        <references count="4">
          <reference field="0" count="1" selected="0">
            <x v="39"/>
          </reference>
          <reference field="1" count="1" selected="0">
            <x v="14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75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0"/>
          </reference>
          <reference field="3" count="1" selected="0">
            <x v="219"/>
          </reference>
        </references>
      </pivotArea>
    </format>
    <format dxfId="74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0"/>
          </reference>
          <reference field="3" count="1" selected="0">
            <x v="229"/>
          </reference>
        </references>
      </pivotArea>
    </format>
    <format dxfId="73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2"/>
          </reference>
          <reference field="3" count="1" selected="0">
            <x v="227"/>
          </reference>
        </references>
      </pivotArea>
    </format>
    <format dxfId="72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71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2"/>
          </reference>
          <reference field="3" count="1" selected="0">
            <x v="244"/>
          </reference>
        </references>
      </pivotArea>
    </format>
    <format dxfId="70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2"/>
          </reference>
          <reference field="3" count="1" selected="0">
            <x v="246"/>
          </reference>
        </references>
      </pivotArea>
    </format>
    <format dxfId="69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68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3"/>
          </reference>
          <reference field="3" count="1" selected="0">
            <x v="235"/>
          </reference>
        </references>
      </pivotArea>
    </format>
    <format dxfId="67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66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65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64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63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62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61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60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8"/>
          </reference>
          <reference field="3" count="1" selected="0">
            <x v="216"/>
          </reference>
        </references>
      </pivotArea>
    </format>
    <format dxfId="59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58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8"/>
          </reference>
          <reference field="3" count="1" selected="0">
            <x v="252"/>
          </reference>
        </references>
      </pivotArea>
    </format>
    <format dxfId="57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56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55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54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9"/>
          </reference>
          <reference field="3" count="1" selected="0">
            <x v="278"/>
          </reference>
        </references>
      </pivotArea>
    </format>
    <format dxfId="53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52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51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0"/>
          </reference>
          <reference field="3" count="1" selected="0">
            <x v="340"/>
          </reference>
        </references>
      </pivotArea>
    </format>
    <format dxfId="50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1"/>
          </reference>
          <reference field="3" count="1" selected="0">
            <x v="216"/>
          </reference>
        </references>
      </pivotArea>
    </format>
    <format dxfId="49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48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47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46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45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44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43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42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3"/>
          </reference>
          <reference field="3" count="1" selected="0">
            <x v="242"/>
          </reference>
        </references>
      </pivotArea>
    </format>
    <format dxfId="41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40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39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38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37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36">
      <pivotArea outline="0" fieldPosition="0">
        <references count="4">
          <reference field="0" count="1" selected="0">
            <x v="40"/>
          </reference>
          <reference field="1" count="1" selected="0">
            <x v="20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35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0"/>
          </reference>
          <reference field="3" count="1" selected="0">
            <x v="214"/>
          </reference>
        </references>
      </pivotArea>
    </format>
    <format dxfId="34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0"/>
          </reference>
          <reference field="3" count="1" selected="0">
            <x v="224"/>
          </reference>
        </references>
      </pivotArea>
    </format>
    <format dxfId="33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0"/>
          </reference>
          <reference field="3" count="1" selected="0">
            <x v="226"/>
          </reference>
        </references>
      </pivotArea>
    </format>
    <format dxfId="32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2"/>
          </reference>
          <reference field="3" count="1" selected="0">
            <x v="243"/>
          </reference>
        </references>
      </pivotArea>
    </format>
    <format dxfId="31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2"/>
          </reference>
          <reference field="3" count="1" selected="0">
            <x v="251"/>
          </reference>
        </references>
      </pivotArea>
    </format>
    <format dxfId="30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3"/>
          </reference>
          <reference field="3" count="1" selected="0">
            <x v="241"/>
          </reference>
        </references>
      </pivotArea>
    </format>
    <format dxfId="29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3"/>
          </reference>
          <reference field="3" count="1" selected="0">
            <x v="259"/>
          </reference>
        </references>
      </pivotArea>
    </format>
    <format dxfId="28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3"/>
          </reference>
          <reference field="3" count="1" selected="0">
            <x v="264"/>
          </reference>
        </references>
      </pivotArea>
    </format>
    <format dxfId="27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3"/>
          </reference>
          <reference field="3" count="1" selected="0">
            <x v="270"/>
          </reference>
        </references>
      </pivotArea>
    </format>
    <format dxfId="26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4"/>
          </reference>
          <reference field="3" count="1" selected="0">
            <x v="233"/>
          </reference>
        </references>
      </pivotArea>
    </format>
    <format dxfId="25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5"/>
          </reference>
          <reference field="3" count="1" selected="0">
            <x v="296"/>
          </reference>
        </references>
      </pivotArea>
    </format>
    <format dxfId="24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6"/>
          </reference>
          <reference field="3" count="1" selected="0">
            <x v="224"/>
          </reference>
        </references>
      </pivotArea>
    </format>
    <format dxfId="23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6"/>
          </reference>
          <reference field="3" count="1" selected="0">
            <x v="308"/>
          </reference>
        </references>
      </pivotArea>
    </format>
    <format dxfId="22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7"/>
          </reference>
          <reference field="3" count="1" selected="0">
            <x v="223"/>
          </reference>
        </references>
      </pivotArea>
    </format>
    <format dxfId="21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8"/>
          </reference>
          <reference field="3" count="1" selected="0">
            <x v="234"/>
          </reference>
        </references>
      </pivotArea>
    </format>
    <format dxfId="20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8"/>
          </reference>
          <reference field="3" count="1" selected="0">
            <x v="285"/>
          </reference>
        </references>
      </pivotArea>
    </format>
    <format dxfId="19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8"/>
          </reference>
          <reference field="3" count="1" selected="0">
            <x v="319"/>
          </reference>
        </references>
      </pivotArea>
    </format>
    <format dxfId="18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8"/>
          </reference>
          <reference field="3" count="1" selected="0">
            <x v="324"/>
          </reference>
        </references>
      </pivotArea>
    </format>
    <format dxfId="17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9"/>
          </reference>
          <reference field="3" count="1" selected="0">
            <x v="338"/>
          </reference>
        </references>
      </pivotArea>
    </format>
    <format dxfId="16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0"/>
          </reference>
          <reference field="3" count="1" selected="0">
            <x v="315"/>
          </reference>
        </references>
      </pivotArea>
    </format>
    <format dxfId="15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1"/>
          </reference>
          <reference field="3" count="1" selected="0">
            <x v="271"/>
          </reference>
        </references>
      </pivotArea>
    </format>
    <format dxfId="14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2"/>
          </reference>
          <reference field="3" count="1" selected="0">
            <x v="240"/>
          </reference>
        </references>
      </pivotArea>
    </format>
    <format dxfId="13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2"/>
          </reference>
          <reference field="3" count="1" selected="0">
            <x v="251"/>
          </reference>
        </references>
      </pivotArea>
    </format>
    <format dxfId="12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2"/>
          </reference>
          <reference field="3" count="1" selected="0">
            <x v="273"/>
          </reference>
        </references>
      </pivotArea>
    </format>
    <format dxfId="11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2"/>
          </reference>
          <reference field="3" count="1" selected="0">
            <x v="288"/>
          </reference>
        </references>
      </pivotArea>
    </format>
    <format dxfId="10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2"/>
          </reference>
          <reference field="3" count="1" selected="0">
            <x v="290"/>
          </reference>
        </references>
      </pivotArea>
    </format>
    <format dxfId="9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2"/>
          </reference>
          <reference field="3" count="1" selected="0">
            <x v="334"/>
          </reference>
        </references>
      </pivotArea>
    </format>
    <format dxfId="8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3"/>
          </reference>
          <reference field="3" count="1" selected="0">
            <x v="251"/>
          </reference>
        </references>
      </pivotArea>
    </format>
    <format dxfId="7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3"/>
          </reference>
          <reference field="3" count="1" selected="0">
            <x v="355"/>
          </reference>
        </references>
      </pivotArea>
    </format>
    <format dxfId="6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4"/>
          </reference>
          <reference field="3" count="1" selected="0">
            <x v="236"/>
          </reference>
        </references>
      </pivotArea>
    </format>
    <format dxfId="5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4"/>
          </reference>
          <reference field="3" count="1" selected="0">
            <x v="324"/>
          </reference>
        </references>
      </pivotArea>
    </format>
    <format dxfId="4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4"/>
          </reference>
          <reference field="3" count="1" selected="0">
            <x v="336"/>
          </reference>
        </references>
      </pivotArea>
    </format>
    <format dxfId="3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4"/>
          </reference>
          <reference field="3" count="1" selected="0">
            <x v="341"/>
          </reference>
        </references>
      </pivotArea>
    </format>
    <format dxfId="2">
      <pivotArea outline="0" fieldPosition="0">
        <references count="4">
          <reference field="0" count="1" selected="0">
            <x v="41"/>
          </reference>
          <reference field="1" count="1" selected="0">
            <x v="21"/>
          </reference>
          <reference field="2" count="1" selected="0">
            <x v="14"/>
          </reference>
          <reference field="3" count="1" selected="0">
            <x v="353"/>
          </reference>
        </references>
      </pivotArea>
    </format>
    <format dxfId="1">
      <pivotArea outline="0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  <format dxfId="0">
      <pivotArea outline="0" fieldPosition="0">
        <references count="4">
          <reference field="0" count="0" selected="0"/>
          <reference field="1" count="0" selected="0"/>
          <reference field="2" count="0" selected="0"/>
          <reference field="3" count="0" selected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A054F0-F557-4BC7-9245-6D4CE4FB774E}">
  <sheetPr codeName="Sheet1"/>
  <dimension ref="B2:OQ50"/>
  <sheetViews>
    <sheetView tabSelected="1" topLeftCell="B2" zoomScaleNormal="100" workbookViewId="0">
      <selection activeCell="E2" sqref="E2"/>
    </sheetView>
  </sheetViews>
  <sheetFormatPr baseColWidth="10" defaultColWidth="8.83203125" defaultRowHeight="15" x14ac:dyDescent="0.2"/>
  <cols>
    <col min="2" max="2" width="13.5" customWidth="1"/>
    <col min="3" max="3" width="52.33203125" bestFit="1" customWidth="1"/>
    <col min="4" max="406" width="36.5" bestFit="1" customWidth="1"/>
    <col min="407" max="407" width="15.33203125" bestFit="1" customWidth="1"/>
    <col min="408" max="409" width="36.5" bestFit="1" customWidth="1"/>
    <col min="410" max="410" width="44.5" bestFit="1" customWidth="1"/>
    <col min="411" max="411" width="41.1640625" bestFit="1" customWidth="1"/>
    <col min="412" max="685" width="36.5" bestFit="1" customWidth="1"/>
    <col min="686" max="686" width="15.33203125" bestFit="1" customWidth="1"/>
  </cols>
  <sheetData>
    <row r="2" spans="2:407" ht="141" customHeight="1" x14ac:dyDescent="0.2"/>
    <row r="4" spans="2:407" x14ac:dyDescent="0.2">
      <c r="B4" s="4" t="s">
        <v>106</v>
      </c>
      <c r="D4" s="4" t="s">
        <v>1</v>
      </c>
      <c r="E4" s="4" t="s">
        <v>45</v>
      </c>
    </row>
    <row r="5" spans="2:407" x14ac:dyDescent="0.2">
      <c r="D5" t="s">
        <v>48</v>
      </c>
      <c r="V5" t="s">
        <v>49</v>
      </c>
      <c r="AK5" t="s">
        <v>50</v>
      </c>
      <c r="BA5" t="s">
        <v>46</v>
      </c>
      <c r="CI5" t="s">
        <v>51</v>
      </c>
      <c r="DI5" t="s">
        <v>52</v>
      </c>
      <c r="EC5" t="s">
        <v>53</v>
      </c>
      <c r="FQ5" t="s">
        <v>54</v>
      </c>
      <c r="HA5" t="s">
        <v>55</v>
      </c>
      <c r="ID5" t="s">
        <v>56</v>
      </c>
      <c r="JA5" t="s">
        <v>57</v>
      </c>
      <c r="JY5" t="s">
        <v>58</v>
      </c>
      <c r="KN5" t="s">
        <v>59</v>
      </c>
      <c r="MB5" t="s">
        <v>60</v>
      </c>
      <c r="NP5" t="s">
        <v>61</v>
      </c>
      <c r="OQ5" t="s">
        <v>62</v>
      </c>
    </row>
    <row r="6" spans="2:407" x14ac:dyDescent="0.2">
      <c r="B6" s="4" t="s">
        <v>63</v>
      </c>
      <c r="C6" s="4" t="s">
        <v>0</v>
      </c>
      <c r="D6">
        <v>10151</v>
      </c>
      <c r="E6">
        <v>11546</v>
      </c>
      <c r="F6">
        <v>15285</v>
      </c>
      <c r="G6">
        <v>17019</v>
      </c>
      <c r="H6">
        <v>21736</v>
      </c>
      <c r="I6">
        <v>30776</v>
      </c>
      <c r="J6">
        <v>34613</v>
      </c>
      <c r="K6">
        <v>42461</v>
      </c>
      <c r="L6">
        <v>53027</v>
      </c>
      <c r="M6">
        <v>53681</v>
      </c>
      <c r="N6">
        <v>56073</v>
      </c>
      <c r="O6">
        <v>63220</v>
      </c>
      <c r="P6">
        <v>63403</v>
      </c>
      <c r="Q6">
        <v>72739</v>
      </c>
      <c r="R6">
        <v>75250</v>
      </c>
      <c r="S6">
        <v>79863</v>
      </c>
      <c r="T6">
        <v>81857</v>
      </c>
      <c r="U6">
        <v>86272</v>
      </c>
      <c r="V6">
        <v>21736</v>
      </c>
      <c r="W6">
        <v>53027</v>
      </c>
      <c r="X6">
        <v>20218</v>
      </c>
      <c r="Y6">
        <v>23259</v>
      </c>
      <c r="Z6">
        <v>24905</v>
      </c>
      <c r="AA6">
        <v>39706</v>
      </c>
      <c r="AB6">
        <v>46187</v>
      </c>
      <c r="AC6">
        <v>47097</v>
      </c>
      <c r="AD6">
        <v>48636</v>
      </c>
      <c r="AE6">
        <v>50768</v>
      </c>
      <c r="AF6">
        <v>55481</v>
      </c>
      <c r="AG6">
        <v>65050</v>
      </c>
      <c r="AH6">
        <v>75257</v>
      </c>
      <c r="AI6">
        <v>79177</v>
      </c>
      <c r="AJ6">
        <v>82313</v>
      </c>
      <c r="AK6">
        <v>63220</v>
      </c>
      <c r="AL6">
        <v>75250</v>
      </c>
      <c r="AM6">
        <v>24905</v>
      </c>
      <c r="AN6">
        <v>79177</v>
      </c>
      <c r="AO6">
        <v>82313</v>
      </c>
      <c r="AP6">
        <v>23326</v>
      </c>
      <c r="AQ6">
        <v>25937</v>
      </c>
      <c r="AR6">
        <v>43566</v>
      </c>
      <c r="AS6">
        <v>46969</v>
      </c>
      <c r="AT6">
        <v>51457</v>
      </c>
      <c r="AU6">
        <v>53789</v>
      </c>
      <c r="AV6">
        <v>72919</v>
      </c>
      <c r="AW6">
        <v>73889</v>
      </c>
      <c r="AX6">
        <v>75884</v>
      </c>
      <c r="AY6">
        <v>77825</v>
      </c>
      <c r="AZ6">
        <v>78221</v>
      </c>
      <c r="BA6">
        <v>17019</v>
      </c>
      <c r="BB6">
        <v>30776</v>
      </c>
      <c r="BC6">
        <v>53027</v>
      </c>
      <c r="BD6">
        <v>63220</v>
      </c>
      <c r="BE6">
        <v>46187</v>
      </c>
      <c r="BF6">
        <v>75257</v>
      </c>
      <c r="BG6">
        <v>25937</v>
      </c>
      <c r="BH6">
        <v>75884</v>
      </c>
      <c r="BI6">
        <v>17845</v>
      </c>
      <c r="BJ6">
        <v>24003</v>
      </c>
      <c r="BK6">
        <v>25382</v>
      </c>
      <c r="BL6">
        <v>26271</v>
      </c>
      <c r="BM6">
        <v>26287</v>
      </c>
      <c r="BN6">
        <v>27528</v>
      </c>
      <c r="BO6">
        <v>35415</v>
      </c>
      <c r="BP6">
        <v>36135</v>
      </c>
      <c r="BQ6">
        <v>37424</v>
      </c>
      <c r="BR6">
        <v>41143</v>
      </c>
      <c r="BS6">
        <v>46638</v>
      </c>
      <c r="BT6">
        <v>50240</v>
      </c>
      <c r="BU6">
        <v>50695</v>
      </c>
      <c r="BV6">
        <v>51198</v>
      </c>
      <c r="BW6">
        <v>63405</v>
      </c>
      <c r="BX6">
        <v>64705</v>
      </c>
      <c r="BY6">
        <v>66919</v>
      </c>
      <c r="BZ6">
        <v>67103</v>
      </c>
      <c r="CA6">
        <v>67561</v>
      </c>
      <c r="CB6">
        <v>72187</v>
      </c>
      <c r="CC6">
        <v>74713</v>
      </c>
      <c r="CD6">
        <v>75327</v>
      </c>
      <c r="CE6">
        <v>80154</v>
      </c>
      <c r="CF6">
        <v>82602</v>
      </c>
      <c r="CG6">
        <v>86095</v>
      </c>
      <c r="CH6">
        <v>88179</v>
      </c>
      <c r="CI6">
        <v>34613</v>
      </c>
      <c r="CJ6">
        <v>63220</v>
      </c>
      <c r="CK6">
        <v>79863</v>
      </c>
      <c r="CL6">
        <v>81857</v>
      </c>
      <c r="CM6">
        <v>24905</v>
      </c>
      <c r="CN6">
        <v>55481</v>
      </c>
      <c r="CO6">
        <v>53789</v>
      </c>
      <c r="CP6">
        <v>77825</v>
      </c>
      <c r="CQ6">
        <v>26271</v>
      </c>
      <c r="CR6">
        <v>46638</v>
      </c>
      <c r="CS6">
        <v>67561</v>
      </c>
      <c r="CT6">
        <v>82602</v>
      </c>
      <c r="CU6">
        <v>86095</v>
      </c>
      <c r="CV6">
        <v>88179</v>
      </c>
      <c r="CW6">
        <v>28350</v>
      </c>
      <c r="CX6">
        <v>32784</v>
      </c>
      <c r="CY6">
        <v>37559</v>
      </c>
      <c r="CZ6">
        <v>49282</v>
      </c>
      <c r="DA6">
        <v>56933</v>
      </c>
      <c r="DB6">
        <v>57593</v>
      </c>
      <c r="DC6">
        <v>61502</v>
      </c>
      <c r="DD6">
        <v>76523</v>
      </c>
      <c r="DE6">
        <v>78398</v>
      </c>
      <c r="DF6">
        <v>78601</v>
      </c>
      <c r="DG6">
        <v>79089</v>
      </c>
      <c r="DH6">
        <v>87696</v>
      </c>
      <c r="DI6">
        <v>30776</v>
      </c>
      <c r="DJ6">
        <v>56073</v>
      </c>
      <c r="DK6">
        <v>81857</v>
      </c>
      <c r="DL6">
        <v>24905</v>
      </c>
      <c r="DM6">
        <v>25937</v>
      </c>
      <c r="DN6">
        <v>43566</v>
      </c>
      <c r="DO6">
        <v>77825</v>
      </c>
      <c r="DP6">
        <v>26271</v>
      </c>
      <c r="DQ6">
        <v>80154</v>
      </c>
      <c r="DR6">
        <v>76523</v>
      </c>
      <c r="DS6">
        <v>78601</v>
      </c>
      <c r="DT6">
        <v>14686</v>
      </c>
      <c r="DU6">
        <v>15595</v>
      </c>
      <c r="DV6">
        <v>28291</v>
      </c>
      <c r="DW6">
        <v>30310</v>
      </c>
      <c r="DX6">
        <v>43340</v>
      </c>
      <c r="DY6">
        <v>50410</v>
      </c>
      <c r="DZ6">
        <v>58876</v>
      </c>
      <c r="EA6">
        <v>68945</v>
      </c>
      <c r="EB6">
        <v>88813</v>
      </c>
      <c r="EC6">
        <v>15777</v>
      </c>
      <c r="ED6">
        <v>21736</v>
      </c>
      <c r="EE6">
        <v>30776</v>
      </c>
      <c r="EF6">
        <v>53027</v>
      </c>
      <c r="EG6">
        <v>53681</v>
      </c>
      <c r="EH6">
        <v>63220</v>
      </c>
      <c r="EI6">
        <v>63403</v>
      </c>
      <c r="EJ6">
        <v>72739</v>
      </c>
      <c r="EK6">
        <v>81857</v>
      </c>
      <c r="EL6">
        <v>20218</v>
      </c>
      <c r="EM6">
        <v>24905</v>
      </c>
      <c r="EN6">
        <v>50768</v>
      </c>
      <c r="EO6">
        <v>75257</v>
      </c>
      <c r="EP6">
        <v>43566</v>
      </c>
      <c r="EQ6">
        <v>46969</v>
      </c>
      <c r="ER6">
        <v>25382</v>
      </c>
      <c r="ES6">
        <v>26287</v>
      </c>
      <c r="ET6">
        <v>35415</v>
      </c>
      <c r="EU6">
        <v>63405</v>
      </c>
      <c r="EV6">
        <v>67561</v>
      </c>
      <c r="EW6">
        <v>80154</v>
      </c>
      <c r="EX6">
        <v>32784</v>
      </c>
      <c r="EY6">
        <v>37559</v>
      </c>
      <c r="EZ6">
        <v>56933</v>
      </c>
      <c r="FA6">
        <v>57593</v>
      </c>
      <c r="FB6">
        <v>29282</v>
      </c>
      <c r="FC6">
        <v>32956</v>
      </c>
      <c r="FD6">
        <v>33170</v>
      </c>
      <c r="FE6">
        <v>36055</v>
      </c>
      <c r="FF6">
        <v>36768</v>
      </c>
      <c r="FG6">
        <v>38696</v>
      </c>
      <c r="FH6">
        <v>46026</v>
      </c>
      <c r="FI6">
        <v>47729</v>
      </c>
      <c r="FJ6">
        <v>56917</v>
      </c>
      <c r="FK6">
        <v>67941</v>
      </c>
      <c r="FL6">
        <v>77596</v>
      </c>
      <c r="FM6">
        <v>86385</v>
      </c>
      <c r="FN6">
        <v>87229</v>
      </c>
      <c r="FO6">
        <v>87778</v>
      </c>
      <c r="FP6">
        <v>89472</v>
      </c>
      <c r="FQ6">
        <v>15777</v>
      </c>
      <c r="FR6">
        <v>11546</v>
      </c>
      <c r="FS6">
        <v>56073</v>
      </c>
      <c r="FT6">
        <v>63220</v>
      </c>
      <c r="FU6">
        <v>72739</v>
      </c>
      <c r="FV6">
        <v>86272</v>
      </c>
      <c r="FW6">
        <v>23259</v>
      </c>
      <c r="FX6">
        <v>24905</v>
      </c>
      <c r="FY6">
        <v>48636</v>
      </c>
      <c r="FZ6">
        <v>50768</v>
      </c>
      <c r="GA6">
        <v>65050</v>
      </c>
      <c r="GB6">
        <v>75257</v>
      </c>
      <c r="GC6">
        <v>23326</v>
      </c>
      <c r="GD6">
        <v>51457</v>
      </c>
      <c r="GE6">
        <v>53789</v>
      </c>
      <c r="GF6">
        <v>75884</v>
      </c>
      <c r="GG6">
        <v>77825</v>
      </c>
      <c r="GH6">
        <v>24003</v>
      </c>
      <c r="GI6">
        <v>27528</v>
      </c>
      <c r="GJ6">
        <v>36135</v>
      </c>
      <c r="GK6">
        <v>78398</v>
      </c>
      <c r="GL6">
        <v>33170</v>
      </c>
      <c r="GM6">
        <v>38696</v>
      </c>
      <c r="GN6">
        <v>13175</v>
      </c>
      <c r="GO6">
        <v>20910</v>
      </c>
      <c r="GP6">
        <v>24014</v>
      </c>
      <c r="GQ6">
        <v>35143</v>
      </c>
      <c r="GR6">
        <v>38653</v>
      </c>
      <c r="GS6">
        <v>43342</v>
      </c>
      <c r="GT6">
        <v>44852</v>
      </c>
      <c r="GU6">
        <v>45792</v>
      </c>
      <c r="GV6">
        <v>47193</v>
      </c>
      <c r="GW6">
        <v>51003</v>
      </c>
      <c r="GX6">
        <v>61232</v>
      </c>
      <c r="GY6">
        <v>74336</v>
      </c>
      <c r="GZ6">
        <v>87775</v>
      </c>
      <c r="HA6">
        <v>15777</v>
      </c>
      <c r="HB6">
        <v>11546</v>
      </c>
      <c r="HC6">
        <v>15285</v>
      </c>
      <c r="HD6">
        <v>17019</v>
      </c>
      <c r="HE6">
        <v>53681</v>
      </c>
      <c r="HF6">
        <v>39706</v>
      </c>
      <c r="HG6">
        <v>65050</v>
      </c>
      <c r="HH6">
        <v>75257</v>
      </c>
      <c r="HI6">
        <v>53789</v>
      </c>
      <c r="HJ6">
        <v>73889</v>
      </c>
      <c r="HK6">
        <v>75884</v>
      </c>
      <c r="HL6">
        <v>36135</v>
      </c>
      <c r="HM6">
        <v>41143</v>
      </c>
      <c r="HN6">
        <v>28350</v>
      </c>
      <c r="HO6">
        <v>32784</v>
      </c>
      <c r="HP6">
        <v>56933</v>
      </c>
      <c r="HQ6">
        <v>57593</v>
      </c>
      <c r="HR6">
        <v>68945</v>
      </c>
      <c r="HS6">
        <v>47729</v>
      </c>
      <c r="HT6">
        <v>13175</v>
      </c>
      <c r="HU6">
        <v>20910</v>
      </c>
      <c r="HV6">
        <v>24014</v>
      </c>
      <c r="HW6">
        <v>45792</v>
      </c>
      <c r="HX6">
        <v>51003</v>
      </c>
      <c r="HY6">
        <v>61232</v>
      </c>
      <c r="HZ6">
        <v>34812</v>
      </c>
      <c r="IA6">
        <v>59738</v>
      </c>
      <c r="IB6">
        <v>70981</v>
      </c>
      <c r="IC6">
        <v>78761</v>
      </c>
      <c r="ID6">
        <v>11546</v>
      </c>
      <c r="IE6">
        <v>42461</v>
      </c>
      <c r="IF6">
        <v>63403</v>
      </c>
      <c r="IG6">
        <v>20218</v>
      </c>
      <c r="IH6">
        <v>47097</v>
      </c>
      <c r="II6">
        <v>43566</v>
      </c>
      <c r="IJ6">
        <v>73889</v>
      </c>
      <c r="IK6">
        <v>24003</v>
      </c>
      <c r="IL6">
        <v>63405</v>
      </c>
      <c r="IM6">
        <v>82602</v>
      </c>
      <c r="IN6">
        <v>49282</v>
      </c>
      <c r="IO6">
        <v>87696</v>
      </c>
      <c r="IP6">
        <v>58876</v>
      </c>
      <c r="IQ6">
        <v>36055</v>
      </c>
      <c r="IR6">
        <v>67941</v>
      </c>
      <c r="IS6">
        <v>86385</v>
      </c>
      <c r="IT6">
        <v>87778</v>
      </c>
      <c r="IU6">
        <v>70981</v>
      </c>
      <c r="IV6">
        <v>24588</v>
      </c>
      <c r="IW6">
        <v>24627</v>
      </c>
      <c r="IX6">
        <v>35207</v>
      </c>
      <c r="IY6">
        <v>49899</v>
      </c>
      <c r="IZ6">
        <v>89486</v>
      </c>
      <c r="JA6">
        <v>15777</v>
      </c>
      <c r="JB6">
        <v>79863</v>
      </c>
      <c r="JC6">
        <v>46187</v>
      </c>
      <c r="JD6">
        <v>82313</v>
      </c>
      <c r="JE6">
        <v>27528</v>
      </c>
      <c r="JF6">
        <v>51198</v>
      </c>
      <c r="JG6">
        <v>64705</v>
      </c>
      <c r="JH6">
        <v>57593</v>
      </c>
      <c r="JI6">
        <v>76523</v>
      </c>
      <c r="JJ6">
        <v>78601</v>
      </c>
      <c r="JK6">
        <v>79089</v>
      </c>
      <c r="JL6">
        <v>50410</v>
      </c>
      <c r="JM6">
        <v>68945</v>
      </c>
      <c r="JN6">
        <v>88813</v>
      </c>
      <c r="JO6">
        <v>38696</v>
      </c>
      <c r="JP6">
        <v>87778</v>
      </c>
      <c r="JQ6">
        <v>87775</v>
      </c>
      <c r="JR6">
        <v>14275</v>
      </c>
      <c r="JS6">
        <v>21575</v>
      </c>
      <c r="JT6">
        <v>27896</v>
      </c>
      <c r="JU6">
        <v>61551</v>
      </c>
      <c r="JV6">
        <v>66384</v>
      </c>
      <c r="JW6">
        <v>69407</v>
      </c>
      <c r="JX6">
        <v>74838</v>
      </c>
      <c r="JY6">
        <v>17019</v>
      </c>
      <c r="JZ6">
        <v>21736</v>
      </c>
      <c r="KA6">
        <v>79863</v>
      </c>
      <c r="KB6">
        <v>81857</v>
      </c>
      <c r="KC6">
        <v>46969</v>
      </c>
      <c r="KD6">
        <v>46638</v>
      </c>
      <c r="KE6">
        <v>66919</v>
      </c>
      <c r="KF6">
        <v>67561</v>
      </c>
      <c r="KG6">
        <v>28291</v>
      </c>
      <c r="KH6">
        <v>36768</v>
      </c>
      <c r="KI6">
        <v>77596</v>
      </c>
      <c r="KJ6">
        <v>61232</v>
      </c>
      <c r="KK6">
        <v>87775</v>
      </c>
      <c r="KL6">
        <v>61551</v>
      </c>
      <c r="KM6">
        <v>28128</v>
      </c>
      <c r="KN6">
        <v>10151</v>
      </c>
      <c r="KO6">
        <v>34613</v>
      </c>
      <c r="KP6">
        <v>63403</v>
      </c>
      <c r="KQ6">
        <v>23259</v>
      </c>
      <c r="KR6">
        <v>39706</v>
      </c>
      <c r="KS6">
        <v>46187</v>
      </c>
      <c r="KT6">
        <v>48636</v>
      </c>
      <c r="KU6">
        <v>65050</v>
      </c>
      <c r="KV6">
        <v>51457</v>
      </c>
      <c r="KW6">
        <v>73889</v>
      </c>
      <c r="KX6">
        <v>77825</v>
      </c>
      <c r="KY6">
        <v>78221</v>
      </c>
      <c r="KZ6">
        <v>17845</v>
      </c>
      <c r="LA6">
        <v>24003</v>
      </c>
      <c r="LB6">
        <v>25382</v>
      </c>
      <c r="LC6">
        <v>26287</v>
      </c>
      <c r="LD6">
        <v>41143</v>
      </c>
      <c r="LE6">
        <v>50240</v>
      </c>
      <c r="LF6">
        <v>67561</v>
      </c>
      <c r="LG6">
        <v>86095</v>
      </c>
      <c r="LH6">
        <v>37559</v>
      </c>
      <c r="LI6">
        <v>76523</v>
      </c>
      <c r="LJ6">
        <v>78601</v>
      </c>
      <c r="LK6">
        <v>43340</v>
      </c>
      <c r="LL6">
        <v>38696</v>
      </c>
      <c r="LM6">
        <v>47729</v>
      </c>
      <c r="LN6">
        <v>86385</v>
      </c>
      <c r="LO6">
        <v>89472</v>
      </c>
      <c r="LP6">
        <v>38653</v>
      </c>
      <c r="LQ6">
        <v>45792</v>
      </c>
      <c r="LR6">
        <v>24588</v>
      </c>
      <c r="LS6">
        <v>24627</v>
      </c>
      <c r="LT6">
        <v>89486</v>
      </c>
      <c r="LU6">
        <v>27896</v>
      </c>
      <c r="LV6">
        <v>12756</v>
      </c>
      <c r="LW6">
        <v>28139</v>
      </c>
      <c r="LX6">
        <v>56869</v>
      </c>
      <c r="LY6">
        <v>59314</v>
      </c>
      <c r="LZ6">
        <v>67412</v>
      </c>
      <c r="MA6">
        <v>70173</v>
      </c>
      <c r="MB6">
        <v>15285</v>
      </c>
      <c r="MC6">
        <v>17019</v>
      </c>
      <c r="MD6">
        <v>21736</v>
      </c>
      <c r="ME6">
        <v>30776</v>
      </c>
      <c r="MF6">
        <v>42461</v>
      </c>
      <c r="MG6">
        <v>23259</v>
      </c>
      <c r="MH6">
        <v>47097</v>
      </c>
      <c r="MI6">
        <v>48636</v>
      </c>
      <c r="MJ6">
        <v>79177</v>
      </c>
      <c r="MK6">
        <v>73889</v>
      </c>
      <c r="ML6">
        <v>78221</v>
      </c>
      <c r="MM6">
        <v>17845</v>
      </c>
      <c r="MN6">
        <v>50240</v>
      </c>
      <c r="MO6">
        <v>50695</v>
      </c>
      <c r="MP6">
        <v>64705</v>
      </c>
      <c r="MQ6">
        <v>66919</v>
      </c>
      <c r="MR6">
        <v>80154</v>
      </c>
      <c r="MS6">
        <v>86095</v>
      </c>
      <c r="MT6">
        <v>88179</v>
      </c>
      <c r="MU6">
        <v>32784</v>
      </c>
      <c r="MV6">
        <v>61502</v>
      </c>
      <c r="MW6">
        <v>87696</v>
      </c>
      <c r="MX6">
        <v>15595</v>
      </c>
      <c r="MY6">
        <v>58876</v>
      </c>
      <c r="MZ6">
        <v>87778</v>
      </c>
      <c r="NA6">
        <v>13175</v>
      </c>
      <c r="NB6">
        <v>24014</v>
      </c>
      <c r="NC6">
        <v>35143</v>
      </c>
      <c r="ND6">
        <v>43342</v>
      </c>
      <c r="NE6">
        <v>44852</v>
      </c>
      <c r="NF6">
        <v>51003</v>
      </c>
      <c r="NG6">
        <v>87775</v>
      </c>
      <c r="NH6">
        <v>34812</v>
      </c>
      <c r="NI6">
        <v>89486</v>
      </c>
      <c r="NJ6">
        <v>21575</v>
      </c>
      <c r="NK6">
        <v>69407</v>
      </c>
      <c r="NL6">
        <v>67412</v>
      </c>
      <c r="NM6">
        <v>20294</v>
      </c>
      <c r="NN6">
        <v>22559</v>
      </c>
      <c r="NO6">
        <v>33328</v>
      </c>
      <c r="NP6">
        <v>11546</v>
      </c>
      <c r="NQ6">
        <v>56073</v>
      </c>
      <c r="NR6">
        <v>47097</v>
      </c>
      <c r="NS6">
        <v>43566</v>
      </c>
      <c r="NT6">
        <v>51457</v>
      </c>
      <c r="NU6">
        <v>53789</v>
      </c>
      <c r="NV6">
        <v>17845</v>
      </c>
      <c r="NW6">
        <v>36135</v>
      </c>
      <c r="NX6">
        <v>37424</v>
      </c>
      <c r="NY6">
        <v>41143</v>
      </c>
      <c r="NZ6">
        <v>63405</v>
      </c>
      <c r="OA6">
        <v>28350</v>
      </c>
      <c r="OB6">
        <v>15595</v>
      </c>
      <c r="OC6">
        <v>30310</v>
      </c>
      <c r="OD6">
        <v>29282</v>
      </c>
      <c r="OE6">
        <v>36768</v>
      </c>
      <c r="OF6">
        <v>38696</v>
      </c>
      <c r="OG6">
        <v>56917</v>
      </c>
      <c r="OH6">
        <v>13175</v>
      </c>
      <c r="OI6">
        <v>24014</v>
      </c>
      <c r="OJ6">
        <v>35143</v>
      </c>
      <c r="OK6">
        <v>44852</v>
      </c>
      <c r="OL6">
        <v>45792</v>
      </c>
      <c r="OM6">
        <v>35207</v>
      </c>
      <c r="ON6">
        <v>27896</v>
      </c>
      <c r="OO6">
        <v>20294</v>
      </c>
      <c r="OP6">
        <v>23089</v>
      </c>
    </row>
    <row r="7" spans="2:407" x14ac:dyDescent="0.2">
      <c r="B7" t="s">
        <v>64</v>
      </c>
      <c r="C7" t="s">
        <v>3</v>
      </c>
      <c r="D7" s="8"/>
      <c r="E7" s="8"/>
      <c r="F7" s="8"/>
      <c r="G7" s="8"/>
      <c r="H7" s="8"/>
      <c r="I7" s="8">
        <v>0.06</v>
      </c>
      <c r="J7" s="8"/>
      <c r="K7" s="8">
        <v>21600026.309999999</v>
      </c>
      <c r="L7" s="8"/>
      <c r="M7" s="8"/>
      <c r="N7" s="8"/>
      <c r="O7" s="8"/>
      <c r="P7" s="8"/>
      <c r="Q7" s="8"/>
      <c r="R7" s="8"/>
      <c r="S7" s="8"/>
      <c r="T7" s="8">
        <v>6280757.4500000002</v>
      </c>
      <c r="U7" s="8"/>
      <c r="V7" s="8">
        <v>4852747.12</v>
      </c>
      <c r="W7" s="8"/>
      <c r="X7" s="8"/>
      <c r="Y7" s="8"/>
      <c r="Z7" s="8"/>
      <c r="AA7" s="8"/>
      <c r="AB7" s="8"/>
      <c r="AC7" s="8"/>
      <c r="AD7" s="8"/>
      <c r="AE7" s="8">
        <v>10940573.43</v>
      </c>
      <c r="AF7" s="8"/>
      <c r="AG7" s="8"/>
      <c r="AH7" s="8">
        <v>3186845.77</v>
      </c>
      <c r="AI7" s="8"/>
      <c r="AJ7" s="8">
        <v>6049955.8600000003</v>
      </c>
      <c r="AK7" s="8">
        <v>2556.8000000000002</v>
      </c>
      <c r="AL7" s="8"/>
      <c r="AM7" s="8"/>
      <c r="AN7" s="8"/>
      <c r="AO7" s="8">
        <v>9320300.4499999993</v>
      </c>
      <c r="AP7" s="8">
        <v>4972.47</v>
      </c>
      <c r="AQ7" s="8"/>
      <c r="AR7" s="8"/>
      <c r="AS7" s="8"/>
      <c r="AT7" s="8">
        <v>523650.29</v>
      </c>
      <c r="AU7" s="8"/>
      <c r="AV7" s="8"/>
      <c r="AW7" s="8"/>
      <c r="AX7" s="8"/>
      <c r="AY7" s="8"/>
      <c r="AZ7" s="8">
        <v>8050400.7699999996</v>
      </c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>
        <v>29975181.829999998</v>
      </c>
      <c r="CN7" s="8"/>
      <c r="CO7" s="8"/>
      <c r="CP7" s="8"/>
      <c r="CQ7" s="8"/>
      <c r="CR7" s="8"/>
      <c r="CS7" s="8">
        <v>10054306.880000001</v>
      </c>
      <c r="CT7" s="8">
        <v>13694663.619999999</v>
      </c>
      <c r="CU7" s="8"/>
      <c r="CV7" s="8"/>
      <c r="CW7" s="8"/>
      <c r="CX7" s="8">
        <v>13003675.939999999</v>
      </c>
      <c r="CY7" s="8"/>
      <c r="CZ7" s="8"/>
      <c r="DA7" s="8"/>
      <c r="DB7" s="8"/>
      <c r="DC7" s="8"/>
      <c r="DD7" s="8"/>
      <c r="DE7" s="8">
        <v>15914241.93</v>
      </c>
      <c r="DF7" s="8"/>
      <c r="DG7" s="8"/>
      <c r="DH7" s="8"/>
      <c r="DI7" s="8"/>
      <c r="DJ7" s="8"/>
      <c r="DK7" s="8"/>
      <c r="DL7" s="8">
        <v>7995.9</v>
      </c>
      <c r="DM7" s="8">
        <v>14639312.369999999</v>
      </c>
      <c r="DN7" s="8"/>
      <c r="DO7" s="8">
        <v>17975415.050000001</v>
      </c>
      <c r="DP7" s="8"/>
      <c r="DQ7" s="8">
        <v>6024027.6299999999</v>
      </c>
      <c r="DR7" s="8">
        <v>10456432.66</v>
      </c>
      <c r="DS7" s="8"/>
      <c r="DT7" s="8">
        <v>5779.52</v>
      </c>
      <c r="DU7" s="8"/>
      <c r="DV7" s="8"/>
      <c r="DW7" s="8">
        <v>2531466.92</v>
      </c>
      <c r="DX7" s="8"/>
      <c r="DY7" s="8"/>
      <c r="DZ7" s="8"/>
      <c r="EA7" s="8">
        <v>7047918.9800000004</v>
      </c>
      <c r="EB7" s="8"/>
      <c r="EC7" s="8"/>
      <c r="ED7" s="8"/>
      <c r="EE7" s="8"/>
      <c r="EF7" s="8"/>
      <c r="EG7" s="8"/>
      <c r="EH7" s="8"/>
      <c r="EI7" s="8"/>
      <c r="EJ7" s="8"/>
      <c r="EK7" s="8"/>
      <c r="EL7" s="8"/>
      <c r="EM7" s="8"/>
      <c r="EN7" s="8"/>
      <c r="EO7" s="8"/>
      <c r="EP7" s="8"/>
      <c r="EQ7" s="8">
        <v>68594278.989999995</v>
      </c>
      <c r="ER7" s="8"/>
      <c r="ES7" s="8"/>
      <c r="ET7" s="8"/>
      <c r="EU7" s="8"/>
      <c r="EV7" s="8"/>
      <c r="EW7" s="8"/>
      <c r="EX7" s="8">
        <v>84440331.459999993</v>
      </c>
      <c r="EY7" s="8"/>
      <c r="EZ7" s="8"/>
      <c r="FA7" s="8"/>
      <c r="FB7" s="8"/>
      <c r="FC7" s="8"/>
      <c r="FD7" s="8"/>
      <c r="FE7" s="8"/>
      <c r="FF7" s="8"/>
      <c r="FG7" s="8"/>
      <c r="FH7" s="8">
        <v>4754.21</v>
      </c>
      <c r="FI7" s="8"/>
      <c r="FJ7" s="8"/>
      <c r="FK7" s="8"/>
      <c r="FL7" s="8"/>
      <c r="FM7" s="8"/>
      <c r="FN7" s="8"/>
      <c r="FO7" s="8"/>
      <c r="FP7" s="8"/>
      <c r="FQ7" s="8"/>
      <c r="FR7" s="8"/>
      <c r="FS7" s="8"/>
      <c r="FT7" s="8"/>
      <c r="FU7" s="8"/>
      <c r="FV7" s="8"/>
      <c r="FW7" s="8"/>
      <c r="FX7" s="8"/>
      <c r="FY7" s="8"/>
      <c r="FZ7" s="8"/>
      <c r="GA7" s="8"/>
      <c r="GB7" s="8"/>
      <c r="GC7" s="8"/>
      <c r="GD7" s="8"/>
      <c r="GE7" s="8"/>
      <c r="GF7" s="8"/>
      <c r="GG7" s="8"/>
      <c r="GH7" s="8"/>
      <c r="GI7" s="8"/>
      <c r="GJ7" s="8"/>
      <c r="GK7" s="8"/>
      <c r="GL7" s="8"/>
      <c r="GM7" s="8"/>
      <c r="GN7" s="8"/>
      <c r="GO7" s="8"/>
      <c r="GP7" s="8"/>
      <c r="GQ7" s="8"/>
      <c r="GR7" s="8"/>
      <c r="GS7" s="8"/>
      <c r="GT7" s="8"/>
      <c r="GU7" s="8"/>
      <c r="GV7" s="8"/>
      <c r="GW7" s="8"/>
      <c r="GX7" s="8"/>
      <c r="GY7" s="8"/>
      <c r="GZ7" s="8"/>
      <c r="HA7" s="8"/>
      <c r="HB7" s="8"/>
      <c r="HC7" s="8"/>
      <c r="HD7" s="8"/>
      <c r="HE7" s="8"/>
      <c r="HF7" s="8"/>
      <c r="HG7" s="8">
        <v>9179427.4700000007</v>
      </c>
      <c r="HH7" s="8"/>
      <c r="HI7" s="8"/>
      <c r="HJ7" s="8"/>
      <c r="HK7" s="8">
        <v>14689228.41</v>
      </c>
      <c r="HL7" s="8">
        <v>12416815.539999999</v>
      </c>
      <c r="HM7" s="8"/>
      <c r="HN7" s="8"/>
      <c r="HO7" s="8"/>
      <c r="HP7" s="8"/>
      <c r="HQ7" s="8"/>
      <c r="HR7" s="8">
        <v>15419891.01</v>
      </c>
      <c r="HS7" s="8">
        <v>11830641.15</v>
      </c>
      <c r="HT7" s="8"/>
      <c r="HU7" s="8"/>
      <c r="HV7" s="8"/>
      <c r="HW7" s="8"/>
      <c r="HX7" s="8">
        <v>29110042.059999999</v>
      </c>
      <c r="HY7" s="8"/>
      <c r="HZ7" s="8"/>
      <c r="IA7" s="8"/>
      <c r="IB7" s="8"/>
      <c r="IC7" s="8"/>
      <c r="ID7" s="8"/>
      <c r="IE7" s="8">
        <v>14330442.890000001</v>
      </c>
      <c r="IF7" s="8"/>
      <c r="IG7" s="8"/>
      <c r="IH7" s="8"/>
      <c r="II7" s="8"/>
      <c r="IJ7" s="8"/>
      <c r="IK7" s="8"/>
      <c r="IL7" s="8"/>
      <c r="IM7" s="8"/>
      <c r="IN7" s="8"/>
      <c r="IO7" s="8"/>
      <c r="IP7" s="8">
        <v>1897866.48</v>
      </c>
      <c r="IQ7" s="8">
        <v>5793272.0700000003</v>
      </c>
      <c r="IR7" s="8"/>
      <c r="IS7" s="8"/>
      <c r="IT7" s="8">
        <v>19916837.23</v>
      </c>
      <c r="IU7" s="8"/>
      <c r="IV7" s="8"/>
      <c r="IW7" s="8">
        <v>17023037.84</v>
      </c>
      <c r="IX7" s="8"/>
      <c r="IY7" s="8"/>
      <c r="IZ7" s="8"/>
      <c r="JA7" s="8"/>
      <c r="JB7" s="8"/>
      <c r="JC7" s="8"/>
      <c r="JD7" s="8"/>
      <c r="JE7" s="8"/>
      <c r="JF7" s="8"/>
      <c r="JG7" s="8"/>
      <c r="JH7" s="8"/>
      <c r="JI7" s="8"/>
      <c r="JJ7" s="8"/>
      <c r="JK7" s="8">
        <v>29181112.18</v>
      </c>
      <c r="JL7" s="8"/>
      <c r="JM7" s="8"/>
      <c r="JN7" s="8"/>
      <c r="JO7" s="8"/>
      <c r="JP7" s="8"/>
      <c r="JQ7" s="8"/>
      <c r="JR7" s="8">
        <v>8556290.9700000007</v>
      </c>
      <c r="JS7" s="8"/>
      <c r="JT7" s="8"/>
      <c r="JU7" s="8"/>
      <c r="JV7" s="8">
        <v>11634664.720000001</v>
      </c>
      <c r="JW7" s="8"/>
      <c r="JX7" s="8"/>
      <c r="JY7" s="8">
        <v>5180.58</v>
      </c>
      <c r="JZ7" s="8"/>
      <c r="KA7" s="8"/>
      <c r="KB7" s="8">
        <v>12397879.85</v>
      </c>
      <c r="KC7" s="8"/>
      <c r="KD7" s="8">
        <v>8018988.2000000002</v>
      </c>
      <c r="KE7" s="8">
        <v>593.29</v>
      </c>
      <c r="KF7" s="8">
        <v>4642271.37</v>
      </c>
      <c r="KG7" s="8"/>
      <c r="KH7" s="8">
        <v>8644227.9100000001</v>
      </c>
      <c r="KI7" s="8">
        <v>6683321.9100000001</v>
      </c>
      <c r="KJ7" s="8"/>
      <c r="KK7" s="8"/>
      <c r="KL7" s="8"/>
      <c r="KM7" s="8">
        <v>1.36</v>
      </c>
      <c r="KN7" s="8"/>
      <c r="KO7" s="8"/>
      <c r="KP7" s="8"/>
      <c r="KQ7" s="8"/>
      <c r="KR7" s="8"/>
      <c r="KS7" s="8"/>
      <c r="KT7" s="8"/>
      <c r="KU7" s="8"/>
      <c r="KV7" s="8">
        <v>28361830.760000002</v>
      </c>
      <c r="KW7" s="8"/>
      <c r="KX7" s="8"/>
      <c r="KY7" s="8"/>
      <c r="KZ7" s="8"/>
      <c r="LA7" s="8"/>
      <c r="LB7" s="8"/>
      <c r="LC7" s="8">
        <v>28664410.5</v>
      </c>
      <c r="LD7" s="8">
        <v>7582.44</v>
      </c>
      <c r="LE7" s="8"/>
      <c r="LF7" s="8"/>
      <c r="LG7" s="8"/>
      <c r="LH7" s="8">
        <v>26120349.239999998</v>
      </c>
      <c r="LI7" s="8"/>
      <c r="LJ7" s="8"/>
      <c r="LK7" s="8"/>
      <c r="LL7" s="8"/>
      <c r="LM7" s="8"/>
      <c r="LN7" s="8">
        <v>68215967.700000003</v>
      </c>
      <c r="LO7" s="8"/>
      <c r="LP7" s="8"/>
      <c r="LQ7" s="8"/>
      <c r="LR7" s="8"/>
      <c r="LS7" s="8"/>
      <c r="LT7" s="8"/>
      <c r="LU7" s="8">
        <v>9672425.0600000005</v>
      </c>
      <c r="LV7" s="8"/>
      <c r="LW7" s="8">
        <v>48877426.630000003</v>
      </c>
      <c r="LX7" s="8"/>
      <c r="LY7" s="8"/>
      <c r="LZ7" s="8">
        <v>49761951.409999996</v>
      </c>
      <c r="MA7" s="8"/>
      <c r="MB7" s="8"/>
      <c r="MC7" s="8"/>
      <c r="MD7" s="8"/>
      <c r="ME7" s="8">
        <v>24610043.07</v>
      </c>
      <c r="MF7" s="8"/>
      <c r="MG7" s="8"/>
      <c r="MH7" s="8"/>
      <c r="MI7" s="8"/>
      <c r="MJ7" s="8"/>
      <c r="MK7" s="8"/>
      <c r="ML7" s="8"/>
      <c r="MM7" s="8"/>
      <c r="MN7" s="8"/>
      <c r="MO7" s="8">
        <v>48664736.920000002</v>
      </c>
      <c r="MP7" s="8"/>
      <c r="MQ7" s="8"/>
      <c r="MR7" s="8"/>
      <c r="MS7" s="8"/>
      <c r="MT7" s="8">
        <v>64856701</v>
      </c>
      <c r="MU7" s="8"/>
      <c r="MV7" s="8"/>
      <c r="MW7" s="8"/>
      <c r="MX7" s="8"/>
      <c r="MY7" s="8"/>
      <c r="MZ7" s="8"/>
      <c r="NA7" s="8"/>
      <c r="NB7" s="8"/>
      <c r="NC7" s="8">
        <v>5507.8</v>
      </c>
      <c r="ND7" s="8"/>
      <c r="NE7" s="8"/>
      <c r="NF7" s="8"/>
      <c r="NG7" s="8"/>
      <c r="NH7" s="8"/>
      <c r="NI7" s="8"/>
      <c r="NJ7" s="8"/>
      <c r="NK7" s="8"/>
      <c r="NL7" s="8"/>
      <c r="NM7" s="8">
        <v>27600945.41</v>
      </c>
      <c r="NN7" s="8">
        <v>28375211.109999999</v>
      </c>
      <c r="NO7" s="8">
        <v>58265179.100000001</v>
      </c>
      <c r="NP7" s="8"/>
      <c r="NQ7" s="8"/>
      <c r="NR7" s="8"/>
      <c r="NS7" s="8"/>
      <c r="NT7" s="8">
        <v>26853091.739999998</v>
      </c>
      <c r="NU7" s="8"/>
      <c r="NV7" s="8"/>
      <c r="NW7" s="8"/>
      <c r="NX7" s="8"/>
      <c r="NY7" s="8"/>
      <c r="NZ7" s="8"/>
      <c r="OA7" s="8">
        <v>17041474.52</v>
      </c>
      <c r="OB7" s="8">
        <v>4788020.07</v>
      </c>
      <c r="OC7" s="8">
        <v>36257410.140000001</v>
      </c>
      <c r="OD7" s="8"/>
      <c r="OE7" s="8"/>
      <c r="OF7" s="8"/>
      <c r="OG7" s="8"/>
      <c r="OH7" s="8"/>
      <c r="OI7" s="8"/>
      <c r="OJ7" s="8"/>
      <c r="OK7" s="8"/>
      <c r="OL7" s="8"/>
      <c r="OM7" s="8"/>
      <c r="ON7" s="8"/>
      <c r="OO7" s="8"/>
      <c r="OP7" s="8">
        <v>37502770.109999999</v>
      </c>
      <c r="OQ7" s="5">
        <v>1241057639.8899999</v>
      </c>
    </row>
    <row r="8" spans="2:407" x14ac:dyDescent="0.2">
      <c r="B8" t="s">
        <v>65</v>
      </c>
      <c r="C8" t="s">
        <v>4</v>
      </c>
      <c r="D8" s="8"/>
      <c r="E8" s="8"/>
      <c r="F8" s="8"/>
      <c r="G8" s="8"/>
      <c r="H8" s="8"/>
      <c r="I8" s="8"/>
      <c r="J8" s="8"/>
      <c r="K8" s="8"/>
      <c r="L8" s="8"/>
      <c r="M8" s="8">
        <v>301179.5</v>
      </c>
      <c r="N8" s="8"/>
      <c r="O8" s="8"/>
      <c r="P8" s="8"/>
      <c r="Q8" s="8">
        <v>2011693</v>
      </c>
      <c r="R8" s="8"/>
      <c r="S8" s="8">
        <v>473840.67</v>
      </c>
      <c r="T8" s="8"/>
      <c r="U8" s="8"/>
      <c r="V8" s="8"/>
      <c r="W8" s="8">
        <v>7111.4</v>
      </c>
      <c r="X8" s="8"/>
      <c r="Y8" s="8"/>
      <c r="Z8" s="8"/>
      <c r="AA8" s="8"/>
      <c r="AB8" s="8">
        <v>360661.72</v>
      </c>
      <c r="AC8" s="8">
        <v>250829.63</v>
      </c>
      <c r="AD8" s="8"/>
      <c r="AE8" s="8"/>
      <c r="AF8" s="8"/>
      <c r="AG8" s="8">
        <v>958527.67</v>
      </c>
      <c r="AH8" s="8">
        <v>910585.56</v>
      </c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>
        <v>1618708.66</v>
      </c>
      <c r="BD8" s="8">
        <v>969264.56</v>
      </c>
      <c r="BE8" s="8">
        <v>983285.56</v>
      </c>
      <c r="BF8" s="8">
        <v>8803.09</v>
      </c>
      <c r="BG8" s="8"/>
      <c r="BH8" s="8">
        <v>1242818.49</v>
      </c>
      <c r="BI8" s="8"/>
      <c r="BJ8" s="8"/>
      <c r="BK8" s="8"/>
      <c r="BL8" s="8"/>
      <c r="BM8" s="8"/>
      <c r="BN8" s="8"/>
      <c r="BO8" s="8"/>
      <c r="BP8" s="8"/>
      <c r="BQ8" s="8"/>
      <c r="BR8" s="8"/>
      <c r="BS8" s="8"/>
      <c r="BT8" s="8"/>
      <c r="BU8" s="8"/>
      <c r="BV8" s="8"/>
      <c r="BW8" s="8"/>
      <c r="BX8" s="8"/>
      <c r="BY8" s="8"/>
      <c r="BZ8" s="8"/>
      <c r="CA8" s="8">
        <v>3802243</v>
      </c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CU8" s="8"/>
      <c r="CV8" s="8"/>
      <c r="CW8" s="8"/>
      <c r="CX8" s="8"/>
      <c r="CY8" s="8"/>
      <c r="CZ8" s="8"/>
      <c r="DA8" s="8"/>
      <c r="DB8" s="8"/>
      <c r="DC8" s="8"/>
      <c r="DD8" s="8"/>
      <c r="DE8" s="8"/>
      <c r="DF8" s="8"/>
      <c r="DG8" s="8"/>
      <c r="DH8" s="8"/>
      <c r="DI8" s="8"/>
      <c r="DJ8" s="8"/>
      <c r="DK8" s="8"/>
      <c r="DL8" s="8"/>
      <c r="DM8" s="8">
        <v>1567498.6</v>
      </c>
      <c r="DN8" s="8">
        <v>1184.47</v>
      </c>
      <c r="DO8" s="8"/>
      <c r="DP8" s="8"/>
      <c r="DQ8" s="8"/>
      <c r="DR8" s="8"/>
      <c r="DS8" s="8">
        <v>2342916.59</v>
      </c>
      <c r="DT8" s="8">
        <v>1647627.79</v>
      </c>
      <c r="DU8" s="8"/>
      <c r="DV8" s="8"/>
      <c r="DW8" s="8"/>
      <c r="DX8" s="8"/>
      <c r="DY8" s="8"/>
      <c r="DZ8" s="8"/>
      <c r="EA8" s="8"/>
      <c r="EB8" s="8"/>
      <c r="EC8" s="8"/>
      <c r="ED8" s="8">
        <v>995394.07</v>
      </c>
      <c r="EE8" s="8"/>
      <c r="EF8" s="8"/>
      <c r="EG8" s="8"/>
      <c r="EH8" s="8"/>
      <c r="EI8" s="8"/>
      <c r="EJ8" s="8"/>
      <c r="EK8" s="8"/>
      <c r="EL8" s="8"/>
      <c r="EM8" s="8"/>
      <c r="EN8" s="8"/>
      <c r="EO8" s="8"/>
      <c r="EP8" s="8"/>
      <c r="EQ8" s="8"/>
      <c r="ER8" s="8"/>
      <c r="ES8" s="8"/>
      <c r="ET8" s="8"/>
      <c r="EU8" s="8">
        <v>1365.87</v>
      </c>
      <c r="EV8" s="8">
        <v>1.24</v>
      </c>
      <c r="EW8" s="8"/>
      <c r="EX8" s="8"/>
      <c r="EY8" s="8"/>
      <c r="EZ8" s="8"/>
      <c r="FA8" s="8"/>
      <c r="FB8" s="8"/>
      <c r="FC8" s="8">
        <v>2308072.54</v>
      </c>
      <c r="FD8" s="8"/>
      <c r="FE8" s="8"/>
      <c r="FF8" s="8"/>
      <c r="FG8" s="8"/>
      <c r="FH8" s="8"/>
      <c r="FI8" s="8"/>
      <c r="FJ8" s="8">
        <v>4237422.57</v>
      </c>
      <c r="FK8" s="8">
        <v>4072191.13</v>
      </c>
      <c r="FL8" s="8">
        <v>2524076.84</v>
      </c>
      <c r="FM8" s="8"/>
      <c r="FN8" s="8"/>
      <c r="FO8" s="8"/>
      <c r="FP8" s="8">
        <v>1444.18</v>
      </c>
      <c r="FQ8" s="8"/>
      <c r="FR8" s="8"/>
      <c r="FS8" s="8"/>
      <c r="FT8" s="8"/>
      <c r="FU8" s="8"/>
      <c r="FV8" s="8"/>
      <c r="FW8" s="8"/>
      <c r="FX8" s="8"/>
      <c r="FY8" s="8"/>
      <c r="FZ8" s="8"/>
      <c r="GA8" s="8">
        <v>2379445</v>
      </c>
      <c r="GB8" s="8"/>
      <c r="GC8" s="8"/>
      <c r="GD8" s="8"/>
      <c r="GE8" s="8"/>
      <c r="GF8" s="8"/>
      <c r="GG8" s="8">
        <v>3042362.68</v>
      </c>
      <c r="GH8" s="8"/>
      <c r="GI8" s="8"/>
      <c r="GJ8" s="8"/>
      <c r="GK8" s="8"/>
      <c r="GL8" s="8">
        <v>6043811.4800000004</v>
      </c>
      <c r="GM8" s="8"/>
      <c r="GN8" s="8"/>
      <c r="GO8" s="8"/>
      <c r="GP8" s="8"/>
      <c r="GQ8" s="8"/>
      <c r="GR8" s="8"/>
      <c r="GS8" s="8">
        <v>854715.58</v>
      </c>
      <c r="GT8" s="8"/>
      <c r="GU8" s="8">
        <v>10035.049999999999</v>
      </c>
      <c r="GV8" s="8"/>
      <c r="GW8" s="8"/>
      <c r="GX8" s="8"/>
      <c r="GY8" s="8"/>
      <c r="GZ8" s="8"/>
      <c r="HA8" s="8"/>
      <c r="HB8" s="8">
        <v>1952.32</v>
      </c>
      <c r="HC8" s="8"/>
      <c r="HD8" s="8"/>
      <c r="HE8" s="8"/>
      <c r="HF8" s="8"/>
      <c r="HG8" s="8">
        <v>3745057.61</v>
      </c>
      <c r="HH8" s="8"/>
      <c r="HI8" s="8"/>
      <c r="HJ8" s="8"/>
      <c r="HK8" s="8"/>
      <c r="HL8" s="8"/>
      <c r="HM8" s="8"/>
      <c r="HN8" s="8"/>
      <c r="HO8" s="8"/>
      <c r="HP8" s="8"/>
      <c r="HQ8" s="8"/>
      <c r="HR8" s="8">
        <v>932510.03</v>
      </c>
      <c r="HS8" s="8"/>
      <c r="HT8" s="8"/>
      <c r="HU8" s="8"/>
      <c r="HV8" s="8"/>
      <c r="HW8" s="8"/>
      <c r="HX8" s="8">
        <v>4432387.58</v>
      </c>
      <c r="HY8" s="8"/>
      <c r="HZ8" s="8"/>
      <c r="IA8" s="8"/>
      <c r="IB8" s="8"/>
      <c r="IC8" s="8"/>
      <c r="ID8" s="8"/>
      <c r="IE8" s="8"/>
      <c r="IF8" s="8"/>
      <c r="IG8" s="8"/>
      <c r="IH8" s="8"/>
      <c r="II8" s="8"/>
      <c r="IJ8" s="8">
        <v>3825077.21</v>
      </c>
      <c r="IK8" s="8"/>
      <c r="IL8" s="8"/>
      <c r="IM8" s="8"/>
      <c r="IN8" s="8"/>
      <c r="IO8" s="8"/>
      <c r="IP8" s="8"/>
      <c r="IQ8" s="8"/>
      <c r="IR8" s="8"/>
      <c r="IS8" s="8"/>
      <c r="IT8" s="8"/>
      <c r="IU8" s="8"/>
      <c r="IV8" s="8"/>
      <c r="IW8" s="8">
        <v>9539.32</v>
      </c>
      <c r="IX8" s="8"/>
      <c r="IY8" s="8">
        <v>2147004.8199999998</v>
      </c>
      <c r="IZ8" s="8"/>
      <c r="JA8" s="8"/>
      <c r="JB8" s="8"/>
      <c r="JC8" s="8"/>
      <c r="JD8" s="8"/>
      <c r="JE8" s="8"/>
      <c r="JF8" s="8"/>
      <c r="JG8" s="8"/>
      <c r="JH8" s="8"/>
      <c r="JI8" s="8"/>
      <c r="JJ8" s="8"/>
      <c r="JK8" s="8"/>
      <c r="JL8" s="8"/>
      <c r="JM8" s="8"/>
      <c r="JN8" s="8"/>
      <c r="JO8" s="8"/>
      <c r="JP8" s="8"/>
      <c r="JQ8" s="8"/>
      <c r="JR8" s="8"/>
      <c r="JS8" s="8"/>
      <c r="JT8" s="8"/>
      <c r="JU8" s="8"/>
      <c r="JV8" s="8"/>
      <c r="JW8" s="8"/>
      <c r="JX8" s="8"/>
      <c r="JY8" s="8"/>
      <c r="JZ8" s="8"/>
      <c r="KA8" s="8"/>
      <c r="KB8" s="8"/>
      <c r="KC8" s="8"/>
      <c r="KD8" s="8"/>
      <c r="KE8" s="8">
        <v>598167.67000000004</v>
      </c>
      <c r="KF8" s="8"/>
      <c r="KG8" s="8"/>
      <c r="KH8" s="8">
        <v>2173040.88</v>
      </c>
      <c r="KI8" s="8"/>
      <c r="KJ8" s="8">
        <v>1040166.46</v>
      </c>
      <c r="KK8" s="8"/>
      <c r="KL8" s="8"/>
      <c r="KM8" s="8"/>
      <c r="KN8" s="8"/>
      <c r="KO8" s="8">
        <v>14934149.220000001</v>
      </c>
      <c r="KP8" s="8"/>
      <c r="KQ8" s="8"/>
      <c r="KR8" s="8"/>
      <c r="KS8" s="8"/>
      <c r="KT8" s="8"/>
      <c r="KU8" s="8"/>
      <c r="KV8" s="8"/>
      <c r="KW8" s="8"/>
      <c r="KX8" s="8"/>
      <c r="KY8" s="8"/>
      <c r="KZ8" s="8"/>
      <c r="LA8" s="8"/>
      <c r="LB8" s="8"/>
      <c r="LC8" s="8"/>
      <c r="LD8" s="8"/>
      <c r="LE8" s="8"/>
      <c r="LF8" s="8"/>
      <c r="LG8" s="8"/>
      <c r="LH8" s="8"/>
      <c r="LI8" s="8"/>
      <c r="LJ8" s="8"/>
      <c r="LK8" s="8"/>
      <c r="LL8" s="8"/>
      <c r="LM8" s="8"/>
      <c r="LN8" s="8"/>
      <c r="LO8" s="8"/>
      <c r="LP8" s="8">
        <v>6141490.8899999997</v>
      </c>
      <c r="LQ8" s="8"/>
      <c r="LR8" s="8">
        <v>7163810.5700000003</v>
      </c>
      <c r="LS8" s="8"/>
      <c r="LT8" s="8"/>
      <c r="LU8" s="8"/>
      <c r="LV8" s="8"/>
      <c r="LW8" s="8"/>
      <c r="LX8" s="8"/>
      <c r="LY8" s="8"/>
      <c r="LZ8" s="8"/>
      <c r="MA8" s="8"/>
      <c r="MB8" s="8"/>
      <c r="MC8" s="8"/>
      <c r="MD8" s="8"/>
      <c r="ME8" s="8">
        <v>2005083.98</v>
      </c>
      <c r="MF8" s="8"/>
      <c r="MG8" s="8"/>
      <c r="MH8" s="8"/>
      <c r="MI8" s="8">
        <v>5778236.2300000004</v>
      </c>
      <c r="MJ8" s="8"/>
      <c r="MK8" s="8"/>
      <c r="ML8" s="8"/>
      <c r="MM8" s="8"/>
      <c r="MN8" s="8"/>
      <c r="MO8" s="8">
        <v>3794180.67</v>
      </c>
      <c r="MP8" s="8"/>
      <c r="MQ8" s="8"/>
      <c r="MR8" s="8"/>
      <c r="MS8" s="8"/>
      <c r="MT8" s="8"/>
      <c r="MU8" s="8"/>
      <c r="MV8" s="8"/>
      <c r="MW8" s="8"/>
      <c r="MX8" s="8"/>
      <c r="MY8" s="8"/>
      <c r="MZ8" s="8"/>
      <c r="NA8" s="8">
        <v>1439026.92</v>
      </c>
      <c r="NB8" s="8"/>
      <c r="NC8" s="8"/>
      <c r="ND8" s="8"/>
      <c r="NE8" s="8">
        <v>5031074.47</v>
      </c>
      <c r="NF8" s="8"/>
      <c r="NG8" s="8"/>
      <c r="NH8" s="8"/>
      <c r="NI8" s="8"/>
      <c r="NJ8" s="8"/>
      <c r="NK8" s="8">
        <v>3402607.59</v>
      </c>
      <c r="NL8" s="8"/>
      <c r="NM8" s="8"/>
      <c r="NN8" s="8"/>
      <c r="NO8" s="8">
        <v>2434929.7799999998</v>
      </c>
      <c r="NP8" s="8"/>
      <c r="NQ8" s="8"/>
      <c r="NR8" s="8"/>
      <c r="NS8" s="8"/>
      <c r="NT8" s="8"/>
      <c r="NU8" s="8"/>
      <c r="NV8" s="8"/>
      <c r="NW8" s="8"/>
      <c r="NX8" s="8"/>
      <c r="NY8" s="8"/>
      <c r="NZ8" s="8"/>
      <c r="OA8" s="8"/>
      <c r="OB8" s="8"/>
      <c r="OC8" s="8"/>
      <c r="OD8" s="8"/>
      <c r="OE8" s="8"/>
      <c r="OF8" s="8"/>
      <c r="OG8" s="8"/>
      <c r="OH8" s="8"/>
      <c r="OI8" s="8"/>
      <c r="OJ8" s="8"/>
      <c r="OK8" s="8"/>
      <c r="OL8" s="8"/>
      <c r="OM8" s="8"/>
      <c r="ON8" s="8"/>
      <c r="OO8" s="8"/>
      <c r="OP8" s="8"/>
      <c r="OQ8" s="5">
        <v>116958612.41000003</v>
      </c>
    </row>
    <row r="9" spans="2:407" x14ac:dyDescent="0.2">
      <c r="B9" t="s">
        <v>66</v>
      </c>
      <c r="C9" t="s">
        <v>47</v>
      </c>
      <c r="D9" s="8"/>
      <c r="E9" s="8"/>
      <c r="F9" s="8"/>
      <c r="G9" s="8"/>
      <c r="H9" s="8"/>
      <c r="I9" s="8"/>
      <c r="J9" s="8">
        <v>686240.69</v>
      </c>
      <c r="K9" s="8">
        <v>1211593.75</v>
      </c>
      <c r="L9" s="8"/>
      <c r="M9" s="8">
        <v>918.34</v>
      </c>
      <c r="N9" s="8">
        <v>1647887.95</v>
      </c>
      <c r="O9" s="8">
        <v>500761.72</v>
      </c>
      <c r="P9" s="8"/>
      <c r="Q9" s="8">
        <v>1134482.83</v>
      </c>
      <c r="R9" s="8">
        <v>617.70000000000005</v>
      </c>
      <c r="S9" s="8"/>
      <c r="T9" s="8"/>
      <c r="U9" s="8">
        <v>1770386.09</v>
      </c>
      <c r="V9" s="8">
        <v>2007144.1</v>
      </c>
      <c r="W9" s="8">
        <v>720335.85</v>
      </c>
      <c r="X9" s="8"/>
      <c r="Y9" s="8"/>
      <c r="Z9" s="8"/>
      <c r="AA9" s="8"/>
      <c r="AB9" s="8"/>
      <c r="AC9" s="8"/>
      <c r="AD9" s="8">
        <v>1974554.71</v>
      </c>
      <c r="AE9" s="8"/>
      <c r="AF9" s="8">
        <v>556076.14</v>
      </c>
      <c r="AG9" s="8"/>
      <c r="AH9" s="8"/>
      <c r="AI9" s="8"/>
      <c r="AJ9" s="8"/>
      <c r="AK9" s="8"/>
      <c r="AL9" s="8"/>
      <c r="AM9" s="8"/>
      <c r="AN9" s="8"/>
      <c r="AO9" s="8"/>
      <c r="AP9" s="8">
        <v>966750.66</v>
      </c>
      <c r="AQ9" s="8">
        <v>2169438.5299999998</v>
      </c>
      <c r="AR9" s="8"/>
      <c r="AS9" s="8"/>
      <c r="AT9" s="8">
        <v>1.1200000000000001</v>
      </c>
      <c r="AU9" s="8">
        <v>333798.84999999998</v>
      </c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>
        <v>4774810.97</v>
      </c>
      <c r="CL9" s="8"/>
      <c r="CM9" s="8"/>
      <c r="CN9" s="8"/>
      <c r="CO9" s="8"/>
      <c r="CP9" s="8"/>
      <c r="CQ9" s="8"/>
      <c r="CR9" s="8"/>
      <c r="CS9" s="8"/>
      <c r="CT9" s="8"/>
      <c r="CU9" s="8">
        <v>2532967.62</v>
      </c>
      <c r="CV9" s="8">
        <v>3770628.92</v>
      </c>
      <c r="CW9" s="8"/>
      <c r="CX9" s="8"/>
      <c r="CY9" s="8"/>
      <c r="CZ9" s="8">
        <v>11423.85</v>
      </c>
      <c r="DA9" s="8">
        <v>4008205.84</v>
      </c>
      <c r="DB9" s="8"/>
      <c r="DC9" s="8">
        <v>4408390.3499999996</v>
      </c>
      <c r="DD9" s="8"/>
      <c r="DE9" s="8"/>
      <c r="DF9" s="8"/>
      <c r="DG9" s="8">
        <v>4468355.17</v>
      </c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>
        <v>6216437.7599999998</v>
      </c>
      <c r="EG9" s="8"/>
      <c r="EH9" s="8"/>
      <c r="EI9" s="8"/>
      <c r="EJ9" s="8"/>
      <c r="EK9" s="8"/>
      <c r="EL9" s="8"/>
      <c r="EM9" s="8"/>
      <c r="EN9" s="8"/>
      <c r="EO9" s="8">
        <v>8317410.8200000003</v>
      </c>
      <c r="EP9" s="8">
        <v>14145321.24</v>
      </c>
      <c r="EQ9" s="8"/>
      <c r="ER9" s="8"/>
      <c r="ES9" s="8">
        <v>25211773.75</v>
      </c>
      <c r="ET9" s="8"/>
      <c r="EU9" s="8"/>
      <c r="EV9" s="8">
        <v>7247347.5800000001</v>
      </c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>
        <v>16685025.140000001</v>
      </c>
      <c r="FI9" s="8"/>
      <c r="FJ9" s="8"/>
      <c r="FK9" s="8"/>
      <c r="FL9" s="8"/>
      <c r="FM9" s="8"/>
      <c r="FN9" s="8"/>
      <c r="FO9" s="8"/>
      <c r="FP9" s="8"/>
      <c r="FQ9" s="8">
        <v>2654053.7799999998</v>
      </c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>
        <v>3404194.92</v>
      </c>
      <c r="GI9" s="8"/>
      <c r="GJ9" s="8"/>
      <c r="GK9" s="8"/>
      <c r="GL9" s="8"/>
      <c r="GM9" s="8">
        <v>2085386.86</v>
      </c>
      <c r="GN9" s="8"/>
      <c r="GO9" s="8"/>
      <c r="GP9" s="8"/>
      <c r="GQ9" s="8"/>
      <c r="GR9" s="8"/>
      <c r="GS9" s="8"/>
      <c r="GT9" s="8">
        <v>6762905.79</v>
      </c>
      <c r="GU9" s="8"/>
      <c r="GV9" s="8"/>
      <c r="GW9" s="8"/>
      <c r="GX9" s="8"/>
      <c r="GY9" s="8"/>
      <c r="GZ9" s="8"/>
      <c r="HA9" s="8"/>
      <c r="HB9" s="8"/>
      <c r="HC9" s="8"/>
      <c r="HD9" s="8"/>
      <c r="HE9" s="8">
        <v>2105588.0099999998</v>
      </c>
      <c r="HF9" s="8">
        <v>3275002.84</v>
      </c>
      <c r="HG9" s="8"/>
      <c r="HH9" s="8"/>
      <c r="HI9" s="8">
        <v>579.25</v>
      </c>
      <c r="HJ9" s="8"/>
      <c r="HK9" s="8">
        <v>2341535.5099999998</v>
      </c>
      <c r="HL9" s="8">
        <v>1324851.42</v>
      </c>
      <c r="HM9" s="8"/>
      <c r="HN9" s="8">
        <v>1864219.33</v>
      </c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>
        <v>2306205.4</v>
      </c>
      <c r="IC9" s="8"/>
      <c r="ID9" s="8"/>
      <c r="IE9" s="8"/>
      <c r="IF9" s="8"/>
      <c r="IG9" s="8"/>
      <c r="IH9" s="8"/>
      <c r="II9" s="8"/>
      <c r="IJ9" s="8"/>
      <c r="IK9" s="8"/>
      <c r="IL9" s="8">
        <v>11062964.470000001</v>
      </c>
      <c r="IM9" s="8"/>
      <c r="IN9" s="8"/>
      <c r="IO9" s="8"/>
      <c r="IP9" s="8"/>
      <c r="IQ9" s="8"/>
      <c r="IR9" s="8">
        <v>1544.12</v>
      </c>
      <c r="IS9" s="8"/>
      <c r="IT9" s="8"/>
      <c r="IU9" s="8"/>
      <c r="IV9" s="8"/>
      <c r="IW9" s="8"/>
      <c r="IX9" s="8"/>
      <c r="IY9" s="8"/>
      <c r="IZ9" s="8">
        <v>16039548.210000001</v>
      </c>
      <c r="JA9" s="8">
        <v>10635088.359999999</v>
      </c>
      <c r="JB9" s="8">
        <v>1357.96</v>
      </c>
      <c r="JC9" s="8"/>
      <c r="JD9" s="8"/>
      <c r="JE9" s="8">
        <v>4473385.79</v>
      </c>
      <c r="JF9" s="8"/>
      <c r="JG9" s="8"/>
      <c r="JH9" s="8"/>
      <c r="JI9" s="8">
        <v>5673155.3600000003</v>
      </c>
      <c r="JJ9" s="8"/>
      <c r="JK9" s="8"/>
      <c r="JL9" s="8"/>
      <c r="JM9" s="8"/>
      <c r="JN9" s="8">
        <v>6204667.3099999996</v>
      </c>
      <c r="JO9" s="8"/>
      <c r="JP9" s="8"/>
      <c r="JQ9" s="8"/>
      <c r="JR9" s="8"/>
      <c r="JS9" s="8"/>
      <c r="JT9" s="8"/>
      <c r="JU9" s="8"/>
      <c r="JV9" s="8"/>
      <c r="JW9" s="8"/>
      <c r="JX9" s="8">
        <v>4478332.71</v>
      </c>
      <c r="JY9" s="8">
        <v>0.24</v>
      </c>
      <c r="JZ9" s="8"/>
      <c r="KA9" s="8">
        <v>2020867.48</v>
      </c>
      <c r="KB9" s="8"/>
      <c r="KC9" s="8">
        <v>1034465.05</v>
      </c>
      <c r="KD9" s="8"/>
      <c r="KE9" s="8">
        <v>5089700.74</v>
      </c>
      <c r="KF9" s="8"/>
      <c r="KG9" s="8"/>
      <c r="KH9" s="8"/>
      <c r="KI9" s="8"/>
      <c r="KJ9" s="8">
        <v>554.84</v>
      </c>
      <c r="KK9" s="8">
        <v>3119232.18</v>
      </c>
      <c r="KL9" s="8">
        <v>3187101.5</v>
      </c>
      <c r="KM9" s="8">
        <v>2586922.06</v>
      </c>
      <c r="KN9" s="8">
        <v>7063185.8200000003</v>
      </c>
      <c r="KO9" s="8"/>
      <c r="KP9" s="8"/>
      <c r="KQ9" s="8">
        <v>6499358.1500000004</v>
      </c>
      <c r="KR9" s="8"/>
      <c r="KS9" s="8"/>
      <c r="KT9" s="8"/>
      <c r="KU9" s="8"/>
      <c r="KV9" s="8"/>
      <c r="KW9" s="8"/>
      <c r="KX9" s="8">
        <v>7698211.0999999996</v>
      </c>
      <c r="KY9" s="8"/>
      <c r="KZ9" s="8"/>
      <c r="LA9" s="8"/>
      <c r="LB9" s="8"/>
      <c r="LC9" s="8"/>
      <c r="LD9" s="8"/>
      <c r="LE9" s="8"/>
      <c r="LF9" s="8"/>
      <c r="LG9" s="8"/>
      <c r="LH9" s="8"/>
      <c r="LI9" s="8"/>
      <c r="LJ9" s="8">
        <v>40434140.350000001</v>
      </c>
      <c r="LK9" s="8"/>
      <c r="LL9" s="8"/>
      <c r="LM9" s="8"/>
      <c r="LN9" s="8">
        <v>11472</v>
      </c>
      <c r="LO9" s="8"/>
      <c r="LP9" s="8">
        <v>4030458.16</v>
      </c>
      <c r="LQ9" s="8">
        <v>2507486.31</v>
      </c>
      <c r="LR9" s="8"/>
      <c r="LS9" s="8"/>
      <c r="LT9" s="8"/>
      <c r="LU9" s="8"/>
      <c r="LV9" s="8"/>
      <c r="LW9" s="8"/>
      <c r="LX9" s="8">
        <v>8276490.1799999997</v>
      </c>
      <c r="LY9" s="8"/>
      <c r="LZ9" s="8"/>
      <c r="MA9" s="8"/>
      <c r="MB9" s="8"/>
      <c r="MC9" s="8"/>
      <c r="MD9" s="8"/>
      <c r="ME9" s="8">
        <v>19935946.390000001</v>
      </c>
      <c r="MF9" s="8">
        <v>9573355.5700000003</v>
      </c>
      <c r="MG9" s="8"/>
      <c r="MH9" s="8">
        <v>11765952.560000001</v>
      </c>
      <c r="MI9" s="8">
        <v>5591.69</v>
      </c>
      <c r="MJ9" s="8">
        <v>8130866.6600000001</v>
      </c>
      <c r="MK9" s="8"/>
      <c r="ML9" s="8"/>
      <c r="MM9" s="8"/>
      <c r="MN9" s="8"/>
      <c r="MO9" s="8"/>
      <c r="MP9" s="8"/>
      <c r="MQ9" s="8"/>
      <c r="MR9" s="8"/>
      <c r="MS9" s="8"/>
      <c r="MT9" s="8"/>
      <c r="MU9" s="8"/>
      <c r="MV9" s="8"/>
      <c r="MW9" s="8"/>
      <c r="MX9" s="8"/>
      <c r="MY9" s="8"/>
      <c r="MZ9" s="8"/>
      <c r="NA9" s="8">
        <v>14278167.609999999</v>
      </c>
      <c r="NB9" s="8"/>
      <c r="NC9" s="8"/>
      <c r="ND9" s="8"/>
      <c r="NE9" s="8"/>
      <c r="NF9" s="8"/>
      <c r="NG9" s="8">
        <v>19869431.18</v>
      </c>
      <c r="NH9" s="8"/>
      <c r="NI9" s="8"/>
      <c r="NJ9" s="8"/>
      <c r="NK9" s="8"/>
      <c r="NL9" s="8"/>
      <c r="NM9" s="8"/>
      <c r="NN9" s="8"/>
      <c r="NO9" s="8"/>
      <c r="NP9" s="8"/>
      <c r="NQ9" s="8"/>
      <c r="NR9" s="8"/>
      <c r="NS9" s="8"/>
      <c r="NT9" s="8"/>
      <c r="NU9" s="8"/>
      <c r="NV9" s="8"/>
      <c r="NW9" s="8"/>
      <c r="NX9" s="8"/>
      <c r="NY9" s="8"/>
      <c r="NZ9" s="8"/>
      <c r="OA9" s="8"/>
      <c r="OB9" s="8"/>
      <c r="OC9" s="8"/>
      <c r="OD9" s="8"/>
      <c r="OE9" s="8"/>
      <c r="OF9" s="8"/>
      <c r="OG9" s="8"/>
      <c r="OH9" s="8"/>
      <c r="OI9" s="8"/>
      <c r="OJ9" s="8"/>
      <c r="OK9" s="8"/>
      <c r="OL9" s="8"/>
      <c r="OM9" s="8"/>
      <c r="ON9" s="8"/>
      <c r="OO9" s="8"/>
      <c r="OP9" s="8"/>
      <c r="OQ9" s="5">
        <v>381292613.26000011</v>
      </c>
    </row>
    <row r="10" spans="2:407" x14ac:dyDescent="0.2">
      <c r="B10" t="s">
        <v>67</v>
      </c>
      <c r="C10" t="s">
        <v>5</v>
      </c>
      <c r="D10" s="8"/>
      <c r="E10" s="8">
        <v>-421746.62</v>
      </c>
      <c r="F10" s="8"/>
      <c r="G10" s="8"/>
      <c r="H10" s="8"/>
      <c r="I10" s="8"/>
      <c r="J10" s="8"/>
      <c r="K10" s="8"/>
      <c r="L10" s="8">
        <v>-954090.03</v>
      </c>
      <c r="M10" s="8"/>
      <c r="N10" s="8"/>
      <c r="O10" s="8">
        <v>-892229.05</v>
      </c>
      <c r="P10" s="8">
        <v>8915.9</v>
      </c>
      <c r="Q10" s="8"/>
      <c r="R10" s="8"/>
      <c r="S10" s="8"/>
      <c r="T10" s="8"/>
      <c r="U10" s="8">
        <v>-615979.64</v>
      </c>
      <c r="V10" s="8">
        <v>-210942.54</v>
      </c>
      <c r="W10" s="8"/>
      <c r="X10" s="8"/>
      <c r="Y10" s="8"/>
      <c r="Z10" s="8">
        <v>-901299.75</v>
      </c>
      <c r="AA10" s="8"/>
      <c r="AB10" s="8"/>
      <c r="AC10" s="8">
        <v>-835256.82</v>
      </c>
      <c r="AD10" s="8"/>
      <c r="AE10" s="8"/>
      <c r="AF10" s="8"/>
      <c r="AG10" s="8"/>
      <c r="AH10" s="8"/>
      <c r="AI10" s="8">
        <v>-1721995.03</v>
      </c>
      <c r="AJ10" s="8"/>
      <c r="AK10" s="8"/>
      <c r="AL10" s="8">
        <v>-635845.6</v>
      </c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>
        <v>-397285.44</v>
      </c>
      <c r="AX10" s="8"/>
      <c r="AY10" s="8">
        <v>-968974.75</v>
      </c>
      <c r="AZ10" s="8">
        <v>-492437.56</v>
      </c>
      <c r="BA10" s="8">
        <v>-1817594.54</v>
      </c>
      <c r="BB10" s="8"/>
      <c r="BC10" s="8"/>
      <c r="BD10" s="8"/>
      <c r="BE10" s="8"/>
      <c r="BF10" s="8"/>
      <c r="BG10" s="8"/>
      <c r="BH10" s="8"/>
      <c r="BI10" s="8"/>
      <c r="BJ10" s="8"/>
      <c r="BK10" s="8"/>
      <c r="BL10" s="8"/>
      <c r="BM10" s="8"/>
      <c r="BN10" s="8"/>
      <c r="BO10" s="8"/>
      <c r="BP10" s="8"/>
      <c r="BQ10" s="8"/>
      <c r="BR10" s="8">
        <v>-4081050</v>
      </c>
      <c r="BS10" s="8"/>
      <c r="BT10" s="8"/>
      <c r="BU10" s="8">
        <v>-3757861.41</v>
      </c>
      <c r="BV10" s="8"/>
      <c r="BW10" s="8"/>
      <c r="BX10" s="8"/>
      <c r="BY10" s="8"/>
      <c r="BZ10" s="8">
        <v>-1293274.28</v>
      </c>
      <c r="CA10" s="8"/>
      <c r="CB10" s="8"/>
      <c r="CC10" s="8"/>
      <c r="CD10" s="8"/>
      <c r="CE10" s="8">
        <v>-1128541.24</v>
      </c>
      <c r="CF10" s="8"/>
      <c r="CG10" s="8"/>
      <c r="CH10" s="8"/>
      <c r="CI10" s="8"/>
      <c r="CJ10" s="8"/>
      <c r="CK10" s="8"/>
      <c r="CL10" s="8">
        <v>-1191823.1499999999</v>
      </c>
      <c r="CM10" s="8"/>
      <c r="CN10" s="8"/>
      <c r="CO10" s="8"/>
      <c r="CP10" s="8"/>
      <c r="CQ10" s="8">
        <v>-1029764.77</v>
      </c>
      <c r="CR10" s="8"/>
      <c r="CS10" s="8"/>
      <c r="CT10" s="8"/>
      <c r="CU10" s="8"/>
      <c r="CV10" s="8"/>
      <c r="CW10" s="8"/>
      <c r="CX10" s="8">
        <v>778.98</v>
      </c>
      <c r="CY10" s="8">
        <v>3485.12</v>
      </c>
      <c r="CZ10" s="8">
        <v>-2017146.57</v>
      </c>
      <c r="DA10" s="8"/>
      <c r="DB10" s="8">
        <v>-864070.91</v>
      </c>
      <c r="DC10" s="8"/>
      <c r="DD10" s="8"/>
      <c r="DE10" s="8"/>
      <c r="DF10" s="8"/>
      <c r="DG10" s="8">
        <v>-1183256.1200000001</v>
      </c>
      <c r="DH10" s="8"/>
      <c r="DI10" s="8"/>
      <c r="DJ10" s="8">
        <v>-1225598.68</v>
      </c>
      <c r="DK10" s="8"/>
      <c r="DL10" s="8"/>
      <c r="DM10" s="8"/>
      <c r="DN10" s="8"/>
      <c r="DO10" s="8"/>
      <c r="DP10" s="8"/>
      <c r="DQ10" s="8"/>
      <c r="DR10" s="8"/>
      <c r="DS10" s="8"/>
      <c r="DT10" s="8"/>
      <c r="DU10" s="8"/>
      <c r="DV10" s="8"/>
      <c r="DW10" s="8"/>
      <c r="DX10" s="8">
        <v>-1676898.89</v>
      </c>
      <c r="DY10" s="8">
        <v>-3980427.33</v>
      </c>
      <c r="DZ10" s="8"/>
      <c r="EA10" s="8"/>
      <c r="EB10" s="8"/>
      <c r="EC10" s="8"/>
      <c r="ED10" s="8"/>
      <c r="EE10" s="8"/>
      <c r="EF10" s="8"/>
      <c r="EG10" s="8"/>
      <c r="EH10" s="8"/>
      <c r="EI10" s="8"/>
      <c r="EJ10" s="8"/>
      <c r="EK10" s="8"/>
      <c r="EL10" s="8"/>
      <c r="EM10" s="8"/>
      <c r="EN10" s="8"/>
      <c r="EO10" s="8"/>
      <c r="EP10" s="8"/>
      <c r="EQ10" s="8"/>
      <c r="ER10" s="8"/>
      <c r="ES10" s="8"/>
      <c r="ET10" s="8"/>
      <c r="EU10" s="8"/>
      <c r="EV10" s="8"/>
      <c r="EW10" s="8"/>
      <c r="EX10" s="8"/>
      <c r="EY10" s="8"/>
      <c r="EZ10" s="8"/>
      <c r="FA10" s="8"/>
      <c r="FB10" s="8"/>
      <c r="FC10" s="8"/>
      <c r="FD10" s="8"/>
      <c r="FE10" s="8"/>
      <c r="FF10" s="8"/>
      <c r="FG10" s="8"/>
      <c r="FH10" s="8"/>
      <c r="FI10" s="8"/>
      <c r="FJ10" s="8"/>
      <c r="FK10" s="8"/>
      <c r="FL10" s="8"/>
      <c r="FM10" s="8"/>
      <c r="FN10" s="8"/>
      <c r="FO10" s="8"/>
      <c r="FP10" s="8"/>
      <c r="FQ10" s="8"/>
      <c r="FR10" s="8"/>
      <c r="FS10" s="8">
        <v>-1545769.48</v>
      </c>
      <c r="FT10" s="8">
        <v>-2242357.44</v>
      </c>
      <c r="FU10" s="8"/>
      <c r="FV10" s="8"/>
      <c r="FW10" s="8"/>
      <c r="FX10" s="8"/>
      <c r="FY10" s="8"/>
      <c r="FZ10" s="8"/>
      <c r="GA10" s="8"/>
      <c r="GB10" s="8"/>
      <c r="GC10" s="8"/>
      <c r="GD10" s="8"/>
      <c r="GE10" s="8"/>
      <c r="GF10" s="8"/>
      <c r="GG10" s="8"/>
      <c r="GH10" s="8"/>
      <c r="GI10" s="8">
        <v>-4825557.9400000004</v>
      </c>
      <c r="GJ10" s="8"/>
      <c r="GK10" s="8"/>
      <c r="GL10" s="8"/>
      <c r="GM10" s="8"/>
      <c r="GN10" s="8"/>
      <c r="GO10" s="8"/>
      <c r="GP10" s="8"/>
      <c r="GQ10" s="8"/>
      <c r="GR10" s="8">
        <v>-4046596.45</v>
      </c>
      <c r="GS10" s="8"/>
      <c r="GT10" s="8"/>
      <c r="GU10" s="8"/>
      <c r="GV10" s="8"/>
      <c r="GW10" s="8"/>
      <c r="GX10" s="8"/>
      <c r="GY10" s="8">
        <v>-4726132.0999999996</v>
      </c>
      <c r="GZ10" s="8"/>
      <c r="HA10" s="8"/>
      <c r="HB10" s="8"/>
      <c r="HC10" s="8"/>
      <c r="HD10" s="8"/>
      <c r="HE10" s="8"/>
      <c r="HF10" s="8"/>
      <c r="HG10" s="8"/>
      <c r="HH10" s="8"/>
      <c r="HI10" s="8"/>
      <c r="HJ10" s="8"/>
      <c r="HK10" s="8"/>
      <c r="HL10" s="8"/>
      <c r="HM10" s="8"/>
      <c r="HN10" s="8"/>
      <c r="HO10" s="8"/>
      <c r="HP10" s="8"/>
      <c r="HQ10" s="8">
        <v>0.25</v>
      </c>
      <c r="HR10" s="8"/>
      <c r="HS10" s="8"/>
      <c r="HT10" s="8"/>
      <c r="HU10" s="8"/>
      <c r="HV10" s="8"/>
      <c r="HW10" s="8">
        <v>-5072335.12</v>
      </c>
      <c r="HX10" s="8"/>
      <c r="HY10" s="8"/>
      <c r="HZ10" s="8"/>
      <c r="IA10" s="8"/>
      <c r="IB10" s="8">
        <v>-2893832.98</v>
      </c>
      <c r="IC10" s="8"/>
      <c r="ID10" s="8"/>
      <c r="IE10" s="8">
        <v>-1226996.75</v>
      </c>
      <c r="IF10" s="8">
        <v>-2117420.38</v>
      </c>
      <c r="IG10" s="8"/>
      <c r="IH10" s="8"/>
      <c r="II10" s="8"/>
      <c r="IJ10" s="8"/>
      <c r="IK10" s="8"/>
      <c r="IL10" s="8"/>
      <c r="IM10" s="8"/>
      <c r="IN10" s="8"/>
      <c r="IO10" s="8">
        <v>-3890607</v>
      </c>
      <c r="IP10" s="8"/>
      <c r="IQ10" s="8"/>
      <c r="IR10" s="8"/>
      <c r="IS10" s="8"/>
      <c r="IT10" s="8"/>
      <c r="IU10" s="8"/>
      <c r="IV10" s="8"/>
      <c r="IW10" s="8"/>
      <c r="IX10" s="8"/>
      <c r="IY10" s="8"/>
      <c r="IZ10" s="8"/>
      <c r="JA10" s="8"/>
      <c r="JB10" s="8"/>
      <c r="JC10" s="8">
        <v>-1900992.07</v>
      </c>
      <c r="JD10" s="8"/>
      <c r="JE10" s="8"/>
      <c r="JF10" s="8"/>
      <c r="JG10" s="8"/>
      <c r="JH10" s="8"/>
      <c r="JI10" s="8"/>
      <c r="JJ10" s="8"/>
      <c r="JK10" s="8"/>
      <c r="JL10" s="8">
        <v>-693537.35</v>
      </c>
      <c r="JM10" s="8"/>
      <c r="JN10" s="8">
        <v>0.67</v>
      </c>
      <c r="JO10" s="8"/>
      <c r="JP10" s="8">
        <v>-1858222.95</v>
      </c>
      <c r="JQ10" s="8"/>
      <c r="JR10" s="8"/>
      <c r="JS10" s="8"/>
      <c r="JT10" s="8">
        <v>9840.51</v>
      </c>
      <c r="JU10" s="8"/>
      <c r="JV10" s="8"/>
      <c r="JW10" s="8"/>
      <c r="JX10" s="8"/>
      <c r="JY10" s="8"/>
      <c r="JZ10" s="8"/>
      <c r="KA10" s="8"/>
      <c r="KB10" s="8"/>
      <c r="KC10" s="8"/>
      <c r="KD10" s="8">
        <v>-707372.41</v>
      </c>
      <c r="KE10" s="8">
        <v>-382172.27</v>
      </c>
      <c r="KF10" s="8"/>
      <c r="KG10" s="8">
        <v>-2175112.9</v>
      </c>
      <c r="KH10" s="8">
        <v>-1025600.34</v>
      </c>
      <c r="KI10" s="8"/>
      <c r="KJ10" s="8"/>
      <c r="KK10" s="8">
        <v>-325565.8</v>
      </c>
      <c r="KL10" s="8">
        <v>-581160.92000000004</v>
      </c>
      <c r="KM10" s="8"/>
      <c r="KN10" s="8"/>
      <c r="KO10" s="8"/>
      <c r="KP10" s="8"/>
      <c r="KQ10" s="8"/>
      <c r="KR10" s="8"/>
      <c r="KS10" s="8"/>
      <c r="KT10" s="8"/>
      <c r="KU10" s="8"/>
      <c r="KV10" s="8"/>
      <c r="KW10" s="8"/>
      <c r="KX10" s="8"/>
      <c r="KY10" s="8"/>
      <c r="KZ10" s="8"/>
      <c r="LA10" s="8"/>
      <c r="LB10" s="8"/>
      <c r="LC10" s="8"/>
      <c r="LD10" s="8"/>
      <c r="LE10" s="8"/>
      <c r="LF10" s="8"/>
      <c r="LG10" s="8"/>
      <c r="LH10" s="8"/>
      <c r="LI10" s="8"/>
      <c r="LJ10" s="8"/>
      <c r="LK10" s="8"/>
      <c r="LL10" s="8"/>
      <c r="LM10" s="8"/>
      <c r="LN10" s="8"/>
      <c r="LO10" s="8"/>
      <c r="LP10" s="8"/>
      <c r="LQ10" s="8"/>
      <c r="LR10" s="8"/>
      <c r="LS10" s="8"/>
      <c r="LT10" s="8"/>
      <c r="LU10" s="8"/>
      <c r="LV10" s="8"/>
      <c r="LW10" s="8"/>
      <c r="LX10" s="8"/>
      <c r="LY10" s="8"/>
      <c r="LZ10" s="8"/>
      <c r="MA10" s="8"/>
      <c r="MB10" s="8"/>
      <c r="MC10" s="8">
        <v>-2840548.47</v>
      </c>
      <c r="MD10" s="8"/>
      <c r="ME10" s="8"/>
      <c r="MF10" s="8"/>
      <c r="MG10" s="8"/>
      <c r="MH10" s="8"/>
      <c r="MI10" s="8"/>
      <c r="MJ10" s="8">
        <v>-2012108.2</v>
      </c>
      <c r="MK10" s="8"/>
      <c r="ML10" s="8">
        <v>-10564312.82</v>
      </c>
      <c r="MM10" s="8">
        <v>0.42</v>
      </c>
      <c r="MN10" s="8"/>
      <c r="MO10" s="8"/>
      <c r="MP10" s="8"/>
      <c r="MQ10" s="8"/>
      <c r="MR10" s="8"/>
      <c r="MS10" s="8"/>
      <c r="MT10" s="8">
        <v>-3017022.68</v>
      </c>
      <c r="MU10" s="8"/>
      <c r="MV10" s="8"/>
      <c r="MW10" s="8"/>
      <c r="MX10" s="8"/>
      <c r="MY10" s="8"/>
      <c r="MZ10" s="8"/>
      <c r="NA10" s="8"/>
      <c r="NB10" s="8"/>
      <c r="NC10" s="8"/>
      <c r="ND10" s="8"/>
      <c r="NE10" s="8"/>
      <c r="NF10" s="8"/>
      <c r="NG10" s="8"/>
      <c r="NH10" s="8"/>
      <c r="NI10" s="8"/>
      <c r="NJ10" s="8">
        <v>-6077938.4699999997</v>
      </c>
      <c r="NK10" s="8"/>
      <c r="NL10" s="8"/>
      <c r="NM10" s="8"/>
      <c r="NN10" s="8">
        <v>-1513203.91</v>
      </c>
      <c r="NO10" s="8"/>
      <c r="NP10" s="8"/>
      <c r="NQ10" s="8"/>
      <c r="NR10" s="8"/>
      <c r="NS10" s="8"/>
      <c r="NT10" s="8"/>
      <c r="NU10" s="8"/>
      <c r="NV10" s="8"/>
      <c r="NW10" s="8"/>
      <c r="NX10" s="8"/>
      <c r="NY10" s="8"/>
      <c r="NZ10" s="8"/>
      <c r="OA10" s="8">
        <v>-3068432.72</v>
      </c>
      <c r="OB10" s="8"/>
      <c r="OC10" s="8"/>
      <c r="OD10" s="8"/>
      <c r="OE10" s="8"/>
      <c r="OF10" s="8"/>
      <c r="OG10" s="8"/>
      <c r="OH10" s="8"/>
      <c r="OI10" s="8"/>
      <c r="OJ10" s="8">
        <v>-4181105.14</v>
      </c>
      <c r="OK10" s="8"/>
      <c r="OL10" s="8"/>
      <c r="OM10" s="8"/>
      <c r="ON10" s="8">
        <v>-3764095.36</v>
      </c>
      <c r="OO10" s="8"/>
      <c r="OP10" s="8"/>
      <c r="OQ10" s="5">
        <v>-113548479.28999998</v>
      </c>
    </row>
    <row r="11" spans="2:407" x14ac:dyDescent="0.2">
      <c r="B11" t="s">
        <v>68</v>
      </c>
      <c r="C11" t="s">
        <v>6</v>
      </c>
      <c r="D11" s="8"/>
      <c r="E11" s="8"/>
      <c r="F11" s="8"/>
      <c r="G11" s="8"/>
      <c r="H11" s="8"/>
      <c r="I11" s="8">
        <v>458779.49</v>
      </c>
      <c r="J11" s="8"/>
      <c r="K11" s="8"/>
      <c r="L11" s="8"/>
      <c r="M11" s="8">
        <v>790935.91</v>
      </c>
      <c r="N11" s="8"/>
      <c r="O11" s="8"/>
      <c r="P11" s="8">
        <v>1010229.03</v>
      </c>
      <c r="Q11" s="8">
        <v>734591.92</v>
      </c>
      <c r="R11" s="8">
        <v>3419776.83</v>
      </c>
      <c r="S11" s="8">
        <v>1574825.08</v>
      </c>
      <c r="T11" s="8"/>
      <c r="U11" s="8"/>
      <c r="V11" s="8"/>
      <c r="W11" s="8"/>
      <c r="X11" s="8"/>
      <c r="Y11" s="8">
        <v>1886290.33</v>
      </c>
      <c r="Z11" s="8">
        <v>2717.67</v>
      </c>
      <c r="AA11" s="8">
        <v>833912.27</v>
      </c>
      <c r="AB11" s="8"/>
      <c r="AC11" s="8"/>
      <c r="AD11" s="8"/>
      <c r="AE11" s="8">
        <v>1896343.75</v>
      </c>
      <c r="AF11" s="8"/>
      <c r="AG11" s="8">
        <v>1191151.75</v>
      </c>
      <c r="AH11" s="8"/>
      <c r="AI11" s="8"/>
      <c r="AJ11" s="8">
        <v>941274.59</v>
      </c>
      <c r="AK11" s="8"/>
      <c r="AL11" s="8"/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>
        <v>5909178.8200000003</v>
      </c>
      <c r="BC11" s="8"/>
      <c r="BD11" s="8"/>
      <c r="BE11" s="8">
        <v>7722990.9199999999</v>
      </c>
      <c r="BF11" s="8"/>
      <c r="BG11" s="8"/>
      <c r="BH11" s="8"/>
      <c r="BI11" s="8"/>
      <c r="BJ11" s="8"/>
      <c r="BK11" s="8"/>
      <c r="BL11" s="8"/>
      <c r="BM11" s="8">
        <v>4922108.8499999996</v>
      </c>
      <c r="BN11" s="8"/>
      <c r="BO11" s="8"/>
      <c r="BP11" s="8"/>
      <c r="BQ11" s="8"/>
      <c r="BR11" s="8"/>
      <c r="BS11" s="8"/>
      <c r="BT11" s="8"/>
      <c r="BU11" s="8"/>
      <c r="BV11" s="8"/>
      <c r="BW11" s="8"/>
      <c r="BX11" s="8">
        <v>5511686.3799999999</v>
      </c>
      <c r="BY11" s="8"/>
      <c r="BZ11" s="8"/>
      <c r="CA11" s="8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CU11" s="8"/>
      <c r="CV11" s="8"/>
      <c r="CW11" s="8"/>
      <c r="CX11" s="8"/>
      <c r="CY11" s="8"/>
      <c r="CZ11" s="8"/>
      <c r="DA11" s="8"/>
      <c r="DB11" s="8"/>
      <c r="DC11" s="8"/>
      <c r="DD11" s="8"/>
      <c r="DE11" s="8"/>
      <c r="DF11" s="8"/>
      <c r="DG11" s="8"/>
      <c r="DH11" s="8"/>
      <c r="DI11" s="8"/>
      <c r="DJ11" s="8">
        <v>1722934.86</v>
      </c>
      <c r="DK11" s="8"/>
      <c r="DL11" s="8"/>
      <c r="DM11" s="8"/>
      <c r="DN11" s="8"/>
      <c r="DO11" s="8"/>
      <c r="DP11" s="8"/>
      <c r="DQ11" s="8">
        <v>3060185.87</v>
      </c>
      <c r="DR11" s="8"/>
      <c r="DS11" s="8">
        <v>2393671.12</v>
      </c>
      <c r="DT11" s="8">
        <v>2084562.71</v>
      </c>
      <c r="DU11" s="8">
        <v>1828086.85</v>
      </c>
      <c r="DV11" s="8"/>
      <c r="DW11" s="8"/>
      <c r="DX11" s="8"/>
      <c r="DY11" s="8"/>
      <c r="DZ11" s="8"/>
      <c r="EA11" s="8">
        <v>2245905.4900000002</v>
      </c>
      <c r="EB11" s="8">
        <v>1144057.6200000001</v>
      </c>
      <c r="EC11" s="8"/>
      <c r="ED11" s="8"/>
      <c r="EE11" s="8"/>
      <c r="EF11" s="8"/>
      <c r="EG11" s="8"/>
      <c r="EH11" s="8"/>
      <c r="EI11" s="8"/>
      <c r="EJ11" s="8"/>
      <c r="EK11" s="8"/>
      <c r="EL11" s="8"/>
      <c r="EM11" s="8"/>
      <c r="EN11" s="8"/>
      <c r="EO11" s="8"/>
      <c r="EP11" s="8"/>
      <c r="EQ11" s="8"/>
      <c r="ER11" s="8"/>
      <c r="ES11" s="8"/>
      <c r="ET11" s="8"/>
      <c r="EU11" s="8"/>
      <c r="EV11" s="8"/>
      <c r="EW11" s="8"/>
      <c r="EX11" s="8"/>
      <c r="EY11" s="8"/>
      <c r="EZ11" s="8"/>
      <c r="FA11" s="8"/>
      <c r="FB11" s="8"/>
      <c r="FC11" s="8"/>
      <c r="FD11" s="8"/>
      <c r="FE11" s="8"/>
      <c r="FF11" s="8"/>
      <c r="FG11" s="8"/>
      <c r="FH11" s="8"/>
      <c r="FI11" s="8"/>
      <c r="FJ11" s="8"/>
      <c r="FK11" s="8"/>
      <c r="FL11" s="8"/>
      <c r="FM11" s="8"/>
      <c r="FN11" s="8"/>
      <c r="FO11" s="8"/>
      <c r="FP11" s="8"/>
      <c r="FQ11" s="8"/>
      <c r="FR11" s="8"/>
      <c r="FS11" s="8"/>
      <c r="FT11" s="8"/>
      <c r="FU11" s="8"/>
      <c r="FV11" s="8"/>
      <c r="FW11" s="8"/>
      <c r="FX11" s="8">
        <v>1699101.91</v>
      </c>
      <c r="FY11" s="8"/>
      <c r="FZ11" s="8"/>
      <c r="GA11" s="8"/>
      <c r="GB11" s="8"/>
      <c r="GC11" s="8"/>
      <c r="GD11" s="8"/>
      <c r="GE11" s="8"/>
      <c r="GF11" s="8"/>
      <c r="GG11" s="8"/>
      <c r="GH11" s="8"/>
      <c r="GI11" s="8"/>
      <c r="GJ11" s="8"/>
      <c r="GK11" s="8"/>
      <c r="GL11" s="8"/>
      <c r="GM11" s="8"/>
      <c r="GN11" s="8">
        <v>15746954.279999999</v>
      </c>
      <c r="GO11" s="8"/>
      <c r="GP11" s="8"/>
      <c r="GQ11" s="8"/>
      <c r="GR11" s="8"/>
      <c r="GS11" s="8"/>
      <c r="GT11" s="8"/>
      <c r="GU11" s="8">
        <v>17461668.460000001</v>
      </c>
      <c r="GV11" s="8"/>
      <c r="GW11" s="8"/>
      <c r="GX11" s="8"/>
      <c r="GY11" s="8"/>
      <c r="GZ11" s="8"/>
      <c r="HA11" s="8"/>
      <c r="HB11" s="8"/>
      <c r="HC11" s="8"/>
      <c r="HD11" s="8">
        <v>5335197.97</v>
      </c>
      <c r="HE11" s="8">
        <v>6185597.0999999996</v>
      </c>
      <c r="HF11" s="8"/>
      <c r="HG11" s="8"/>
      <c r="HH11" s="8"/>
      <c r="HI11" s="8"/>
      <c r="HJ11" s="8"/>
      <c r="HK11" s="8"/>
      <c r="HL11" s="8"/>
      <c r="HM11" s="8"/>
      <c r="HN11" s="8"/>
      <c r="HO11" s="8"/>
      <c r="HP11" s="8">
        <v>2139821.36</v>
      </c>
      <c r="HQ11" s="8"/>
      <c r="HR11" s="8"/>
      <c r="HS11" s="8"/>
      <c r="HT11" s="8"/>
      <c r="HU11" s="8">
        <v>1490865.18</v>
      </c>
      <c r="HV11" s="8"/>
      <c r="HW11" s="8">
        <v>11009935.75</v>
      </c>
      <c r="HX11" s="8"/>
      <c r="HY11" s="8"/>
      <c r="HZ11" s="8"/>
      <c r="IA11" s="8"/>
      <c r="IB11" s="8"/>
      <c r="IC11" s="8"/>
      <c r="ID11" s="8"/>
      <c r="IE11" s="8"/>
      <c r="IF11" s="8"/>
      <c r="IG11" s="8"/>
      <c r="IH11" s="8"/>
      <c r="II11" s="8"/>
      <c r="IJ11" s="8"/>
      <c r="IK11" s="8"/>
      <c r="IL11" s="8"/>
      <c r="IM11" s="8"/>
      <c r="IN11" s="8"/>
      <c r="IO11" s="8"/>
      <c r="IP11" s="8"/>
      <c r="IQ11" s="8"/>
      <c r="IR11" s="8"/>
      <c r="IS11" s="8"/>
      <c r="IT11" s="8"/>
      <c r="IU11" s="8"/>
      <c r="IV11" s="8"/>
      <c r="IW11" s="8"/>
      <c r="IX11" s="8"/>
      <c r="IY11" s="8"/>
      <c r="IZ11" s="8"/>
      <c r="JA11" s="8"/>
      <c r="JB11" s="8"/>
      <c r="JC11" s="8"/>
      <c r="JD11" s="8"/>
      <c r="JE11" s="8"/>
      <c r="JF11" s="8"/>
      <c r="JG11" s="8"/>
      <c r="JH11" s="8"/>
      <c r="JI11" s="8"/>
      <c r="JJ11" s="8"/>
      <c r="JK11" s="8"/>
      <c r="JL11" s="8"/>
      <c r="JM11" s="8"/>
      <c r="JN11" s="8"/>
      <c r="JO11" s="8"/>
      <c r="JP11" s="8"/>
      <c r="JQ11" s="8"/>
      <c r="JR11" s="8"/>
      <c r="JS11" s="8"/>
      <c r="JT11" s="8"/>
      <c r="JU11" s="8"/>
      <c r="JV11" s="8"/>
      <c r="JW11" s="8"/>
      <c r="JX11" s="8"/>
      <c r="JY11" s="8">
        <v>2934196.18</v>
      </c>
      <c r="JZ11" s="8"/>
      <c r="KA11" s="8">
        <v>600681.39</v>
      </c>
      <c r="KB11" s="8"/>
      <c r="KC11" s="8"/>
      <c r="KD11" s="8"/>
      <c r="KE11" s="8">
        <v>591532.38</v>
      </c>
      <c r="KF11" s="8">
        <v>1833991.69</v>
      </c>
      <c r="KG11" s="8">
        <v>1300892.29</v>
      </c>
      <c r="KH11" s="8"/>
      <c r="KI11" s="8"/>
      <c r="KJ11" s="8"/>
      <c r="KK11" s="8">
        <v>356.19</v>
      </c>
      <c r="KL11" s="8">
        <v>1721341.4</v>
      </c>
      <c r="KM11" s="8">
        <v>1537929.79</v>
      </c>
      <c r="KN11" s="8"/>
      <c r="KO11" s="8"/>
      <c r="KP11" s="8">
        <v>18005475.190000001</v>
      </c>
      <c r="KQ11" s="8"/>
      <c r="KR11" s="8"/>
      <c r="KS11" s="8"/>
      <c r="KT11" s="8"/>
      <c r="KU11" s="8"/>
      <c r="KV11" s="8"/>
      <c r="KW11" s="8"/>
      <c r="KX11" s="8"/>
      <c r="KY11" s="8">
        <v>1116.8699999999999</v>
      </c>
      <c r="KZ11" s="8"/>
      <c r="LA11" s="8"/>
      <c r="LB11" s="8"/>
      <c r="LC11" s="8">
        <v>39185791.670000002</v>
      </c>
      <c r="LD11" s="8"/>
      <c r="LE11" s="8"/>
      <c r="LF11" s="8"/>
      <c r="LG11" s="8"/>
      <c r="LH11" s="8"/>
      <c r="LI11" s="8"/>
      <c r="LJ11" s="8"/>
      <c r="LK11" s="8"/>
      <c r="LL11" s="8"/>
      <c r="LM11" s="8"/>
      <c r="LN11" s="8"/>
      <c r="LO11" s="8"/>
      <c r="LP11" s="8"/>
      <c r="LQ11" s="8"/>
      <c r="LR11" s="8"/>
      <c r="LS11" s="8"/>
      <c r="LT11" s="8"/>
      <c r="LU11" s="8">
        <v>11052066.57</v>
      </c>
      <c r="LV11" s="8"/>
      <c r="LW11" s="8"/>
      <c r="LX11" s="8"/>
      <c r="LY11" s="8"/>
      <c r="LZ11" s="8"/>
      <c r="MA11" s="8"/>
      <c r="MB11" s="8">
        <v>20427753.140000001</v>
      </c>
      <c r="MC11" s="8">
        <v>4403423.3600000003</v>
      </c>
      <c r="MD11" s="8"/>
      <c r="ME11" s="8"/>
      <c r="MF11" s="8">
        <v>7409670.9500000002</v>
      </c>
      <c r="MG11" s="8"/>
      <c r="MH11" s="8"/>
      <c r="MI11" s="8"/>
      <c r="MJ11" s="8"/>
      <c r="MK11" s="8"/>
      <c r="ML11" s="8"/>
      <c r="MM11" s="8">
        <v>7561385.0199999996</v>
      </c>
      <c r="MN11" s="8"/>
      <c r="MO11" s="8"/>
      <c r="MP11" s="8"/>
      <c r="MQ11" s="8"/>
      <c r="MR11" s="8"/>
      <c r="MS11" s="8"/>
      <c r="MT11" s="8"/>
      <c r="MU11" s="8"/>
      <c r="MV11" s="8"/>
      <c r="MW11" s="8"/>
      <c r="MX11" s="8"/>
      <c r="MY11" s="8"/>
      <c r="MZ11" s="8"/>
      <c r="NA11" s="8"/>
      <c r="NB11" s="8"/>
      <c r="NC11" s="8"/>
      <c r="ND11" s="8"/>
      <c r="NE11" s="8"/>
      <c r="NF11" s="8">
        <v>15635531.77</v>
      </c>
      <c r="NG11" s="8"/>
      <c r="NH11" s="8">
        <v>5540566.6799999997</v>
      </c>
      <c r="NI11" s="8"/>
      <c r="NJ11" s="8"/>
      <c r="NK11" s="8"/>
      <c r="NL11" s="8"/>
      <c r="NM11" s="8"/>
      <c r="NN11" s="8"/>
      <c r="NO11" s="8"/>
      <c r="NP11" s="8"/>
      <c r="NQ11" s="8"/>
      <c r="NR11" s="8"/>
      <c r="NS11" s="8"/>
      <c r="NT11" s="8"/>
      <c r="NU11" s="8"/>
      <c r="NV11" s="8"/>
      <c r="NW11" s="8"/>
      <c r="NX11" s="8"/>
      <c r="NY11" s="8">
        <v>5312773.45</v>
      </c>
      <c r="NZ11" s="8"/>
      <c r="OA11" s="8"/>
      <c r="OB11" s="8">
        <v>5831642.0199999996</v>
      </c>
      <c r="OC11" s="8">
        <v>8737306.6999999993</v>
      </c>
      <c r="OD11" s="8"/>
      <c r="OE11" s="8"/>
      <c r="OF11" s="8"/>
      <c r="OG11" s="8"/>
      <c r="OH11" s="8"/>
      <c r="OI11" s="8"/>
      <c r="OJ11" s="8"/>
      <c r="OK11" s="8"/>
      <c r="OL11" s="8"/>
      <c r="OM11" s="8"/>
      <c r="ON11" s="8"/>
      <c r="OO11" s="8"/>
      <c r="OP11" s="8"/>
      <c r="OQ11" s="5">
        <v>273980764.82000005</v>
      </c>
    </row>
    <row r="12" spans="2:407" x14ac:dyDescent="0.2">
      <c r="B12" t="s">
        <v>69</v>
      </c>
      <c r="C12" t="s">
        <v>7</v>
      </c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>
        <v>3340052.81</v>
      </c>
      <c r="W12" s="8">
        <v>3945390.97</v>
      </c>
      <c r="X12" s="8"/>
      <c r="Y12" s="8">
        <v>0.19</v>
      </c>
      <c r="Z12" s="8"/>
      <c r="AA12" s="8">
        <v>7130534.7300000004</v>
      </c>
      <c r="AB12" s="8">
        <v>4234551.01</v>
      </c>
      <c r="AC12" s="8"/>
      <c r="AD12" s="8">
        <v>2617970.4700000002</v>
      </c>
      <c r="AE12" s="8"/>
      <c r="AF12" s="8"/>
      <c r="AG12" s="8"/>
      <c r="AH12" s="8">
        <v>1247.1500000000001</v>
      </c>
      <c r="AI12" s="8"/>
      <c r="AJ12" s="8">
        <v>8062.63</v>
      </c>
      <c r="AK12" s="8"/>
      <c r="AL12" s="8"/>
      <c r="AM12" s="8">
        <v>680583.53</v>
      </c>
      <c r="AN12" s="8"/>
      <c r="AO12" s="8">
        <v>2003893.95</v>
      </c>
      <c r="AP12" s="8"/>
      <c r="AQ12" s="8"/>
      <c r="AR12" s="8">
        <v>2878910.18</v>
      </c>
      <c r="AS12" s="8"/>
      <c r="AT12" s="8"/>
      <c r="AU12" s="8">
        <v>6951412.5800000001</v>
      </c>
      <c r="AV12" s="8"/>
      <c r="AW12" s="8"/>
      <c r="AX12" s="8">
        <v>3048649.4</v>
      </c>
      <c r="AY12" s="8"/>
      <c r="AZ12" s="8">
        <v>902.71</v>
      </c>
      <c r="BA12" s="8"/>
      <c r="BB12" s="8"/>
      <c r="BC12" s="8"/>
      <c r="BD12" s="8"/>
      <c r="BE12" s="8"/>
      <c r="BF12" s="8"/>
      <c r="BG12" s="8"/>
      <c r="BH12" s="8"/>
      <c r="BI12" s="8"/>
      <c r="BJ12" s="8"/>
      <c r="BK12" s="8"/>
      <c r="BL12" s="8"/>
      <c r="BM12" s="8"/>
      <c r="BN12" s="8"/>
      <c r="BO12" s="8"/>
      <c r="BP12" s="8"/>
      <c r="BQ12" s="8"/>
      <c r="BR12" s="8">
        <v>19276641.890000001</v>
      </c>
      <c r="BS12" s="8"/>
      <c r="BT12" s="8"/>
      <c r="BU12" s="8"/>
      <c r="BV12" s="8">
        <v>24652340.710000001</v>
      </c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>
        <v>28730880.760000002</v>
      </c>
      <c r="CH12" s="8"/>
      <c r="CI12" s="8"/>
      <c r="CJ12" s="8"/>
      <c r="CK12" s="8"/>
      <c r="CL12" s="8">
        <v>11595520.619999999</v>
      </c>
      <c r="CM12" s="8"/>
      <c r="CN12" s="8"/>
      <c r="CO12" s="8">
        <v>10732714.08</v>
      </c>
      <c r="CP12" s="8"/>
      <c r="CQ12" s="8"/>
      <c r="CR12" s="8"/>
      <c r="CS12" s="8">
        <v>22513763.780000001</v>
      </c>
      <c r="CT12" s="8"/>
      <c r="CU12" s="8"/>
      <c r="CV12" s="8"/>
      <c r="CW12" s="8"/>
      <c r="CX12" s="8"/>
      <c r="CY12" s="8"/>
      <c r="CZ12" s="8">
        <v>8149447.1500000004</v>
      </c>
      <c r="DA12" s="8"/>
      <c r="DB12" s="8"/>
      <c r="DC12" s="8"/>
      <c r="DD12" s="8"/>
      <c r="DE12" s="8"/>
      <c r="DF12" s="8">
        <v>994.86</v>
      </c>
      <c r="DG12" s="8"/>
      <c r="DH12" s="8">
        <v>8844679.2799999993</v>
      </c>
      <c r="DI12" s="8"/>
      <c r="DJ12" s="8"/>
      <c r="DK12" s="8"/>
      <c r="DL12" s="8"/>
      <c r="DM12" s="8"/>
      <c r="DN12" s="8"/>
      <c r="DO12" s="8"/>
      <c r="DP12" s="8"/>
      <c r="DQ12" s="8"/>
      <c r="DR12" s="8"/>
      <c r="DS12" s="8"/>
      <c r="DT12" s="8"/>
      <c r="DU12" s="8"/>
      <c r="DV12" s="8"/>
      <c r="DW12" s="8"/>
      <c r="DX12" s="8"/>
      <c r="DY12" s="8"/>
      <c r="DZ12" s="8"/>
      <c r="EA12" s="8"/>
      <c r="EB12" s="8"/>
      <c r="EC12" s="8"/>
      <c r="ED12" s="8"/>
      <c r="EE12" s="8"/>
      <c r="EF12" s="8"/>
      <c r="EG12" s="8"/>
      <c r="EH12" s="8">
        <v>70820766</v>
      </c>
      <c r="EI12" s="8"/>
      <c r="EJ12" s="8">
        <v>0.11</v>
      </c>
      <c r="EK12" s="8"/>
      <c r="EL12" s="8"/>
      <c r="EM12" s="8"/>
      <c r="EN12" s="8"/>
      <c r="EO12" s="8"/>
      <c r="EP12" s="8">
        <v>573.27</v>
      </c>
      <c r="EQ12" s="8"/>
      <c r="ER12" s="8"/>
      <c r="ES12" s="8"/>
      <c r="ET12" s="8"/>
      <c r="EU12" s="8"/>
      <c r="EV12" s="8"/>
      <c r="EW12" s="8"/>
      <c r="EX12" s="8"/>
      <c r="EY12" s="8"/>
      <c r="EZ12" s="8"/>
      <c r="FA12" s="8"/>
      <c r="FB12" s="8"/>
      <c r="FC12" s="8"/>
      <c r="FD12" s="8"/>
      <c r="FE12" s="8"/>
      <c r="FF12" s="8"/>
      <c r="FG12" s="8"/>
      <c r="FH12" s="8"/>
      <c r="FI12" s="8">
        <v>42180911.880000003</v>
      </c>
      <c r="FJ12" s="8"/>
      <c r="FK12" s="8"/>
      <c r="FL12" s="8"/>
      <c r="FM12" s="8"/>
      <c r="FN12" s="8"/>
      <c r="FO12" s="8"/>
      <c r="FP12" s="8"/>
      <c r="FQ12" s="8">
        <v>9589.56</v>
      </c>
      <c r="FR12" s="8">
        <v>30496.22</v>
      </c>
      <c r="FS12" s="8"/>
      <c r="FT12" s="8"/>
      <c r="FU12" s="8"/>
      <c r="FV12" s="8"/>
      <c r="FW12" s="8"/>
      <c r="FX12" s="8"/>
      <c r="FY12" s="8"/>
      <c r="FZ12" s="8"/>
      <c r="GA12" s="8"/>
      <c r="GB12" s="8"/>
      <c r="GC12" s="8"/>
      <c r="GD12" s="8"/>
      <c r="GE12" s="8">
        <v>97276058.599999994</v>
      </c>
      <c r="GF12" s="8"/>
      <c r="GG12" s="8"/>
      <c r="GH12" s="8"/>
      <c r="GI12" s="8"/>
      <c r="GJ12" s="8"/>
      <c r="GK12" s="8"/>
      <c r="GL12" s="8"/>
      <c r="GM12" s="8"/>
      <c r="GN12" s="8"/>
      <c r="GO12" s="8"/>
      <c r="GP12" s="8"/>
      <c r="GQ12" s="8"/>
      <c r="GR12" s="8">
        <v>1595.39</v>
      </c>
      <c r="GS12" s="8"/>
      <c r="GT12" s="8"/>
      <c r="GU12" s="8"/>
      <c r="GV12" s="8"/>
      <c r="GW12" s="8"/>
      <c r="GX12" s="8"/>
      <c r="GY12" s="8"/>
      <c r="GZ12" s="8"/>
      <c r="HA12" s="8"/>
      <c r="HB12" s="8"/>
      <c r="HC12" s="8"/>
      <c r="HD12" s="8"/>
      <c r="HE12" s="8"/>
      <c r="HF12" s="8"/>
      <c r="HG12" s="8"/>
      <c r="HH12" s="8"/>
      <c r="HI12" s="8">
        <v>27381209.710000001</v>
      </c>
      <c r="HJ12" s="8"/>
      <c r="HK12" s="8"/>
      <c r="HL12" s="8"/>
      <c r="HM12" s="8"/>
      <c r="HN12" s="8"/>
      <c r="HO12" s="8"/>
      <c r="HP12" s="8"/>
      <c r="HQ12" s="8">
        <v>14977422.67</v>
      </c>
      <c r="HR12" s="8"/>
      <c r="HS12" s="8"/>
      <c r="HT12" s="8">
        <v>28334001.940000001</v>
      </c>
      <c r="HU12" s="8"/>
      <c r="HV12" s="8"/>
      <c r="HW12" s="8"/>
      <c r="HX12" s="8"/>
      <c r="HY12" s="8"/>
      <c r="HZ12" s="8"/>
      <c r="IA12" s="8"/>
      <c r="IB12" s="8"/>
      <c r="IC12" s="8"/>
      <c r="ID12" s="8"/>
      <c r="IE12" s="8"/>
      <c r="IF12" s="8"/>
      <c r="IG12" s="8">
        <v>19838583.809999999</v>
      </c>
      <c r="IH12" s="8">
        <v>12922550.84</v>
      </c>
      <c r="II12" s="8">
        <v>5497.79</v>
      </c>
      <c r="IJ12" s="8"/>
      <c r="IK12" s="8"/>
      <c r="IL12" s="8">
        <v>7917365.29</v>
      </c>
      <c r="IM12" s="8"/>
      <c r="IN12" s="8"/>
      <c r="IO12" s="8"/>
      <c r="IP12" s="8"/>
      <c r="IQ12" s="8"/>
      <c r="IR12" s="8"/>
      <c r="IS12" s="8"/>
      <c r="IT12" s="8"/>
      <c r="IU12" s="8"/>
      <c r="IV12" s="8"/>
      <c r="IW12" s="8"/>
      <c r="IX12" s="8">
        <v>4853394.7</v>
      </c>
      <c r="IY12" s="8"/>
      <c r="IZ12" s="8"/>
      <c r="JA12" s="8"/>
      <c r="JB12" s="8"/>
      <c r="JC12" s="8"/>
      <c r="JD12" s="8"/>
      <c r="JE12" s="8"/>
      <c r="JF12" s="8"/>
      <c r="JG12" s="8"/>
      <c r="JH12" s="8"/>
      <c r="JI12" s="8"/>
      <c r="JJ12" s="8"/>
      <c r="JK12" s="8"/>
      <c r="JL12" s="8"/>
      <c r="JM12" s="8"/>
      <c r="JN12" s="8"/>
      <c r="JO12" s="8"/>
      <c r="JP12" s="8"/>
      <c r="JQ12" s="8"/>
      <c r="JR12" s="8"/>
      <c r="JS12" s="8"/>
      <c r="JT12" s="8"/>
      <c r="JU12" s="8"/>
      <c r="JV12" s="8"/>
      <c r="JW12" s="8"/>
      <c r="JX12" s="8"/>
      <c r="JY12" s="8"/>
      <c r="JZ12" s="8">
        <v>18560471.460000001</v>
      </c>
      <c r="KA12" s="8"/>
      <c r="KB12" s="8"/>
      <c r="KC12" s="8"/>
      <c r="KD12" s="8"/>
      <c r="KE12" s="8"/>
      <c r="KF12" s="8">
        <v>261.83999999999997</v>
      </c>
      <c r="KG12" s="8"/>
      <c r="KH12" s="8"/>
      <c r="KI12" s="8">
        <v>11769664.289999999</v>
      </c>
      <c r="KJ12" s="8"/>
      <c r="KK12" s="8"/>
      <c r="KL12" s="8"/>
      <c r="KM12" s="8"/>
      <c r="KN12" s="8"/>
      <c r="KO12" s="8"/>
      <c r="KP12" s="8"/>
      <c r="KQ12" s="8"/>
      <c r="KR12" s="8"/>
      <c r="KS12" s="8"/>
      <c r="KT12" s="8"/>
      <c r="KU12" s="8"/>
      <c r="KV12" s="8">
        <v>24037.73</v>
      </c>
      <c r="KW12" s="8"/>
      <c r="KX12" s="8"/>
      <c r="KY12" s="8"/>
      <c r="KZ12" s="8"/>
      <c r="LA12" s="8"/>
      <c r="LB12" s="8"/>
      <c r="LC12" s="8">
        <v>25746.73</v>
      </c>
      <c r="LD12" s="8"/>
      <c r="LE12" s="8"/>
      <c r="LF12" s="8"/>
      <c r="LG12" s="8"/>
      <c r="LH12" s="8"/>
      <c r="LI12" s="8"/>
      <c r="LJ12" s="8"/>
      <c r="LK12" s="8"/>
      <c r="LL12" s="8"/>
      <c r="LM12" s="8"/>
      <c r="LN12" s="8"/>
      <c r="LO12" s="8"/>
      <c r="LP12" s="8"/>
      <c r="LQ12" s="8"/>
      <c r="LR12" s="8">
        <v>53861503.609999999</v>
      </c>
      <c r="LS12" s="8"/>
      <c r="LT12" s="8"/>
      <c r="LU12" s="8"/>
      <c r="LV12" s="8"/>
      <c r="LW12" s="8"/>
      <c r="LX12" s="8"/>
      <c r="LY12" s="8"/>
      <c r="LZ12" s="8">
        <v>156101610.09999999</v>
      </c>
      <c r="MA12" s="8"/>
      <c r="MB12" s="8"/>
      <c r="MC12" s="8"/>
      <c r="MD12" s="8"/>
      <c r="ME12" s="8"/>
      <c r="MF12" s="8"/>
      <c r="MG12" s="8"/>
      <c r="MH12" s="8"/>
      <c r="MI12" s="8"/>
      <c r="MJ12" s="8">
        <v>120292212.06</v>
      </c>
      <c r="MK12" s="8"/>
      <c r="ML12" s="8"/>
      <c r="MM12" s="8"/>
      <c r="MN12" s="8"/>
      <c r="MO12" s="8"/>
      <c r="MP12" s="8"/>
      <c r="MQ12" s="8"/>
      <c r="MR12" s="8">
        <v>201.37</v>
      </c>
      <c r="MS12" s="8"/>
      <c r="MT12" s="8"/>
      <c r="MU12" s="8"/>
      <c r="MV12" s="8"/>
      <c r="MW12" s="8"/>
      <c r="MX12" s="8"/>
      <c r="MY12" s="8"/>
      <c r="MZ12" s="8"/>
      <c r="NA12" s="8"/>
      <c r="NB12" s="8"/>
      <c r="NC12" s="8"/>
      <c r="ND12" s="8"/>
      <c r="NE12" s="8"/>
      <c r="NF12" s="8"/>
      <c r="NG12" s="8"/>
      <c r="NH12" s="8"/>
      <c r="NI12" s="8"/>
      <c r="NJ12" s="8"/>
      <c r="NK12" s="8"/>
      <c r="NL12" s="8">
        <v>62489845.43</v>
      </c>
      <c r="NM12" s="8"/>
      <c r="NN12" s="8"/>
      <c r="NO12" s="8"/>
      <c r="NP12" s="8"/>
      <c r="NQ12" s="8"/>
      <c r="NR12" s="8"/>
      <c r="NS12" s="8">
        <v>22590532.870000001</v>
      </c>
      <c r="NT12" s="8"/>
      <c r="NU12" s="8">
        <v>23214232.059999999</v>
      </c>
      <c r="NV12" s="8"/>
      <c r="NW12" s="8"/>
      <c r="NX12" s="8"/>
      <c r="NY12" s="8">
        <v>3290665.32</v>
      </c>
      <c r="NZ12" s="8"/>
      <c r="OA12" s="8"/>
      <c r="OB12" s="8"/>
      <c r="OC12" s="8">
        <v>22551026.289999999</v>
      </c>
      <c r="OD12" s="8"/>
      <c r="OE12" s="8"/>
      <c r="OF12" s="8"/>
      <c r="OG12" s="8"/>
      <c r="OH12" s="8">
        <v>28517266.23</v>
      </c>
      <c r="OI12" s="8"/>
      <c r="OJ12" s="8"/>
      <c r="OK12" s="8"/>
      <c r="OL12" s="8"/>
      <c r="OM12" s="8"/>
      <c r="ON12" s="8"/>
      <c r="OO12" s="8"/>
      <c r="OP12" s="8"/>
      <c r="OQ12" s="5">
        <v>1021178440.6099999</v>
      </c>
    </row>
    <row r="13" spans="2:407" x14ac:dyDescent="0.2">
      <c r="B13" t="s">
        <v>70</v>
      </c>
      <c r="C13" t="s">
        <v>8</v>
      </c>
      <c r="D13" s="8">
        <v>36727746.990000002</v>
      </c>
      <c r="E13" s="8">
        <v>32108493.02</v>
      </c>
      <c r="F13" s="8">
        <v>33017420.559999999</v>
      </c>
      <c r="G13" s="8">
        <v>1387.9</v>
      </c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>
        <v>35243882.75</v>
      </c>
      <c r="W13" s="8"/>
      <c r="X13" s="8"/>
      <c r="Y13" s="8"/>
      <c r="Z13" s="8"/>
      <c r="AA13" s="8"/>
      <c r="AB13" s="8"/>
      <c r="AC13" s="8"/>
      <c r="AD13" s="8">
        <v>328.09</v>
      </c>
      <c r="AE13" s="8">
        <v>49347502.359999999</v>
      </c>
      <c r="AF13" s="8"/>
      <c r="AG13" s="8"/>
      <c r="AH13" s="8">
        <v>0.28000000000000003</v>
      </c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>
        <v>142266930.63</v>
      </c>
      <c r="BC13" s="8"/>
      <c r="BD13" s="8"/>
      <c r="BE13" s="8">
        <v>78536963.900000006</v>
      </c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>
        <v>1.35</v>
      </c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>
        <v>91315215.819999993</v>
      </c>
      <c r="CG13" s="8"/>
      <c r="CH13" s="8"/>
      <c r="CI13" s="8"/>
      <c r="CJ13" s="8"/>
      <c r="CK13" s="8">
        <v>11485.25</v>
      </c>
      <c r="CL13" s="8"/>
      <c r="CM13" s="8">
        <v>66162565.969999999</v>
      </c>
      <c r="CN13" s="8">
        <v>66117931.07</v>
      </c>
      <c r="CO13" s="8">
        <v>32014183.879999999</v>
      </c>
      <c r="CP13" s="8">
        <v>49216449.329999998</v>
      </c>
      <c r="CQ13" s="8"/>
      <c r="CR13" s="8">
        <v>1.24</v>
      </c>
      <c r="CS13" s="8"/>
      <c r="CT13" s="8"/>
      <c r="CU13" s="8"/>
      <c r="CV13" s="8"/>
      <c r="CW13" s="8"/>
      <c r="CX13" s="8"/>
      <c r="CY13" s="8"/>
      <c r="CZ13" s="8">
        <v>62951274.979999997</v>
      </c>
      <c r="DA13" s="8"/>
      <c r="DB13" s="8"/>
      <c r="DC13" s="8"/>
      <c r="DD13" s="8"/>
      <c r="DE13" s="8"/>
      <c r="DF13" s="8"/>
      <c r="DG13" s="8"/>
      <c r="DH13" s="8"/>
      <c r="DI13" s="8">
        <v>321.14</v>
      </c>
      <c r="DJ13" s="8"/>
      <c r="DK13" s="8">
        <v>761.47</v>
      </c>
      <c r="DL13" s="8"/>
      <c r="DM13" s="8">
        <v>0.04</v>
      </c>
      <c r="DN13" s="8"/>
      <c r="DO13" s="8"/>
      <c r="DP13" s="8"/>
      <c r="DQ13" s="8"/>
      <c r="DR13" s="8"/>
      <c r="DS13" s="8"/>
      <c r="DT13" s="8">
        <v>78613769.049999997</v>
      </c>
      <c r="DU13" s="8">
        <v>671.58</v>
      </c>
      <c r="DV13" s="8">
        <v>40385569.439999998</v>
      </c>
      <c r="DW13" s="8"/>
      <c r="DX13" s="8"/>
      <c r="DY13" s="8">
        <v>45990891.240000002</v>
      </c>
      <c r="DZ13" s="8"/>
      <c r="EA13" s="8">
        <v>24972147.899999999</v>
      </c>
      <c r="EB13" s="8"/>
      <c r="EC13" s="8"/>
      <c r="ED13" s="8"/>
      <c r="EE13" s="8"/>
      <c r="EF13" s="8"/>
      <c r="EG13" s="8"/>
      <c r="EH13" s="8">
        <v>119690633.20999999</v>
      </c>
      <c r="EI13" s="8"/>
      <c r="EJ13" s="8"/>
      <c r="EK13" s="8"/>
      <c r="EL13" s="8"/>
      <c r="EM13" s="8"/>
      <c r="EN13" s="8">
        <v>109291126.97</v>
      </c>
      <c r="EO13" s="8"/>
      <c r="EP13" s="8"/>
      <c r="EQ13" s="8">
        <v>61028698.299999997</v>
      </c>
      <c r="ER13" s="8"/>
      <c r="ES13" s="8"/>
      <c r="ET13" s="8"/>
      <c r="EU13" s="8">
        <v>53757168.609999999</v>
      </c>
      <c r="EV13" s="8"/>
      <c r="EW13" s="8">
        <v>74414114.530000001</v>
      </c>
      <c r="EX13" s="8"/>
      <c r="EY13" s="8"/>
      <c r="EZ13" s="8"/>
      <c r="FA13" s="8"/>
      <c r="FB13" s="8"/>
      <c r="FC13" s="8"/>
      <c r="FD13" s="8">
        <v>4325.2700000000004</v>
      </c>
      <c r="FE13" s="8"/>
      <c r="FF13" s="8"/>
      <c r="FG13" s="8">
        <v>72360615.390000001</v>
      </c>
      <c r="FH13" s="8"/>
      <c r="FI13" s="8"/>
      <c r="FJ13" s="8"/>
      <c r="FK13" s="8"/>
      <c r="FL13" s="8"/>
      <c r="FM13" s="8"/>
      <c r="FN13" s="8"/>
      <c r="FO13" s="8"/>
      <c r="FP13" s="8"/>
      <c r="FQ13" s="8"/>
      <c r="FR13" s="8"/>
      <c r="FS13" s="8"/>
      <c r="FT13" s="8"/>
      <c r="FU13" s="8"/>
      <c r="FV13" s="8"/>
      <c r="FW13" s="8"/>
      <c r="FX13" s="8"/>
      <c r="FY13" s="8"/>
      <c r="FZ13" s="8"/>
      <c r="GA13" s="8"/>
      <c r="GB13" s="8"/>
      <c r="GC13" s="8"/>
      <c r="GD13" s="8"/>
      <c r="GE13" s="8"/>
      <c r="GF13" s="8"/>
      <c r="GG13" s="8"/>
      <c r="GH13" s="8"/>
      <c r="GI13" s="8"/>
      <c r="GJ13" s="8"/>
      <c r="GK13" s="8"/>
      <c r="GL13" s="8"/>
      <c r="GM13" s="8"/>
      <c r="GN13" s="8"/>
      <c r="GO13" s="8"/>
      <c r="GP13" s="8"/>
      <c r="GQ13" s="8"/>
      <c r="GR13" s="8"/>
      <c r="GS13" s="8"/>
      <c r="GT13" s="8"/>
      <c r="GU13" s="8"/>
      <c r="GV13" s="8"/>
      <c r="GW13" s="8"/>
      <c r="GX13" s="8"/>
      <c r="GY13" s="8"/>
      <c r="GZ13" s="8"/>
      <c r="HA13" s="8"/>
      <c r="HB13" s="8"/>
      <c r="HC13" s="8">
        <v>105024831</v>
      </c>
      <c r="HD13" s="8">
        <v>10572.49</v>
      </c>
      <c r="HE13" s="8">
        <v>42519017.43</v>
      </c>
      <c r="HF13" s="8">
        <v>9439.39</v>
      </c>
      <c r="HG13" s="8"/>
      <c r="HH13" s="8"/>
      <c r="HI13" s="8"/>
      <c r="HJ13" s="8"/>
      <c r="HK13" s="8">
        <v>78032154.640000001</v>
      </c>
      <c r="HL13" s="8"/>
      <c r="HM13" s="8"/>
      <c r="HN13" s="8"/>
      <c r="HO13" s="8"/>
      <c r="HP13" s="8"/>
      <c r="HQ13" s="8"/>
      <c r="HR13" s="8">
        <v>74882723.799999997</v>
      </c>
      <c r="HS13" s="8"/>
      <c r="HT13" s="8"/>
      <c r="HU13" s="8"/>
      <c r="HV13" s="8"/>
      <c r="HW13" s="8"/>
      <c r="HX13" s="8"/>
      <c r="HY13" s="8"/>
      <c r="HZ13" s="8"/>
      <c r="IA13" s="8">
        <v>7922.31</v>
      </c>
      <c r="IB13" s="8"/>
      <c r="IC13" s="8"/>
      <c r="ID13" s="8">
        <v>38578316.350000001</v>
      </c>
      <c r="IE13" s="8"/>
      <c r="IF13" s="8"/>
      <c r="IG13" s="8">
        <v>178.21</v>
      </c>
      <c r="IH13" s="8"/>
      <c r="II13" s="8"/>
      <c r="IJ13" s="8"/>
      <c r="IK13" s="8">
        <v>26907473.809999999</v>
      </c>
      <c r="IL13" s="8"/>
      <c r="IM13" s="8">
        <v>49776818.600000001</v>
      </c>
      <c r="IN13" s="8"/>
      <c r="IO13" s="8"/>
      <c r="IP13" s="8"/>
      <c r="IQ13" s="8"/>
      <c r="IR13" s="8">
        <v>15782118.369999999</v>
      </c>
      <c r="IS13" s="8"/>
      <c r="IT13" s="8">
        <v>22734879.559999999</v>
      </c>
      <c r="IU13" s="8"/>
      <c r="IV13" s="8">
        <v>23597527.16</v>
      </c>
      <c r="IW13" s="8">
        <v>25262014.030000001</v>
      </c>
      <c r="IX13" s="8"/>
      <c r="IY13" s="8"/>
      <c r="IZ13" s="8"/>
      <c r="JA13" s="8"/>
      <c r="JB13" s="8"/>
      <c r="JC13" s="8">
        <v>26340957.84</v>
      </c>
      <c r="JD13" s="8"/>
      <c r="JE13" s="8">
        <v>21130974.649999999</v>
      </c>
      <c r="JF13" s="8"/>
      <c r="JG13" s="8"/>
      <c r="JH13" s="8"/>
      <c r="JI13" s="8"/>
      <c r="JJ13" s="8"/>
      <c r="JK13" s="8"/>
      <c r="JL13" s="8"/>
      <c r="JM13" s="8">
        <v>36049172.5</v>
      </c>
      <c r="JN13" s="8">
        <v>27294536.600000001</v>
      </c>
      <c r="JO13" s="8"/>
      <c r="JP13" s="8"/>
      <c r="JQ13" s="8">
        <v>25583815.84</v>
      </c>
      <c r="JR13" s="8"/>
      <c r="JS13" s="8"/>
      <c r="JT13" s="8"/>
      <c r="JU13" s="8"/>
      <c r="JV13" s="8">
        <v>25910827.73</v>
      </c>
      <c r="JW13" s="8"/>
      <c r="JX13" s="8"/>
      <c r="JY13" s="8"/>
      <c r="JZ13" s="8"/>
      <c r="KA13" s="8"/>
      <c r="KB13" s="8">
        <v>17285.78</v>
      </c>
      <c r="KC13" s="8"/>
      <c r="KD13" s="8"/>
      <c r="KE13" s="8">
        <v>25994484.940000001</v>
      </c>
      <c r="KF13" s="8">
        <v>68690051.189999998</v>
      </c>
      <c r="KG13" s="8"/>
      <c r="KH13" s="8"/>
      <c r="KI13" s="8">
        <v>36753166.960000001</v>
      </c>
      <c r="KJ13" s="8"/>
      <c r="KK13" s="8"/>
      <c r="KL13" s="8">
        <v>10447.040000000001</v>
      </c>
      <c r="KM13" s="8"/>
      <c r="KN13" s="8">
        <v>99169765.010000005</v>
      </c>
      <c r="KO13" s="8"/>
      <c r="KP13" s="8"/>
      <c r="KQ13" s="8"/>
      <c r="KR13" s="8"/>
      <c r="KS13" s="8"/>
      <c r="KT13" s="8">
        <v>171734862.87</v>
      </c>
      <c r="KU13" s="8"/>
      <c r="KV13" s="8"/>
      <c r="KW13" s="8"/>
      <c r="KX13" s="8"/>
      <c r="KY13" s="8"/>
      <c r="KZ13" s="8"/>
      <c r="LA13" s="8">
        <v>212254321.69</v>
      </c>
      <c r="LB13" s="8"/>
      <c r="LC13" s="8"/>
      <c r="LD13" s="8"/>
      <c r="LE13" s="8"/>
      <c r="LF13" s="8">
        <v>364058660.44</v>
      </c>
      <c r="LG13" s="8"/>
      <c r="LH13" s="8"/>
      <c r="LI13" s="8"/>
      <c r="LJ13" s="8"/>
      <c r="LK13" s="8"/>
      <c r="LL13" s="8"/>
      <c r="LM13" s="8"/>
      <c r="LN13" s="8"/>
      <c r="LO13" s="8"/>
      <c r="LP13" s="8"/>
      <c r="LQ13" s="8"/>
      <c r="LR13" s="8"/>
      <c r="LS13" s="8"/>
      <c r="LT13" s="8"/>
      <c r="LU13" s="8"/>
      <c r="LV13" s="8"/>
      <c r="LW13" s="8"/>
      <c r="LX13" s="8"/>
      <c r="LY13" s="8"/>
      <c r="LZ13" s="8"/>
      <c r="MA13" s="8"/>
      <c r="MB13" s="8"/>
      <c r="MC13" s="8"/>
      <c r="MD13" s="8">
        <v>35110471.880000003</v>
      </c>
      <c r="ME13" s="8"/>
      <c r="MF13" s="8"/>
      <c r="MG13" s="8">
        <v>89447360.969999999</v>
      </c>
      <c r="MH13" s="8">
        <v>66371400.090000004</v>
      </c>
      <c r="MI13" s="8"/>
      <c r="MJ13" s="8"/>
      <c r="MK13" s="8">
        <v>76693327.530000001</v>
      </c>
      <c r="ML13" s="8"/>
      <c r="MM13" s="8"/>
      <c r="MN13" s="8"/>
      <c r="MO13" s="8"/>
      <c r="MP13" s="8"/>
      <c r="MQ13" s="8"/>
      <c r="MR13" s="8"/>
      <c r="MS13" s="8">
        <v>160856604.09999999</v>
      </c>
      <c r="MT13" s="8"/>
      <c r="MU13" s="8"/>
      <c r="MV13" s="8"/>
      <c r="MW13" s="8"/>
      <c r="MX13" s="8"/>
      <c r="MY13" s="8"/>
      <c r="MZ13" s="8">
        <v>208209549.86000001</v>
      </c>
      <c r="NA13" s="8"/>
      <c r="NB13" s="8"/>
      <c r="NC13" s="8"/>
      <c r="ND13" s="8"/>
      <c r="NE13" s="8"/>
      <c r="NF13" s="8"/>
      <c r="NG13" s="8"/>
      <c r="NH13" s="8"/>
      <c r="NI13" s="8">
        <v>152318012.5</v>
      </c>
      <c r="NJ13" s="8"/>
      <c r="NK13" s="8"/>
      <c r="NL13" s="8"/>
      <c r="NM13" s="8"/>
      <c r="NN13" s="8"/>
      <c r="NO13" s="8"/>
      <c r="NP13" s="8"/>
      <c r="NQ13" s="8"/>
      <c r="NR13" s="8">
        <v>74231964.540000007</v>
      </c>
      <c r="NS13" s="8"/>
      <c r="NT13" s="8"/>
      <c r="NU13" s="8"/>
      <c r="NV13" s="8"/>
      <c r="NW13" s="8"/>
      <c r="NX13" s="8"/>
      <c r="NY13" s="8"/>
      <c r="NZ13" s="8"/>
      <c r="OA13" s="8"/>
      <c r="OB13" s="8"/>
      <c r="OC13" s="8"/>
      <c r="OD13" s="8"/>
      <c r="OE13" s="8"/>
      <c r="OF13" s="8"/>
      <c r="OG13" s="8"/>
      <c r="OH13" s="8"/>
      <c r="OI13" s="8">
        <v>111284399.62</v>
      </c>
      <c r="OJ13" s="8">
        <v>43365987.25</v>
      </c>
      <c r="OK13" s="8"/>
      <c r="OL13" s="8"/>
      <c r="OM13" s="8"/>
      <c r="ON13" s="8">
        <v>1014.98</v>
      </c>
      <c r="OO13" s="8"/>
      <c r="OP13" s="8"/>
      <c r="OQ13" s="5">
        <v>4117559991.0599999</v>
      </c>
    </row>
    <row r="14" spans="2:407" x14ac:dyDescent="0.2">
      <c r="B14" t="s">
        <v>71</v>
      </c>
      <c r="C14" t="s">
        <v>9</v>
      </c>
      <c r="D14" s="8"/>
      <c r="E14" s="8"/>
      <c r="F14" s="8"/>
      <c r="G14" s="8"/>
      <c r="H14" s="8"/>
      <c r="I14" s="8">
        <v>1.92</v>
      </c>
      <c r="J14" s="8"/>
      <c r="K14" s="8"/>
      <c r="L14" s="8">
        <v>33577930.109999999</v>
      </c>
      <c r="M14" s="8"/>
      <c r="N14" s="8"/>
      <c r="O14" s="8"/>
      <c r="P14" s="8"/>
      <c r="Q14" s="8"/>
      <c r="R14" s="8">
        <v>805.35</v>
      </c>
      <c r="S14" s="8"/>
      <c r="T14" s="8"/>
      <c r="U14" s="8"/>
      <c r="V14" s="8">
        <v>11781.11</v>
      </c>
      <c r="W14" s="8"/>
      <c r="X14" s="8">
        <v>5981951.9699999997</v>
      </c>
      <c r="Y14" s="8"/>
      <c r="Z14" s="8"/>
      <c r="AA14" s="8">
        <v>9567.35</v>
      </c>
      <c r="AB14" s="8"/>
      <c r="AC14" s="8"/>
      <c r="AD14" s="8">
        <v>3480797.21</v>
      </c>
      <c r="AE14" s="8">
        <v>11182912.77</v>
      </c>
      <c r="AF14" s="8"/>
      <c r="AG14" s="8">
        <v>4882985.66</v>
      </c>
      <c r="AH14" s="8"/>
      <c r="AI14" s="8">
        <v>6322461.4000000004</v>
      </c>
      <c r="AJ14" s="8"/>
      <c r="AK14" s="8">
        <v>2491920.75</v>
      </c>
      <c r="AL14" s="8">
        <v>2226655.2200000002</v>
      </c>
      <c r="AM14" s="8"/>
      <c r="AN14" s="8">
        <v>5702779.3499999996</v>
      </c>
      <c r="AO14" s="8"/>
      <c r="AP14" s="8"/>
      <c r="AQ14" s="8">
        <v>3593517.17</v>
      </c>
      <c r="AR14" s="8">
        <v>2479348.86</v>
      </c>
      <c r="AS14" s="8"/>
      <c r="AT14" s="8"/>
      <c r="AU14" s="8">
        <v>4198176.71</v>
      </c>
      <c r="AV14" s="8"/>
      <c r="AW14" s="8"/>
      <c r="AX14" s="8"/>
      <c r="AY14" s="8"/>
      <c r="AZ14" s="8">
        <v>1513968.35</v>
      </c>
      <c r="BA14" s="8"/>
      <c r="BB14" s="8"/>
      <c r="BC14" s="8"/>
      <c r="BD14" s="8"/>
      <c r="BE14" s="8">
        <v>10990749.529999999</v>
      </c>
      <c r="BF14" s="8"/>
      <c r="BG14" s="8">
        <v>6178.29</v>
      </c>
      <c r="BH14" s="8"/>
      <c r="BI14" s="8"/>
      <c r="BJ14" s="8"/>
      <c r="BK14" s="8"/>
      <c r="BL14" s="8"/>
      <c r="BM14" s="8"/>
      <c r="BN14" s="8">
        <v>16858495.620000001</v>
      </c>
      <c r="BO14" s="8"/>
      <c r="BP14" s="8"/>
      <c r="BQ14" s="8">
        <v>13695240.050000001</v>
      </c>
      <c r="BR14" s="8"/>
      <c r="BS14" s="8"/>
      <c r="BT14" s="8"/>
      <c r="BU14" s="8"/>
      <c r="BV14" s="8">
        <v>15387670.24</v>
      </c>
      <c r="BW14" s="8"/>
      <c r="BX14" s="8"/>
      <c r="BY14" s="8"/>
      <c r="BZ14" s="8"/>
      <c r="CA14" s="8">
        <v>28515806.109999999</v>
      </c>
      <c r="CB14" s="8"/>
      <c r="CC14" s="8">
        <v>611.76</v>
      </c>
      <c r="CD14" s="8"/>
      <c r="CE14" s="8"/>
      <c r="CF14" s="8">
        <v>15701366.51</v>
      </c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CU14" s="8"/>
      <c r="CV14" s="8"/>
      <c r="CW14" s="8"/>
      <c r="CX14" s="8"/>
      <c r="CY14" s="8"/>
      <c r="CZ14" s="8"/>
      <c r="DA14" s="8"/>
      <c r="DB14" s="8"/>
      <c r="DC14" s="8"/>
      <c r="DD14" s="8"/>
      <c r="DE14" s="8"/>
      <c r="DF14" s="8"/>
      <c r="DG14" s="8"/>
      <c r="DH14" s="8"/>
      <c r="DI14" s="8"/>
      <c r="DJ14" s="8"/>
      <c r="DK14" s="8">
        <v>212.5</v>
      </c>
      <c r="DL14" s="8">
        <v>893.85</v>
      </c>
      <c r="DM14" s="8"/>
      <c r="DN14" s="8"/>
      <c r="DO14" s="8"/>
      <c r="DP14" s="8">
        <v>15966043.720000001</v>
      </c>
      <c r="DQ14" s="8"/>
      <c r="DR14" s="8"/>
      <c r="DS14" s="8">
        <v>6596027.9100000001</v>
      </c>
      <c r="DT14" s="8"/>
      <c r="DU14" s="8"/>
      <c r="DV14" s="8"/>
      <c r="DW14" s="8"/>
      <c r="DX14" s="8">
        <v>7959189.1500000004</v>
      </c>
      <c r="DY14" s="8">
        <v>17084265.309999999</v>
      </c>
      <c r="DZ14" s="8">
        <v>6476598.7699999996</v>
      </c>
      <c r="EA14" s="8">
        <v>10841640.9</v>
      </c>
      <c r="EB14" s="8"/>
      <c r="EC14" s="8"/>
      <c r="ED14" s="8"/>
      <c r="EE14" s="8"/>
      <c r="EF14" s="8"/>
      <c r="EG14" s="8"/>
      <c r="EH14" s="8"/>
      <c r="EI14" s="8"/>
      <c r="EJ14" s="8"/>
      <c r="EK14" s="8">
        <v>20946567.75</v>
      </c>
      <c r="EL14" s="8"/>
      <c r="EM14" s="8">
        <v>30076258.859999999</v>
      </c>
      <c r="EN14" s="8"/>
      <c r="EO14" s="8"/>
      <c r="EP14" s="8"/>
      <c r="EQ14" s="8"/>
      <c r="ER14" s="8"/>
      <c r="ES14" s="8">
        <v>40702488.850000001</v>
      </c>
      <c r="ET14" s="8"/>
      <c r="EU14" s="8"/>
      <c r="EV14" s="8"/>
      <c r="EW14" s="8"/>
      <c r="EX14" s="8"/>
      <c r="EY14" s="8"/>
      <c r="EZ14" s="8">
        <v>641.66999999999996</v>
      </c>
      <c r="FA14" s="8"/>
      <c r="FB14" s="8"/>
      <c r="FC14" s="8">
        <v>32708887.390000001</v>
      </c>
      <c r="FD14" s="8"/>
      <c r="FE14" s="8"/>
      <c r="FF14" s="8"/>
      <c r="FG14" s="8"/>
      <c r="FH14" s="8"/>
      <c r="FI14" s="8"/>
      <c r="FJ14" s="8"/>
      <c r="FK14" s="8"/>
      <c r="FL14" s="8"/>
      <c r="FM14" s="8">
        <v>40589327.359999999</v>
      </c>
      <c r="FN14" s="8">
        <v>127.13</v>
      </c>
      <c r="FO14" s="8"/>
      <c r="FP14" s="8"/>
      <c r="FQ14" s="8"/>
      <c r="FR14" s="8"/>
      <c r="FS14" s="8"/>
      <c r="FT14" s="8"/>
      <c r="FU14" s="8"/>
      <c r="FV14" s="8">
        <v>453.05</v>
      </c>
      <c r="FW14" s="8"/>
      <c r="FX14" s="8"/>
      <c r="FY14" s="8"/>
      <c r="FZ14" s="8"/>
      <c r="GA14" s="8"/>
      <c r="GB14" s="8"/>
      <c r="GC14" s="8"/>
      <c r="GD14" s="8">
        <v>1.06</v>
      </c>
      <c r="GE14" s="8"/>
      <c r="GF14" s="8">
        <v>86323570.140000001</v>
      </c>
      <c r="GG14" s="8"/>
      <c r="GH14" s="8"/>
      <c r="GI14" s="8"/>
      <c r="GJ14" s="8"/>
      <c r="GK14" s="8"/>
      <c r="GL14" s="8"/>
      <c r="GM14" s="8"/>
      <c r="GN14" s="8"/>
      <c r="GO14" s="8"/>
      <c r="GP14" s="8"/>
      <c r="GQ14" s="8"/>
      <c r="GR14" s="8"/>
      <c r="GS14" s="8"/>
      <c r="GT14" s="8"/>
      <c r="GU14" s="8"/>
      <c r="GV14" s="8"/>
      <c r="GW14" s="8"/>
      <c r="GX14" s="8"/>
      <c r="GY14" s="8"/>
      <c r="GZ14" s="8">
        <v>62434599.340000004</v>
      </c>
      <c r="HA14" s="8"/>
      <c r="HB14" s="8">
        <v>17845661.23</v>
      </c>
      <c r="HC14" s="8"/>
      <c r="HD14" s="8">
        <v>36537939.380000003</v>
      </c>
      <c r="HE14" s="8"/>
      <c r="HF14" s="8">
        <v>11155.66</v>
      </c>
      <c r="HG14" s="8">
        <v>29081350.809999999</v>
      </c>
      <c r="HH14" s="8"/>
      <c r="HI14" s="8"/>
      <c r="HJ14" s="8"/>
      <c r="HK14" s="8"/>
      <c r="HL14" s="8"/>
      <c r="HM14" s="8"/>
      <c r="HN14" s="8">
        <v>18245044.379999999</v>
      </c>
      <c r="HO14" s="8"/>
      <c r="HP14" s="8"/>
      <c r="HQ14" s="8"/>
      <c r="HR14" s="8"/>
      <c r="HS14" s="8"/>
      <c r="HT14" s="8"/>
      <c r="HU14" s="8"/>
      <c r="HV14" s="8"/>
      <c r="HW14" s="8">
        <v>5279154.16</v>
      </c>
      <c r="HX14" s="8"/>
      <c r="HY14" s="8"/>
      <c r="HZ14" s="8"/>
      <c r="IA14" s="8"/>
      <c r="IB14" s="8"/>
      <c r="IC14" s="8"/>
      <c r="ID14" s="8"/>
      <c r="IE14" s="8"/>
      <c r="IF14" s="8"/>
      <c r="IG14" s="8"/>
      <c r="IH14" s="8"/>
      <c r="II14" s="8"/>
      <c r="IJ14" s="8"/>
      <c r="IK14" s="8"/>
      <c r="IL14" s="8"/>
      <c r="IM14" s="8"/>
      <c r="IN14" s="8"/>
      <c r="IO14" s="8"/>
      <c r="IP14" s="8"/>
      <c r="IQ14" s="8"/>
      <c r="IR14" s="8"/>
      <c r="IS14" s="8"/>
      <c r="IT14" s="8"/>
      <c r="IU14" s="8"/>
      <c r="IV14" s="8"/>
      <c r="IW14" s="8"/>
      <c r="IX14" s="8"/>
      <c r="IY14" s="8"/>
      <c r="IZ14" s="8"/>
      <c r="JA14" s="8"/>
      <c r="JB14" s="8"/>
      <c r="JC14" s="8"/>
      <c r="JD14" s="8">
        <v>24348859.5</v>
      </c>
      <c r="JE14" s="8"/>
      <c r="JF14" s="8"/>
      <c r="JG14" s="8"/>
      <c r="JH14" s="8"/>
      <c r="JI14" s="8"/>
      <c r="JJ14" s="8"/>
      <c r="JK14" s="8">
        <v>7113727.3499999996</v>
      </c>
      <c r="JL14" s="8">
        <v>7746487.9900000002</v>
      </c>
      <c r="JM14" s="8"/>
      <c r="JN14" s="8"/>
      <c r="JO14" s="8"/>
      <c r="JP14" s="8"/>
      <c r="JQ14" s="8"/>
      <c r="JR14" s="8"/>
      <c r="JS14" s="8"/>
      <c r="JT14" s="8"/>
      <c r="JU14" s="8">
        <v>11387984.65</v>
      </c>
      <c r="JV14" s="8">
        <v>10771909.34</v>
      </c>
      <c r="JW14" s="8"/>
      <c r="JX14" s="8"/>
      <c r="JY14" s="8"/>
      <c r="JZ14" s="8"/>
      <c r="KA14" s="8"/>
      <c r="KB14" s="8"/>
      <c r="KC14" s="8"/>
      <c r="KD14" s="8"/>
      <c r="KE14" s="8"/>
      <c r="KF14" s="8"/>
      <c r="KG14" s="8"/>
      <c r="KH14" s="8"/>
      <c r="KI14" s="8"/>
      <c r="KJ14" s="8"/>
      <c r="KK14" s="8"/>
      <c r="KL14" s="8"/>
      <c r="KM14" s="8"/>
      <c r="KN14" s="8"/>
      <c r="KO14" s="8">
        <v>1641.19</v>
      </c>
      <c r="KP14" s="8"/>
      <c r="KQ14" s="8"/>
      <c r="KR14" s="8"/>
      <c r="KS14" s="8"/>
      <c r="KT14" s="8"/>
      <c r="KU14" s="8"/>
      <c r="KV14" s="8"/>
      <c r="KW14" s="8"/>
      <c r="KX14" s="8"/>
      <c r="KY14" s="8">
        <v>67247489.75</v>
      </c>
      <c r="KZ14" s="8"/>
      <c r="LA14" s="8"/>
      <c r="LB14" s="8"/>
      <c r="LC14" s="8"/>
      <c r="LD14" s="8">
        <v>15308.2</v>
      </c>
      <c r="LE14" s="8"/>
      <c r="LF14" s="8"/>
      <c r="LG14" s="8"/>
      <c r="LH14" s="8"/>
      <c r="LI14" s="8"/>
      <c r="LJ14" s="8"/>
      <c r="LK14" s="8">
        <v>1428.87</v>
      </c>
      <c r="LL14" s="8"/>
      <c r="LM14" s="8"/>
      <c r="LN14" s="8"/>
      <c r="LO14" s="8"/>
      <c r="LP14" s="8">
        <v>96345872.25</v>
      </c>
      <c r="LQ14" s="8"/>
      <c r="LR14" s="8"/>
      <c r="LS14" s="8"/>
      <c r="LT14" s="8"/>
      <c r="LU14" s="8"/>
      <c r="LV14" s="8"/>
      <c r="LW14" s="8"/>
      <c r="LX14" s="8">
        <v>78528155.75</v>
      </c>
      <c r="LY14" s="8">
        <v>74731171.180000007</v>
      </c>
      <c r="LZ14" s="8"/>
      <c r="MA14" s="8"/>
      <c r="MB14" s="8">
        <v>39345245.670000002</v>
      </c>
      <c r="MC14" s="8"/>
      <c r="MD14" s="8"/>
      <c r="ME14" s="8"/>
      <c r="MF14" s="8"/>
      <c r="MG14" s="8"/>
      <c r="MH14" s="8"/>
      <c r="MI14" s="8"/>
      <c r="MJ14" s="8">
        <v>24821972.579999998</v>
      </c>
      <c r="MK14" s="8"/>
      <c r="ML14" s="8"/>
      <c r="MM14" s="8"/>
      <c r="MN14" s="8"/>
      <c r="MO14" s="8"/>
      <c r="MP14" s="8"/>
      <c r="MQ14" s="8"/>
      <c r="MR14" s="8"/>
      <c r="MS14" s="8">
        <v>42356850.189999998</v>
      </c>
      <c r="MT14" s="8"/>
      <c r="MU14" s="8">
        <v>34485518.240000002</v>
      </c>
      <c r="MV14" s="8"/>
      <c r="MW14" s="8"/>
      <c r="MX14" s="8"/>
      <c r="MY14" s="8"/>
      <c r="MZ14" s="8"/>
      <c r="NA14" s="8"/>
      <c r="NB14" s="8"/>
      <c r="NC14" s="8">
        <v>1127.28</v>
      </c>
      <c r="ND14" s="8">
        <v>59636511.369999997</v>
      </c>
      <c r="NE14" s="8"/>
      <c r="NF14" s="8"/>
      <c r="NG14" s="8"/>
      <c r="NH14" s="8"/>
      <c r="NI14" s="8"/>
      <c r="NJ14" s="8"/>
      <c r="NK14" s="8"/>
      <c r="NL14" s="8"/>
      <c r="NM14" s="8">
        <v>50114816.549999997</v>
      </c>
      <c r="NN14" s="8"/>
      <c r="NO14" s="8"/>
      <c r="NP14" s="8">
        <v>17825228.149999999</v>
      </c>
      <c r="NQ14" s="8"/>
      <c r="NR14" s="8"/>
      <c r="NS14" s="8"/>
      <c r="NT14" s="8"/>
      <c r="NU14" s="8"/>
      <c r="NV14" s="8"/>
      <c r="NW14" s="8"/>
      <c r="NX14" s="8">
        <v>16313474.98</v>
      </c>
      <c r="NY14" s="8">
        <v>994.92</v>
      </c>
      <c r="NZ14" s="8"/>
      <c r="OA14" s="8"/>
      <c r="OB14" s="8">
        <v>0.72</v>
      </c>
      <c r="OC14" s="8"/>
      <c r="OD14" s="8"/>
      <c r="OE14" s="8">
        <v>39452098.920000002</v>
      </c>
      <c r="OF14" s="8"/>
      <c r="OG14" s="8"/>
      <c r="OH14" s="8"/>
      <c r="OI14" s="8"/>
      <c r="OJ14" s="8"/>
      <c r="OK14" s="8"/>
      <c r="OL14" s="8"/>
      <c r="OM14" s="8"/>
      <c r="ON14" s="8">
        <v>22292211.260000002</v>
      </c>
      <c r="OO14" s="8"/>
      <c r="OP14" s="8"/>
      <c r="OQ14" s="5">
        <v>1399407866.5500002</v>
      </c>
    </row>
    <row r="15" spans="2:407" x14ac:dyDescent="0.2">
      <c r="B15" t="s">
        <v>72</v>
      </c>
      <c r="C15" t="s">
        <v>10</v>
      </c>
      <c r="D15" s="8"/>
      <c r="E15" s="8"/>
      <c r="F15" s="8">
        <v>2322178.7799999998</v>
      </c>
      <c r="G15" s="8"/>
      <c r="H15" s="8">
        <v>316886.2</v>
      </c>
      <c r="I15" s="8">
        <v>3022943.92</v>
      </c>
      <c r="J15" s="8">
        <v>1494471.66</v>
      </c>
      <c r="K15" s="8"/>
      <c r="L15" s="8"/>
      <c r="M15" s="8"/>
      <c r="N15" s="8"/>
      <c r="O15" s="8"/>
      <c r="P15" s="8">
        <v>4270046.5</v>
      </c>
      <c r="Q15" s="8">
        <v>2500391.64</v>
      </c>
      <c r="R15" s="8">
        <v>1894235.21</v>
      </c>
      <c r="S15" s="8"/>
      <c r="T15" s="8"/>
      <c r="U15" s="8"/>
      <c r="V15" s="8">
        <v>2389806.12</v>
      </c>
      <c r="W15" s="8"/>
      <c r="X15" s="8"/>
      <c r="Y15" s="8">
        <v>1431047.09</v>
      </c>
      <c r="Z15" s="8">
        <v>3516599.55</v>
      </c>
      <c r="AA15" s="8">
        <v>0.08</v>
      </c>
      <c r="AB15" s="8"/>
      <c r="AC15" s="8"/>
      <c r="AD15" s="8">
        <v>533451.94999999995</v>
      </c>
      <c r="AE15" s="8"/>
      <c r="AF15" s="8"/>
      <c r="AG15" s="8"/>
      <c r="AH15" s="8"/>
      <c r="AI15" s="8"/>
      <c r="AJ15" s="8">
        <v>3401841.65</v>
      </c>
      <c r="AK15" s="8">
        <v>2256187.14</v>
      </c>
      <c r="AL15" s="8"/>
      <c r="AM15" s="8"/>
      <c r="AN15" s="8">
        <v>1573693.64</v>
      </c>
      <c r="AO15" s="8"/>
      <c r="AP15" s="8">
        <v>1395486.82</v>
      </c>
      <c r="AQ15" s="8">
        <v>3540.24</v>
      </c>
      <c r="AR15" s="8"/>
      <c r="AS15" s="8"/>
      <c r="AT15" s="8"/>
      <c r="AU15" s="8"/>
      <c r="AV15" s="8"/>
      <c r="AW15" s="8"/>
      <c r="AX15" s="8">
        <v>5166.75</v>
      </c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  <c r="CH15" s="8"/>
      <c r="CI15" s="8">
        <v>3186913.78</v>
      </c>
      <c r="CJ15" s="8">
        <v>5151865.82</v>
      </c>
      <c r="CK15" s="8"/>
      <c r="CL15" s="8"/>
      <c r="CM15" s="8"/>
      <c r="CN15" s="8"/>
      <c r="CO15" s="8"/>
      <c r="CP15" s="8">
        <v>4910057.68</v>
      </c>
      <c r="CQ15" s="8"/>
      <c r="CR15" s="8"/>
      <c r="CS15" s="8">
        <v>5620155.6399999997</v>
      </c>
      <c r="CT15" s="8"/>
      <c r="CU15" s="8"/>
      <c r="CV15" s="8"/>
      <c r="CW15" s="8"/>
      <c r="CX15" s="8">
        <v>8256173.5300000003</v>
      </c>
      <c r="CY15" s="8"/>
      <c r="CZ15" s="8">
        <v>1898495.58</v>
      </c>
      <c r="DA15" s="8"/>
      <c r="DB15" s="8"/>
      <c r="DC15" s="8">
        <v>7807398.5599999996</v>
      </c>
      <c r="DD15" s="8"/>
      <c r="DE15" s="8"/>
      <c r="DF15" s="8"/>
      <c r="DG15" s="8"/>
      <c r="DH15" s="8"/>
      <c r="DI15" s="8"/>
      <c r="DJ15" s="8"/>
      <c r="DK15" s="8"/>
      <c r="DL15" s="8"/>
      <c r="DM15" s="8"/>
      <c r="DN15" s="8"/>
      <c r="DO15" s="8">
        <v>2094330.9</v>
      </c>
      <c r="DP15" s="8"/>
      <c r="DQ15" s="8"/>
      <c r="DR15" s="8"/>
      <c r="DS15" s="8"/>
      <c r="DT15" s="8"/>
      <c r="DU15" s="8"/>
      <c r="DV15" s="8"/>
      <c r="DW15" s="8"/>
      <c r="DX15" s="8">
        <v>4578537.59</v>
      </c>
      <c r="DY15" s="8"/>
      <c r="DZ15" s="8">
        <v>4190461.84</v>
      </c>
      <c r="EA15" s="8">
        <v>2461471.86</v>
      </c>
      <c r="EB15" s="8"/>
      <c r="EC15" s="8"/>
      <c r="ED15" s="8"/>
      <c r="EE15" s="8"/>
      <c r="EF15" s="8"/>
      <c r="EG15" s="8"/>
      <c r="EH15" s="8"/>
      <c r="EI15" s="8">
        <v>21327512.949999999</v>
      </c>
      <c r="EJ15" s="8"/>
      <c r="EK15" s="8"/>
      <c r="EL15" s="8"/>
      <c r="EM15" s="8"/>
      <c r="EN15" s="8"/>
      <c r="EO15" s="8">
        <v>19393459.989999998</v>
      </c>
      <c r="EP15" s="8">
        <v>7058027.9500000002</v>
      </c>
      <c r="EQ15" s="8">
        <v>15149972.35</v>
      </c>
      <c r="ER15" s="8"/>
      <c r="ES15" s="8"/>
      <c r="ET15" s="8"/>
      <c r="EU15" s="8"/>
      <c r="EV15" s="8"/>
      <c r="EW15" s="8"/>
      <c r="EX15" s="8"/>
      <c r="EY15" s="8"/>
      <c r="EZ15" s="8"/>
      <c r="FA15" s="8"/>
      <c r="FB15" s="8">
        <v>15775144</v>
      </c>
      <c r="FC15" s="8"/>
      <c r="FD15" s="8"/>
      <c r="FE15" s="8"/>
      <c r="FF15" s="8"/>
      <c r="FG15" s="8"/>
      <c r="FH15" s="8"/>
      <c r="FI15" s="8"/>
      <c r="FJ15" s="8"/>
      <c r="FK15" s="8"/>
      <c r="FL15" s="8"/>
      <c r="FM15" s="8"/>
      <c r="FN15" s="8">
        <v>7577248.0599999996</v>
      </c>
      <c r="FO15" s="8"/>
      <c r="FP15" s="8"/>
      <c r="FQ15" s="8"/>
      <c r="FR15" s="8"/>
      <c r="FS15" s="8"/>
      <c r="FT15" s="8"/>
      <c r="FU15" s="8"/>
      <c r="FV15" s="8"/>
      <c r="FW15" s="8"/>
      <c r="FX15" s="8"/>
      <c r="FY15" s="8"/>
      <c r="FZ15" s="8"/>
      <c r="GA15" s="8"/>
      <c r="GB15" s="8"/>
      <c r="GC15" s="8"/>
      <c r="GD15" s="8"/>
      <c r="GE15" s="8"/>
      <c r="GF15" s="8"/>
      <c r="GG15" s="8"/>
      <c r="GH15" s="8"/>
      <c r="GI15" s="8"/>
      <c r="GJ15" s="8"/>
      <c r="GK15" s="8"/>
      <c r="GL15" s="8"/>
      <c r="GM15" s="8"/>
      <c r="GN15" s="8"/>
      <c r="GO15" s="8"/>
      <c r="GP15" s="8"/>
      <c r="GQ15" s="8"/>
      <c r="GR15" s="8"/>
      <c r="GS15" s="8"/>
      <c r="GT15" s="8"/>
      <c r="GU15" s="8"/>
      <c r="GV15" s="8"/>
      <c r="GW15" s="8"/>
      <c r="GX15" s="8"/>
      <c r="GY15" s="8"/>
      <c r="GZ15" s="8"/>
      <c r="HA15" s="8"/>
      <c r="HB15" s="8">
        <v>1.35</v>
      </c>
      <c r="HC15" s="8">
        <v>8997636.6400000006</v>
      </c>
      <c r="HD15" s="8">
        <v>15435465.17</v>
      </c>
      <c r="HE15" s="8"/>
      <c r="HF15" s="8"/>
      <c r="HG15" s="8">
        <v>14594741.939999999</v>
      </c>
      <c r="HH15" s="8"/>
      <c r="HI15" s="8"/>
      <c r="HJ15" s="8"/>
      <c r="HK15" s="8"/>
      <c r="HL15" s="8"/>
      <c r="HM15" s="8"/>
      <c r="HN15" s="8"/>
      <c r="HO15" s="8"/>
      <c r="HP15" s="8"/>
      <c r="HQ15" s="8"/>
      <c r="HR15" s="8"/>
      <c r="HS15" s="8"/>
      <c r="HT15" s="8"/>
      <c r="HU15" s="8">
        <v>4511.9799999999996</v>
      </c>
      <c r="HV15" s="8"/>
      <c r="HW15" s="8"/>
      <c r="HX15" s="8"/>
      <c r="HY15" s="8"/>
      <c r="HZ15" s="8"/>
      <c r="IA15" s="8"/>
      <c r="IB15" s="8"/>
      <c r="IC15" s="8">
        <v>12792884.720000001</v>
      </c>
      <c r="ID15" s="8">
        <v>3081879.68</v>
      </c>
      <c r="IE15" s="8"/>
      <c r="IF15" s="8"/>
      <c r="IG15" s="8">
        <v>4336761.7699999996</v>
      </c>
      <c r="IH15" s="8"/>
      <c r="II15" s="8"/>
      <c r="IJ15" s="8"/>
      <c r="IK15" s="8"/>
      <c r="IL15" s="8"/>
      <c r="IM15" s="8"/>
      <c r="IN15" s="8"/>
      <c r="IO15" s="8">
        <v>3956408.13</v>
      </c>
      <c r="IP15" s="8"/>
      <c r="IQ15" s="8">
        <v>5607446.4299999997</v>
      </c>
      <c r="IR15" s="8"/>
      <c r="IS15" s="8">
        <v>4875652.67</v>
      </c>
      <c r="IT15" s="8"/>
      <c r="IU15" s="8"/>
      <c r="IV15" s="8">
        <v>3457531.56</v>
      </c>
      <c r="IW15" s="8">
        <v>4855048.74</v>
      </c>
      <c r="IX15" s="8">
        <v>4802141.08</v>
      </c>
      <c r="IY15" s="8"/>
      <c r="IZ15" s="8"/>
      <c r="JA15" s="8"/>
      <c r="JB15" s="8">
        <v>807942.57</v>
      </c>
      <c r="JC15" s="8">
        <v>278930.93</v>
      </c>
      <c r="JD15" s="8"/>
      <c r="JE15" s="8"/>
      <c r="JF15" s="8"/>
      <c r="JG15" s="8">
        <v>1303717.6299999999</v>
      </c>
      <c r="JH15" s="8"/>
      <c r="JI15" s="8"/>
      <c r="JJ15" s="8"/>
      <c r="JK15" s="8"/>
      <c r="JL15" s="8"/>
      <c r="JM15" s="8"/>
      <c r="JN15" s="8"/>
      <c r="JO15" s="8"/>
      <c r="JP15" s="8"/>
      <c r="JQ15" s="8"/>
      <c r="JR15" s="8"/>
      <c r="JS15" s="8"/>
      <c r="JT15" s="8">
        <v>775121.98</v>
      </c>
      <c r="JU15" s="8"/>
      <c r="JV15" s="8">
        <v>2470873.13</v>
      </c>
      <c r="JW15" s="8"/>
      <c r="JX15" s="8"/>
      <c r="JY15" s="8"/>
      <c r="JZ15" s="8"/>
      <c r="KA15" s="8">
        <v>2933.24</v>
      </c>
      <c r="KB15" s="8"/>
      <c r="KC15" s="8">
        <v>18477531.739999998</v>
      </c>
      <c r="KD15" s="8">
        <v>18558.8</v>
      </c>
      <c r="KE15" s="8"/>
      <c r="KF15" s="8"/>
      <c r="KG15" s="8"/>
      <c r="KH15" s="8"/>
      <c r="KI15" s="8"/>
      <c r="KJ15" s="8"/>
      <c r="KK15" s="8"/>
      <c r="KL15" s="8"/>
      <c r="KM15" s="8"/>
      <c r="KN15" s="8"/>
      <c r="KO15" s="8"/>
      <c r="KP15" s="8"/>
      <c r="KQ15" s="8"/>
      <c r="KR15" s="8"/>
      <c r="KS15" s="8"/>
      <c r="KT15" s="8"/>
      <c r="KU15" s="8"/>
      <c r="KV15" s="8"/>
      <c r="KW15" s="8">
        <v>83488024.530000001</v>
      </c>
      <c r="KX15" s="8"/>
      <c r="KY15" s="8">
        <v>48526961.82</v>
      </c>
      <c r="KZ15" s="8"/>
      <c r="LA15" s="8"/>
      <c r="LB15" s="8">
        <v>1545.93</v>
      </c>
      <c r="LC15" s="8"/>
      <c r="LD15" s="8"/>
      <c r="LE15" s="8"/>
      <c r="LF15" s="8"/>
      <c r="LG15" s="8"/>
      <c r="LH15" s="8"/>
      <c r="LI15" s="8"/>
      <c r="LJ15" s="8"/>
      <c r="LK15" s="8"/>
      <c r="LL15" s="8"/>
      <c r="LM15" s="8"/>
      <c r="LN15" s="8"/>
      <c r="LO15" s="8"/>
      <c r="LP15" s="8"/>
      <c r="LQ15" s="8"/>
      <c r="LR15" s="8"/>
      <c r="LS15" s="8"/>
      <c r="LT15" s="8"/>
      <c r="LU15" s="8"/>
      <c r="LV15" s="8"/>
      <c r="LW15" s="8"/>
      <c r="LX15" s="8"/>
      <c r="LY15" s="8"/>
      <c r="LZ15" s="8"/>
      <c r="MA15" s="8"/>
      <c r="MB15" s="8">
        <v>12534893.67</v>
      </c>
      <c r="MC15" s="8"/>
      <c r="MD15" s="8"/>
      <c r="ME15" s="8"/>
      <c r="MF15" s="8"/>
      <c r="MG15" s="8"/>
      <c r="MH15" s="8"/>
      <c r="MI15" s="8"/>
      <c r="MJ15" s="8"/>
      <c r="MK15" s="8"/>
      <c r="ML15" s="8"/>
      <c r="MM15" s="8"/>
      <c r="MN15" s="8"/>
      <c r="MO15" s="8"/>
      <c r="MP15" s="8"/>
      <c r="MQ15" s="8"/>
      <c r="MR15" s="8"/>
      <c r="MS15" s="8"/>
      <c r="MT15" s="8"/>
      <c r="MU15" s="8"/>
      <c r="MV15" s="8"/>
      <c r="MW15" s="8"/>
      <c r="MX15" s="8"/>
      <c r="MY15" s="8"/>
      <c r="MZ15" s="8"/>
      <c r="NA15" s="8"/>
      <c r="NB15" s="8"/>
      <c r="NC15" s="8"/>
      <c r="ND15" s="8"/>
      <c r="NE15" s="8"/>
      <c r="NF15" s="8"/>
      <c r="NG15" s="8"/>
      <c r="NH15" s="8">
        <v>38999159.600000001</v>
      </c>
      <c r="NI15" s="8">
        <v>67145649.340000004</v>
      </c>
      <c r="NJ15" s="8"/>
      <c r="NK15" s="8"/>
      <c r="NL15" s="8"/>
      <c r="NM15" s="8"/>
      <c r="NN15" s="8"/>
      <c r="NO15" s="8"/>
      <c r="NP15" s="8"/>
      <c r="NQ15" s="8"/>
      <c r="NR15" s="8"/>
      <c r="NS15" s="8"/>
      <c r="NT15" s="8"/>
      <c r="NU15" s="8"/>
      <c r="NV15" s="8">
        <v>13710085.390000001</v>
      </c>
      <c r="NW15" s="8"/>
      <c r="NX15" s="8"/>
      <c r="NY15" s="8"/>
      <c r="NZ15" s="8">
        <v>17489029.239999998</v>
      </c>
      <c r="OA15" s="8"/>
      <c r="OB15" s="8"/>
      <c r="OC15" s="8"/>
      <c r="OD15" s="8"/>
      <c r="OE15" s="8"/>
      <c r="OF15" s="8"/>
      <c r="OG15" s="8"/>
      <c r="OH15" s="8"/>
      <c r="OI15" s="8"/>
      <c r="OJ15" s="8"/>
      <c r="OK15" s="8"/>
      <c r="OL15" s="8"/>
      <c r="OM15" s="8"/>
      <c r="ON15" s="8"/>
      <c r="OO15" s="8"/>
      <c r="OP15" s="8"/>
      <c r="OQ15" s="5">
        <v>561594274.41999996</v>
      </c>
    </row>
    <row r="16" spans="2:407" x14ac:dyDescent="0.2">
      <c r="B16" t="s">
        <v>73</v>
      </c>
      <c r="C16" t="s">
        <v>17</v>
      </c>
      <c r="D16" s="8"/>
      <c r="E16" s="8"/>
      <c r="F16" s="8"/>
      <c r="G16" s="8"/>
      <c r="H16" s="8">
        <v>1165379.3400000001</v>
      </c>
      <c r="I16" s="8"/>
      <c r="J16" s="8">
        <v>835128.74</v>
      </c>
      <c r="K16" s="8">
        <v>287193</v>
      </c>
      <c r="L16" s="8">
        <v>1766731.93</v>
      </c>
      <c r="M16" s="8"/>
      <c r="N16" s="8"/>
      <c r="O16" s="8"/>
      <c r="P16" s="8"/>
      <c r="Q16" s="8"/>
      <c r="R16" s="8"/>
      <c r="S16" s="8">
        <v>930010.98</v>
      </c>
      <c r="T16" s="8"/>
      <c r="U16" s="8"/>
      <c r="V16" s="8">
        <v>816467.71</v>
      </c>
      <c r="W16" s="8"/>
      <c r="X16" s="8">
        <v>497274.87</v>
      </c>
      <c r="Y16" s="8"/>
      <c r="Z16" s="8"/>
      <c r="AA16" s="8"/>
      <c r="AB16" s="8"/>
      <c r="AC16" s="8"/>
      <c r="AD16" s="8">
        <v>811986.38</v>
      </c>
      <c r="AE16" s="8">
        <v>1139338.43</v>
      </c>
      <c r="AF16" s="8"/>
      <c r="AG16" s="8">
        <v>1857.86</v>
      </c>
      <c r="AH16" s="8">
        <v>545449.73</v>
      </c>
      <c r="AI16" s="8">
        <v>684374.12</v>
      </c>
      <c r="AJ16" s="8"/>
      <c r="AK16" s="8"/>
      <c r="AL16" s="8"/>
      <c r="AM16" s="8"/>
      <c r="AN16" s="8"/>
      <c r="AO16" s="8"/>
      <c r="AP16" s="8"/>
      <c r="AQ16" s="8">
        <v>338456.25</v>
      </c>
      <c r="AR16" s="8"/>
      <c r="AS16" s="8">
        <v>311988.90000000002</v>
      </c>
      <c r="AT16" s="8">
        <v>525021.42000000004</v>
      </c>
      <c r="AU16" s="8">
        <v>0.53</v>
      </c>
      <c r="AV16" s="8"/>
      <c r="AW16" s="8">
        <v>1090048.1200000001</v>
      </c>
      <c r="AX16" s="8">
        <v>553952.24</v>
      </c>
      <c r="AY16" s="8">
        <v>220199.81</v>
      </c>
      <c r="AZ16" s="8">
        <v>268080.28999999998</v>
      </c>
      <c r="BA16" s="8">
        <v>3384069.86</v>
      </c>
      <c r="BB16" s="8"/>
      <c r="BC16" s="8"/>
      <c r="BD16" s="8"/>
      <c r="BE16" s="8"/>
      <c r="BF16" s="8">
        <v>1910182.03</v>
      </c>
      <c r="BG16" s="8"/>
      <c r="BH16" s="8"/>
      <c r="BI16" s="8">
        <v>10169.06</v>
      </c>
      <c r="BJ16" s="8">
        <v>4727770.17</v>
      </c>
      <c r="BK16" s="8"/>
      <c r="BL16" s="8"/>
      <c r="BM16" s="8"/>
      <c r="BN16" s="8"/>
      <c r="BO16" s="8"/>
      <c r="BP16" s="8">
        <v>3057586.88</v>
      </c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>
        <v>2023988.96</v>
      </c>
      <c r="CD16" s="8"/>
      <c r="CE16" s="8"/>
      <c r="CF16" s="8"/>
      <c r="CG16" s="8"/>
      <c r="CH16" s="8"/>
      <c r="CI16" s="8">
        <v>1606340.01</v>
      </c>
      <c r="CJ16" s="8"/>
      <c r="CK16" s="8"/>
      <c r="CL16" s="8"/>
      <c r="CM16" s="8"/>
      <c r="CN16" s="8">
        <v>3166286.32</v>
      </c>
      <c r="CO16" s="8"/>
      <c r="CP16" s="8"/>
      <c r="CQ16" s="8"/>
      <c r="CR16" s="8">
        <v>2193602.81</v>
      </c>
      <c r="CS16" s="8"/>
      <c r="CT16" s="8">
        <v>789044.86</v>
      </c>
      <c r="CU16" s="8"/>
      <c r="CV16" s="8">
        <v>0.05</v>
      </c>
      <c r="CW16" s="8"/>
      <c r="CX16" s="8"/>
      <c r="CY16" s="8"/>
      <c r="CZ16" s="8"/>
      <c r="DA16" s="8">
        <v>797023.76</v>
      </c>
      <c r="DB16" s="8">
        <v>2721013.09</v>
      </c>
      <c r="DC16" s="8">
        <v>1191153.8</v>
      </c>
      <c r="DD16" s="8"/>
      <c r="DE16" s="8"/>
      <c r="DF16" s="8"/>
      <c r="DG16" s="8"/>
      <c r="DH16" s="8"/>
      <c r="DI16" s="8"/>
      <c r="DJ16" s="8"/>
      <c r="DK16" s="8"/>
      <c r="DL16" s="8"/>
      <c r="DM16" s="8">
        <v>1104342.28</v>
      </c>
      <c r="DN16" s="8">
        <v>3069134.92</v>
      </c>
      <c r="DO16" s="8">
        <v>382943.38</v>
      </c>
      <c r="DP16" s="8">
        <v>1278243.4099999999</v>
      </c>
      <c r="DQ16" s="8"/>
      <c r="DR16" s="8"/>
      <c r="DS16" s="8"/>
      <c r="DT16" s="8"/>
      <c r="DU16" s="8">
        <v>1972893.5</v>
      </c>
      <c r="DV16" s="8">
        <v>939243.03</v>
      </c>
      <c r="DW16" s="8"/>
      <c r="DX16" s="8"/>
      <c r="DY16" s="8"/>
      <c r="DZ16" s="8">
        <v>899975.48</v>
      </c>
      <c r="EA16" s="8"/>
      <c r="EB16" s="8"/>
      <c r="EC16" s="8"/>
      <c r="ED16" s="8"/>
      <c r="EE16" s="8"/>
      <c r="EF16" s="8"/>
      <c r="EG16" s="8"/>
      <c r="EH16" s="8"/>
      <c r="EI16" s="8"/>
      <c r="EJ16" s="8"/>
      <c r="EK16" s="8"/>
      <c r="EL16" s="8"/>
      <c r="EM16" s="8"/>
      <c r="EN16" s="8"/>
      <c r="EO16" s="8"/>
      <c r="EP16" s="8"/>
      <c r="EQ16" s="8"/>
      <c r="ER16" s="8"/>
      <c r="ES16" s="8"/>
      <c r="ET16" s="8"/>
      <c r="EU16" s="8"/>
      <c r="EV16" s="8"/>
      <c r="EW16" s="8"/>
      <c r="EX16" s="8"/>
      <c r="EY16" s="8"/>
      <c r="EZ16" s="8"/>
      <c r="FA16" s="8"/>
      <c r="FB16" s="8"/>
      <c r="FC16" s="8"/>
      <c r="FD16" s="8"/>
      <c r="FE16" s="8"/>
      <c r="FF16" s="8"/>
      <c r="FG16" s="8"/>
      <c r="FH16" s="8"/>
      <c r="FI16" s="8"/>
      <c r="FJ16" s="8"/>
      <c r="FK16" s="8"/>
      <c r="FL16" s="8"/>
      <c r="FM16" s="8"/>
      <c r="FN16" s="8"/>
      <c r="FO16" s="8"/>
      <c r="FP16" s="8"/>
      <c r="FQ16" s="8"/>
      <c r="FR16" s="8"/>
      <c r="FS16" s="8">
        <v>10617826.92</v>
      </c>
      <c r="FT16" s="8"/>
      <c r="FU16" s="8"/>
      <c r="FV16" s="8"/>
      <c r="FW16" s="8"/>
      <c r="FX16" s="8"/>
      <c r="FY16" s="8"/>
      <c r="FZ16" s="8"/>
      <c r="GA16" s="8"/>
      <c r="GB16" s="8"/>
      <c r="GC16" s="8"/>
      <c r="GD16" s="8"/>
      <c r="GE16" s="8">
        <v>4737484.58</v>
      </c>
      <c r="GF16" s="8"/>
      <c r="GG16" s="8"/>
      <c r="GH16" s="8"/>
      <c r="GI16" s="8"/>
      <c r="GJ16" s="8"/>
      <c r="GK16" s="8"/>
      <c r="GL16" s="8"/>
      <c r="GM16" s="8"/>
      <c r="GN16" s="8"/>
      <c r="GO16" s="8"/>
      <c r="GP16" s="8"/>
      <c r="GQ16" s="8"/>
      <c r="GR16" s="8"/>
      <c r="GS16" s="8"/>
      <c r="GT16" s="8"/>
      <c r="GU16" s="8"/>
      <c r="GV16" s="8">
        <v>3077696.59</v>
      </c>
      <c r="GW16" s="8"/>
      <c r="GX16" s="8"/>
      <c r="GY16" s="8"/>
      <c r="GZ16" s="8">
        <v>4731261.1100000003</v>
      </c>
      <c r="HA16" s="8">
        <v>7022882.1900000004</v>
      </c>
      <c r="HB16" s="8">
        <v>2750064.19</v>
      </c>
      <c r="HC16" s="8">
        <v>3250887.8</v>
      </c>
      <c r="HD16" s="8"/>
      <c r="HE16" s="8"/>
      <c r="HF16" s="8"/>
      <c r="HG16" s="8"/>
      <c r="HH16" s="8"/>
      <c r="HI16" s="8"/>
      <c r="HJ16" s="8"/>
      <c r="HK16" s="8"/>
      <c r="HL16" s="8"/>
      <c r="HM16" s="8">
        <v>2612098.02</v>
      </c>
      <c r="HN16" s="8"/>
      <c r="HO16" s="8"/>
      <c r="HP16" s="8"/>
      <c r="HQ16" s="8"/>
      <c r="HR16" s="8"/>
      <c r="HS16" s="8"/>
      <c r="HT16" s="8"/>
      <c r="HU16" s="8">
        <v>1100306.1399999999</v>
      </c>
      <c r="HV16" s="8"/>
      <c r="HW16" s="8"/>
      <c r="HX16" s="8"/>
      <c r="HY16" s="8"/>
      <c r="HZ16" s="8"/>
      <c r="IA16" s="8"/>
      <c r="IB16" s="8"/>
      <c r="IC16" s="8"/>
      <c r="ID16" s="8"/>
      <c r="IE16" s="8">
        <v>3498951.91</v>
      </c>
      <c r="IF16" s="8">
        <v>889199.76</v>
      </c>
      <c r="IG16" s="8"/>
      <c r="IH16" s="8"/>
      <c r="II16" s="8"/>
      <c r="IJ16" s="8"/>
      <c r="IK16" s="8">
        <v>1072725.75</v>
      </c>
      <c r="IL16" s="8">
        <v>1760818.07</v>
      </c>
      <c r="IM16" s="8">
        <v>920747.68</v>
      </c>
      <c r="IN16" s="8">
        <v>1159984.82</v>
      </c>
      <c r="IO16" s="8"/>
      <c r="IP16" s="8"/>
      <c r="IQ16" s="8"/>
      <c r="IR16" s="8"/>
      <c r="IS16" s="8"/>
      <c r="IT16" s="8"/>
      <c r="IU16" s="8"/>
      <c r="IV16" s="8"/>
      <c r="IW16" s="8"/>
      <c r="IX16" s="8"/>
      <c r="IY16" s="8"/>
      <c r="IZ16" s="8"/>
      <c r="JA16" s="8"/>
      <c r="JB16" s="8"/>
      <c r="JC16" s="8">
        <v>2088471.35</v>
      </c>
      <c r="JD16" s="8"/>
      <c r="JE16" s="8"/>
      <c r="JF16" s="8"/>
      <c r="JG16" s="8"/>
      <c r="JH16" s="8"/>
      <c r="JI16" s="8"/>
      <c r="JJ16" s="8">
        <v>1132516.55</v>
      </c>
      <c r="JK16" s="8"/>
      <c r="JL16" s="8"/>
      <c r="JM16" s="8">
        <v>1221136.27</v>
      </c>
      <c r="JN16" s="8"/>
      <c r="JO16" s="8"/>
      <c r="JP16" s="8"/>
      <c r="JQ16" s="8"/>
      <c r="JR16" s="8"/>
      <c r="JS16" s="8"/>
      <c r="JT16" s="8"/>
      <c r="JU16" s="8"/>
      <c r="JV16" s="8">
        <v>3991722.3</v>
      </c>
      <c r="JW16" s="8">
        <v>1326.96</v>
      </c>
      <c r="JX16" s="8"/>
      <c r="JY16" s="8"/>
      <c r="JZ16" s="8"/>
      <c r="KA16" s="8"/>
      <c r="KB16" s="8"/>
      <c r="KC16" s="8"/>
      <c r="KD16" s="8"/>
      <c r="KE16" s="8">
        <v>4541529.83</v>
      </c>
      <c r="KF16" s="8">
        <v>2191042.1800000002</v>
      </c>
      <c r="KG16" s="8"/>
      <c r="KH16" s="8"/>
      <c r="KI16" s="8">
        <v>306.69</v>
      </c>
      <c r="KJ16" s="8"/>
      <c r="KK16" s="8"/>
      <c r="KL16" s="8"/>
      <c r="KM16" s="8"/>
      <c r="KN16" s="8"/>
      <c r="KO16" s="8"/>
      <c r="KP16" s="8">
        <v>8757288.7899999991</v>
      </c>
      <c r="KQ16" s="8">
        <v>7869034.5099999998</v>
      </c>
      <c r="KR16" s="8"/>
      <c r="KS16" s="8"/>
      <c r="KT16" s="8"/>
      <c r="KU16" s="8"/>
      <c r="KV16" s="8"/>
      <c r="KW16" s="8"/>
      <c r="KX16" s="8"/>
      <c r="KY16" s="8"/>
      <c r="KZ16" s="8"/>
      <c r="LA16" s="8"/>
      <c r="LB16" s="8">
        <v>1897466.62</v>
      </c>
      <c r="LC16" s="8"/>
      <c r="LD16" s="8"/>
      <c r="LE16" s="8">
        <v>6581.86</v>
      </c>
      <c r="LF16" s="8"/>
      <c r="LG16" s="8">
        <v>8187159.2999999998</v>
      </c>
      <c r="LH16" s="8">
        <v>5378939.1200000001</v>
      </c>
      <c r="LI16" s="8"/>
      <c r="LJ16" s="8"/>
      <c r="LK16" s="8"/>
      <c r="LL16" s="8">
        <v>9365134.3800000008</v>
      </c>
      <c r="LM16" s="8"/>
      <c r="LN16" s="8"/>
      <c r="LO16" s="8"/>
      <c r="LP16" s="8"/>
      <c r="LQ16" s="8"/>
      <c r="LR16" s="8"/>
      <c r="LS16" s="8"/>
      <c r="LT16" s="8"/>
      <c r="LU16" s="8"/>
      <c r="LV16" s="8"/>
      <c r="LW16" s="8"/>
      <c r="LX16" s="8"/>
      <c r="LY16" s="8">
        <v>8484.2800000000007</v>
      </c>
      <c r="LZ16" s="8"/>
      <c r="MA16" s="8"/>
      <c r="MB16" s="8"/>
      <c r="MC16" s="8">
        <v>16439100.220000001</v>
      </c>
      <c r="MD16" s="8">
        <v>4631803.5599999996</v>
      </c>
      <c r="ME16" s="8"/>
      <c r="MF16" s="8"/>
      <c r="MG16" s="8"/>
      <c r="MH16" s="8"/>
      <c r="MI16" s="8"/>
      <c r="MJ16" s="8"/>
      <c r="MK16" s="8"/>
      <c r="ML16" s="8"/>
      <c r="MM16" s="8"/>
      <c r="MN16" s="8"/>
      <c r="MO16" s="8"/>
      <c r="MP16" s="8"/>
      <c r="MQ16" s="8">
        <v>15805907.789999999</v>
      </c>
      <c r="MR16" s="8"/>
      <c r="MS16" s="8"/>
      <c r="MT16" s="8"/>
      <c r="MU16" s="8"/>
      <c r="MV16" s="8"/>
      <c r="MW16" s="8">
        <v>2983.36</v>
      </c>
      <c r="MX16" s="8"/>
      <c r="MY16" s="8"/>
      <c r="MZ16" s="8"/>
      <c r="NA16" s="8"/>
      <c r="NB16" s="8"/>
      <c r="NC16" s="8"/>
      <c r="ND16" s="8"/>
      <c r="NE16" s="8"/>
      <c r="NF16" s="8"/>
      <c r="NG16" s="8"/>
      <c r="NH16" s="8"/>
      <c r="NI16" s="8"/>
      <c r="NJ16" s="8"/>
      <c r="NK16" s="8"/>
      <c r="NL16" s="8"/>
      <c r="NM16" s="8"/>
      <c r="NN16" s="8"/>
      <c r="NO16" s="8"/>
      <c r="NP16" s="8">
        <v>3846205.61</v>
      </c>
      <c r="NQ16" s="8"/>
      <c r="NR16" s="8">
        <v>6415669.9100000001</v>
      </c>
      <c r="NS16" s="8"/>
      <c r="NT16" s="8"/>
      <c r="NU16" s="8"/>
      <c r="NV16" s="8"/>
      <c r="NW16" s="8"/>
      <c r="NX16" s="8"/>
      <c r="NY16" s="8"/>
      <c r="NZ16" s="8"/>
      <c r="OA16" s="8">
        <v>1229.6500000000001</v>
      </c>
      <c r="OB16" s="8"/>
      <c r="OC16" s="8"/>
      <c r="OD16" s="8"/>
      <c r="OE16" s="8"/>
      <c r="OF16" s="8"/>
      <c r="OG16" s="8"/>
      <c r="OH16" s="8"/>
      <c r="OI16" s="8"/>
      <c r="OJ16" s="8"/>
      <c r="OK16" s="8"/>
      <c r="OL16" s="8"/>
      <c r="OM16" s="8"/>
      <c r="ON16" s="8"/>
      <c r="OO16" s="8"/>
      <c r="OP16" s="8"/>
      <c r="OQ16" s="5">
        <v>202997924.93000001</v>
      </c>
    </row>
    <row r="17" spans="2:407" x14ac:dyDescent="0.2">
      <c r="B17" t="s">
        <v>74</v>
      </c>
      <c r="C17" t="s">
        <v>11</v>
      </c>
      <c r="D17" s="8">
        <v>240915.91</v>
      </c>
      <c r="E17" s="8">
        <v>250039.43</v>
      </c>
      <c r="F17" s="8"/>
      <c r="G17" s="8">
        <v>330991.31</v>
      </c>
      <c r="H17" s="8">
        <v>366688.46</v>
      </c>
      <c r="I17" s="8"/>
      <c r="J17" s="8">
        <v>109474.58</v>
      </c>
      <c r="K17" s="8">
        <v>214553.54</v>
      </c>
      <c r="L17" s="8"/>
      <c r="M17" s="8"/>
      <c r="N17" s="8"/>
      <c r="O17" s="8"/>
      <c r="P17" s="8">
        <v>152093.14000000001</v>
      </c>
      <c r="Q17" s="8"/>
      <c r="R17" s="8"/>
      <c r="S17" s="8"/>
      <c r="T17" s="8"/>
      <c r="U17" s="8"/>
      <c r="V17" s="8">
        <v>65873.25</v>
      </c>
      <c r="W17" s="8"/>
      <c r="X17" s="8">
        <v>287869.34000000003</v>
      </c>
      <c r="Y17" s="8">
        <v>282332.53000000003</v>
      </c>
      <c r="Z17" s="8">
        <v>219039.29</v>
      </c>
      <c r="AA17" s="8"/>
      <c r="AB17" s="8"/>
      <c r="AC17" s="8">
        <v>9988.08</v>
      </c>
      <c r="AD17" s="8">
        <v>261653.3</v>
      </c>
      <c r="AE17" s="8"/>
      <c r="AF17" s="8"/>
      <c r="AG17" s="8"/>
      <c r="AH17" s="8"/>
      <c r="AI17" s="8"/>
      <c r="AJ17" s="8">
        <v>222282.86</v>
      </c>
      <c r="AK17" s="8"/>
      <c r="AL17" s="8"/>
      <c r="AM17" s="8"/>
      <c r="AN17" s="8"/>
      <c r="AO17" s="8"/>
      <c r="AP17" s="8">
        <v>438503.98</v>
      </c>
      <c r="AQ17" s="8"/>
      <c r="AR17" s="8">
        <v>104118.04</v>
      </c>
      <c r="AS17" s="8"/>
      <c r="AT17" s="8"/>
      <c r="AU17" s="8"/>
      <c r="AV17" s="8"/>
      <c r="AW17" s="8"/>
      <c r="AX17" s="8"/>
      <c r="AY17" s="8"/>
      <c r="AZ17" s="8">
        <v>514220.53</v>
      </c>
      <c r="BA17" s="8"/>
      <c r="BB17" s="8">
        <v>1275630.8</v>
      </c>
      <c r="BC17" s="8">
        <v>612976.75</v>
      </c>
      <c r="BD17" s="8"/>
      <c r="BE17" s="8"/>
      <c r="BF17" s="8"/>
      <c r="BG17" s="8"/>
      <c r="BH17" s="8">
        <v>1532792.78</v>
      </c>
      <c r="BI17" s="8"/>
      <c r="BJ17" s="8"/>
      <c r="BK17" s="8"/>
      <c r="BL17" s="8">
        <v>1174.25</v>
      </c>
      <c r="BM17" s="8">
        <v>814876.75</v>
      </c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>
        <v>267369.59999999998</v>
      </c>
      <c r="BZ17" s="8"/>
      <c r="CA17" s="8"/>
      <c r="CB17" s="8"/>
      <c r="CC17" s="8"/>
      <c r="CD17" s="8"/>
      <c r="CE17" s="8"/>
      <c r="CF17" s="8"/>
      <c r="CG17" s="8"/>
      <c r="CH17" s="8">
        <v>253325.44</v>
      </c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>
        <v>9371.34</v>
      </c>
      <c r="DK17" s="8"/>
      <c r="DL17" s="8"/>
      <c r="DM17" s="8"/>
      <c r="DN17" s="8"/>
      <c r="DO17" s="8"/>
      <c r="DP17" s="8">
        <v>0.65</v>
      </c>
      <c r="DQ17" s="8">
        <v>447035.95</v>
      </c>
      <c r="DR17" s="8">
        <v>538110.42000000004</v>
      </c>
      <c r="DS17" s="8"/>
      <c r="DT17" s="8"/>
      <c r="DU17" s="8">
        <v>281835.2</v>
      </c>
      <c r="DV17" s="8">
        <v>340005.38</v>
      </c>
      <c r="DW17" s="8">
        <v>302333.32</v>
      </c>
      <c r="DX17" s="8"/>
      <c r="DY17" s="8">
        <v>848812.72</v>
      </c>
      <c r="DZ17" s="8"/>
      <c r="EA17" s="8"/>
      <c r="EB17" s="8"/>
      <c r="EC17" s="8"/>
      <c r="ED17" s="8"/>
      <c r="EE17" s="8"/>
      <c r="EF17" s="8"/>
      <c r="EG17" s="8"/>
      <c r="EH17" s="8"/>
      <c r="EI17" s="8"/>
      <c r="EJ17" s="8"/>
      <c r="EK17" s="8"/>
      <c r="EL17" s="8"/>
      <c r="EM17" s="8"/>
      <c r="EN17" s="8"/>
      <c r="EO17" s="8"/>
      <c r="EP17" s="8"/>
      <c r="EQ17" s="8"/>
      <c r="ER17" s="8"/>
      <c r="ES17" s="8"/>
      <c r="ET17" s="8"/>
      <c r="EU17" s="8"/>
      <c r="EV17" s="8"/>
      <c r="EW17" s="8"/>
      <c r="EX17" s="8"/>
      <c r="EY17" s="8"/>
      <c r="EZ17" s="8"/>
      <c r="FA17" s="8"/>
      <c r="FB17" s="8"/>
      <c r="FC17" s="8"/>
      <c r="FD17" s="8"/>
      <c r="FE17" s="8"/>
      <c r="FF17" s="8"/>
      <c r="FG17" s="8"/>
      <c r="FH17" s="8"/>
      <c r="FI17" s="8"/>
      <c r="FJ17" s="8"/>
      <c r="FK17" s="8"/>
      <c r="FL17" s="8"/>
      <c r="FM17" s="8"/>
      <c r="FN17" s="8"/>
      <c r="FO17" s="8"/>
      <c r="FP17" s="8"/>
      <c r="FQ17" s="8">
        <v>1794076.87</v>
      </c>
      <c r="FR17" s="8"/>
      <c r="FS17" s="8"/>
      <c r="FT17" s="8"/>
      <c r="FU17" s="8"/>
      <c r="FV17" s="8"/>
      <c r="FW17" s="8"/>
      <c r="FX17" s="8"/>
      <c r="FY17" s="8"/>
      <c r="FZ17" s="8"/>
      <c r="GA17" s="8"/>
      <c r="GB17" s="8">
        <v>779353.35</v>
      </c>
      <c r="GC17" s="8"/>
      <c r="GD17" s="8"/>
      <c r="GE17" s="8"/>
      <c r="GF17" s="8">
        <v>522037.64</v>
      </c>
      <c r="GG17" s="8"/>
      <c r="GH17" s="8"/>
      <c r="GI17" s="8"/>
      <c r="GJ17" s="8"/>
      <c r="GK17" s="8"/>
      <c r="GL17" s="8"/>
      <c r="GM17" s="8"/>
      <c r="GN17" s="8">
        <v>1231104.0900000001</v>
      </c>
      <c r="GO17" s="8">
        <v>598394.56999999995</v>
      </c>
      <c r="GP17" s="8"/>
      <c r="GQ17" s="8"/>
      <c r="GR17" s="8"/>
      <c r="GS17" s="8"/>
      <c r="GT17" s="8"/>
      <c r="GU17" s="8"/>
      <c r="GV17" s="8"/>
      <c r="GW17" s="8">
        <v>1492218.4</v>
      </c>
      <c r="GX17" s="8">
        <v>1016437.8</v>
      </c>
      <c r="GY17" s="8"/>
      <c r="GZ17" s="8"/>
      <c r="HA17" s="8">
        <v>1380641.23</v>
      </c>
      <c r="HB17" s="8">
        <v>2147044.98</v>
      </c>
      <c r="HC17" s="8"/>
      <c r="HD17" s="8"/>
      <c r="HE17" s="8"/>
      <c r="HF17" s="8"/>
      <c r="HG17" s="8"/>
      <c r="HH17" s="8"/>
      <c r="HI17" s="8"/>
      <c r="HJ17" s="8"/>
      <c r="HK17" s="8"/>
      <c r="HL17" s="8"/>
      <c r="HM17" s="8"/>
      <c r="HN17" s="8">
        <v>815468.65</v>
      </c>
      <c r="HO17" s="8"/>
      <c r="HP17" s="8"/>
      <c r="HQ17" s="8">
        <v>9623.18</v>
      </c>
      <c r="HR17" s="8">
        <v>1020068.76</v>
      </c>
      <c r="HS17" s="8"/>
      <c r="HT17" s="8"/>
      <c r="HU17" s="8"/>
      <c r="HV17" s="8"/>
      <c r="HW17" s="8"/>
      <c r="HX17" s="8"/>
      <c r="HY17" s="8"/>
      <c r="HZ17" s="8"/>
      <c r="IA17" s="8"/>
      <c r="IB17" s="8"/>
      <c r="IC17" s="8"/>
      <c r="ID17" s="8"/>
      <c r="IE17" s="8"/>
      <c r="IF17" s="8"/>
      <c r="IG17" s="8"/>
      <c r="IH17" s="8"/>
      <c r="II17" s="8"/>
      <c r="IJ17" s="8"/>
      <c r="IK17" s="8"/>
      <c r="IL17" s="8"/>
      <c r="IM17" s="8"/>
      <c r="IN17" s="8"/>
      <c r="IO17" s="8"/>
      <c r="IP17" s="8"/>
      <c r="IQ17" s="8"/>
      <c r="IR17" s="8"/>
      <c r="IS17" s="8"/>
      <c r="IT17" s="8"/>
      <c r="IU17" s="8"/>
      <c r="IV17" s="8"/>
      <c r="IW17" s="8"/>
      <c r="IX17" s="8"/>
      <c r="IY17" s="8"/>
      <c r="IZ17" s="8"/>
      <c r="JA17" s="8">
        <v>652705.80000000005</v>
      </c>
      <c r="JB17" s="8">
        <v>826889.99</v>
      </c>
      <c r="JC17" s="8">
        <v>471428.11</v>
      </c>
      <c r="JD17" s="8"/>
      <c r="JE17" s="8">
        <v>410515.32</v>
      </c>
      <c r="JF17" s="8"/>
      <c r="JG17" s="8"/>
      <c r="JH17" s="8"/>
      <c r="JI17" s="8"/>
      <c r="JJ17" s="8"/>
      <c r="JK17" s="8"/>
      <c r="JL17" s="8"/>
      <c r="JM17" s="8">
        <v>369090.02</v>
      </c>
      <c r="JN17" s="8"/>
      <c r="JO17" s="8"/>
      <c r="JP17" s="8"/>
      <c r="JQ17" s="8"/>
      <c r="JR17" s="8"/>
      <c r="JS17" s="8"/>
      <c r="JT17" s="8"/>
      <c r="JU17" s="8"/>
      <c r="JV17" s="8"/>
      <c r="JW17" s="8"/>
      <c r="JX17" s="8"/>
      <c r="JY17" s="8"/>
      <c r="JZ17" s="8"/>
      <c r="KA17" s="8">
        <v>139791.39000000001</v>
      </c>
      <c r="KB17" s="8"/>
      <c r="KC17" s="8"/>
      <c r="KD17" s="8"/>
      <c r="KE17" s="8">
        <v>426654.35</v>
      </c>
      <c r="KF17" s="8"/>
      <c r="KG17" s="8">
        <v>305807.71000000002</v>
      </c>
      <c r="KH17" s="8"/>
      <c r="KI17" s="8">
        <v>190761.68</v>
      </c>
      <c r="KJ17" s="8">
        <v>126572.96</v>
      </c>
      <c r="KK17" s="8"/>
      <c r="KL17" s="8">
        <v>431669.73</v>
      </c>
      <c r="KM17" s="8">
        <v>499694.76</v>
      </c>
      <c r="KN17" s="8"/>
      <c r="KO17" s="8"/>
      <c r="KP17" s="8"/>
      <c r="KQ17" s="8"/>
      <c r="KR17" s="8"/>
      <c r="KS17" s="8"/>
      <c r="KT17" s="8"/>
      <c r="KU17" s="8"/>
      <c r="KV17" s="8"/>
      <c r="KW17" s="8"/>
      <c r="KX17" s="8"/>
      <c r="KY17" s="8"/>
      <c r="KZ17" s="8"/>
      <c r="LA17" s="8"/>
      <c r="LB17" s="8"/>
      <c r="LC17" s="8"/>
      <c r="LD17" s="8"/>
      <c r="LE17" s="8"/>
      <c r="LF17" s="8"/>
      <c r="LG17" s="8"/>
      <c r="LH17" s="8"/>
      <c r="LI17" s="8"/>
      <c r="LJ17" s="8"/>
      <c r="LK17" s="8"/>
      <c r="LL17" s="8"/>
      <c r="LM17" s="8"/>
      <c r="LN17" s="8"/>
      <c r="LO17" s="8"/>
      <c r="LP17" s="8"/>
      <c r="LQ17" s="8">
        <v>296.95999999999998</v>
      </c>
      <c r="LR17" s="8"/>
      <c r="LS17" s="8"/>
      <c r="LT17" s="8"/>
      <c r="LU17" s="8"/>
      <c r="LV17" s="8">
        <v>5188317.7300000004</v>
      </c>
      <c r="LW17" s="8"/>
      <c r="LX17" s="8"/>
      <c r="LY17" s="8"/>
      <c r="LZ17" s="8"/>
      <c r="MA17" s="8">
        <v>8637465.2599999998</v>
      </c>
      <c r="MB17" s="8"/>
      <c r="MC17" s="8"/>
      <c r="MD17" s="8"/>
      <c r="ME17" s="8"/>
      <c r="MF17" s="8"/>
      <c r="MG17" s="8">
        <v>2376787.61</v>
      </c>
      <c r="MH17" s="8"/>
      <c r="MI17" s="8"/>
      <c r="MJ17" s="8"/>
      <c r="MK17" s="8"/>
      <c r="ML17" s="8"/>
      <c r="MM17" s="8"/>
      <c r="MN17" s="8"/>
      <c r="MO17" s="8"/>
      <c r="MP17" s="8">
        <v>1578114.31</v>
      </c>
      <c r="MQ17" s="8"/>
      <c r="MR17" s="8"/>
      <c r="MS17" s="8">
        <v>2943669.07</v>
      </c>
      <c r="MT17" s="8"/>
      <c r="MU17" s="8"/>
      <c r="MV17" s="8"/>
      <c r="MW17" s="8"/>
      <c r="MX17" s="8"/>
      <c r="MY17" s="8"/>
      <c r="MZ17" s="8"/>
      <c r="NA17" s="8"/>
      <c r="NB17" s="8"/>
      <c r="NC17" s="8"/>
      <c r="ND17" s="8">
        <v>2636436.89</v>
      </c>
      <c r="NE17" s="8">
        <v>0.25</v>
      </c>
      <c r="NF17" s="8"/>
      <c r="NG17" s="8"/>
      <c r="NH17" s="8"/>
      <c r="NI17" s="8">
        <v>2176312.65</v>
      </c>
      <c r="NJ17" s="8"/>
      <c r="NK17" s="8"/>
      <c r="NL17" s="8"/>
      <c r="NM17" s="8"/>
      <c r="NN17" s="8"/>
      <c r="NO17" s="8"/>
      <c r="NP17" s="8">
        <v>1158056.3999999999</v>
      </c>
      <c r="NQ17" s="8"/>
      <c r="NR17" s="8"/>
      <c r="NS17" s="8"/>
      <c r="NT17" s="8"/>
      <c r="NU17" s="8"/>
      <c r="NV17" s="8"/>
      <c r="NW17" s="8"/>
      <c r="NX17" s="8"/>
      <c r="NY17" s="8"/>
      <c r="NZ17" s="8"/>
      <c r="OA17" s="8"/>
      <c r="OB17" s="8">
        <v>2406352.12</v>
      </c>
      <c r="OC17" s="8"/>
      <c r="OD17" s="8"/>
      <c r="OE17" s="8"/>
      <c r="OF17" s="8">
        <v>1582080.96</v>
      </c>
      <c r="OG17" s="8"/>
      <c r="OH17" s="8"/>
      <c r="OI17" s="8"/>
      <c r="OJ17" s="8"/>
      <c r="OK17" s="8"/>
      <c r="OL17" s="8"/>
      <c r="OM17" s="8">
        <v>2021430.96</v>
      </c>
      <c r="ON17" s="8"/>
      <c r="OO17" s="8"/>
      <c r="OP17" s="8"/>
      <c r="OQ17" s="5">
        <v>61959661.43</v>
      </c>
    </row>
    <row r="18" spans="2:407" x14ac:dyDescent="0.2">
      <c r="B18" t="s">
        <v>75</v>
      </c>
      <c r="C18" t="s">
        <v>12</v>
      </c>
      <c r="D18" s="8"/>
      <c r="E18" s="8"/>
      <c r="F18" s="8"/>
      <c r="G18" s="8"/>
      <c r="H18" s="8">
        <v>3224849.56</v>
      </c>
      <c r="I18" s="8"/>
      <c r="J18" s="8"/>
      <c r="K18" s="8"/>
      <c r="L18" s="8"/>
      <c r="M18" s="8"/>
      <c r="N18" s="8">
        <v>3166769.5</v>
      </c>
      <c r="O18" s="8"/>
      <c r="P18" s="8"/>
      <c r="Q18" s="8"/>
      <c r="R18" s="8">
        <v>3318876.83</v>
      </c>
      <c r="S18" s="8"/>
      <c r="T18" s="8"/>
      <c r="U18" s="8"/>
      <c r="V18" s="8">
        <v>2642530.02</v>
      </c>
      <c r="W18" s="8">
        <v>1654716.13</v>
      </c>
      <c r="X18" s="8"/>
      <c r="Y18" s="8"/>
      <c r="Z18" s="8"/>
      <c r="AA18" s="8"/>
      <c r="AB18" s="8">
        <v>10543.15</v>
      </c>
      <c r="AC18" s="8">
        <v>1183322.93</v>
      </c>
      <c r="AD18" s="8">
        <v>946825.08</v>
      </c>
      <c r="AE18" s="8">
        <v>1273029.6299999999</v>
      </c>
      <c r="AF18" s="8">
        <v>722489.05</v>
      </c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>
        <v>6475818.2300000004</v>
      </c>
      <c r="BG18" s="8">
        <v>9052458.8599999994</v>
      </c>
      <c r="BH18" s="8"/>
      <c r="BI18" s="8"/>
      <c r="BJ18" s="8"/>
      <c r="BK18" s="8"/>
      <c r="BL18" s="8"/>
      <c r="BM18" s="8">
        <v>13590909.560000001</v>
      </c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>
        <v>0.44</v>
      </c>
      <c r="CQ18" s="8"/>
      <c r="CR18" s="8"/>
      <c r="CS18" s="8"/>
      <c r="CT18" s="8"/>
      <c r="CU18" s="8"/>
      <c r="CV18" s="8">
        <v>21046979.890000001</v>
      </c>
      <c r="CW18" s="8"/>
      <c r="CX18" s="8"/>
      <c r="CY18" s="8"/>
      <c r="CZ18" s="8"/>
      <c r="DA18" s="8"/>
      <c r="DB18" s="8"/>
      <c r="DC18" s="8"/>
      <c r="DD18" s="8"/>
      <c r="DE18" s="8">
        <v>1057237.6200000001</v>
      </c>
      <c r="DF18" s="8"/>
      <c r="DG18" s="8"/>
      <c r="DH18" s="8"/>
      <c r="DI18" s="8"/>
      <c r="DJ18" s="8"/>
      <c r="DK18" s="8">
        <v>3527.3</v>
      </c>
      <c r="DL18" s="8"/>
      <c r="DM18" s="8"/>
      <c r="DN18" s="8"/>
      <c r="DO18" s="8"/>
      <c r="DP18" s="8"/>
      <c r="DQ18" s="8"/>
      <c r="DR18" s="8"/>
      <c r="DS18" s="8"/>
      <c r="DT18" s="8"/>
      <c r="DU18" s="8"/>
      <c r="DV18" s="8">
        <v>13967.75</v>
      </c>
      <c r="DW18" s="8"/>
      <c r="DX18" s="8">
        <v>17115189.699999999</v>
      </c>
      <c r="DY18" s="8"/>
      <c r="DZ18" s="8"/>
      <c r="EA18" s="8"/>
      <c r="EB18" s="8"/>
      <c r="EC18" s="8"/>
      <c r="ED18" s="8"/>
      <c r="EE18" s="8"/>
      <c r="EF18" s="8"/>
      <c r="EG18" s="8"/>
      <c r="EH18" s="8"/>
      <c r="EI18" s="8"/>
      <c r="EJ18" s="8"/>
      <c r="EK18" s="8"/>
      <c r="EL18" s="8"/>
      <c r="EM18" s="8"/>
      <c r="EN18" s="8"/>
      <c r="EO18" s="8"/>
      <c r="EP18" s="8"/>
      <c r="EQ18" s="8"/>
      <c r="ER18" s="8"/>
      <c r="ES18" s="8"/>
      <c r="ET18" s="8"/>
      <c r="EU18" s="8">
        <v>27169724.460000001</v>
      </c>
      <c r="EV18" s="8"/>
      <c r="EW18" s="8"/>
      <c r="EX18" s="8"/>
      <c r="EY18" s="8">
        <v>20486967.98</v>
      </c>
      <c r="EZ18" s="8"/>
      <c r="FA18" s="8"/>
      <c r="FB18" s="8"/>
      <c r="FC18" s="8"/>
      <c r="FD18" s="8"/>
      <c r="FE18" s="8"/>
      <c r="FF18" s="8"/>
      <c r="FG18" s="8"/>
      <c r="FH18" s="8"/>
      <c r="FI18" s="8"/>
      <c r="FJ18" s="8"/>
      <c r="FK18" s="8"/>
      <c r="FL18" s="8"/>
      <c r="FM18" s="8"/>
      <c r="FN18" s="8"/>
      <c r="FO18" s="8">
        <v>1.0900000000000001</v>
      </c>
      <c r="FP18" s="8"/>
      <c r="FQ18" s="8"/>
      <c r="FR18" s="8"/>
      <c r="FS18" s="8"/>
      <c r="FT18" s="8"/>
      <c r="FU18" s="8"/>
      <c r="FV18" s="8"/>
      <c r="FW18" s="8"/>
      <c r="FX18" s="8"/>
      <c r="FY18" s="8"/>
      <c r="FZ18" s="8"/>
      <c r="GA18" s="8"/>
      <c r="GB18" s="8">
        <v>17850674.670000002</v>
      </c>
      <c r="GC18" s="8"/>
      <c r="GD18" s="8"/>
      <c r="GE18" s="8"/>
      <c r="GF18" s="8"/>
      <c r="GG18" s="8"/>
      <c r="GH18" s="8"/>
      <c r="GI18" s="8"/>
      <c r="GJ18" s="8"/>
      <c r="GK18" s="8"/>
      <c r="GL18" s="8"/>
      <c r="GM18" s="8"/>
      <c r="GN18" s="8"/>
      <c r="GO18" s="8"/>
      <c r="GP18" s="8"/>
      <c r="GQ18" s="8">
        <v>3432216.61</v>
      </c>
      <c r="GR18" s="8"/>
      <c r="GS18" s="8"/>
      <c r="GT18" s="8"/>
      <c r="GU18" s="8"/>
      <c r="GV18" s="8"/>
      <c r="GW18" s="8"/>
      <c r="GX18" s="8"/>
      <c r="GY18" s="8">
        <v>20394700.649999999</v>
      </c>
      <c r="GZ18" s="8"/>
      <c r="HA18" s="8"/>
      <c r="HB18" s="8"/>
      <c r="HC18" s="8"/>
      <c r="HD18" s="8"/>
      <c r="HE18" s="8"/>
      <c r="HF18" s="8"/>
      <c r="HG18" s="8"/>
      <c r="HH18" s="8">
        <v>1.26</v>
      </c>
      <c r="HI18" s="8">
        <v>401.7</v>
      </c>
      <c r="HJ18" s="8">
        <v>5607336.5599999996</v>
      </c>
      <c r="HK18" s="8">
        <v>4578766.7</v>
      </c>
      <c r="HL18" s="8"/>
      <c r="HM18" s="8"/>
      <c r="HN18" s="8"/>
      <c r="HO18" s="8"/>
      <c r="HP18" s="8"/>
      <c r="HQ18" s="8"/>
      <c r="HR18" s="8"/>
      <c r="HS18" s="8"/>
      <c r="HT18" s="8">
        <v>3687296.3</v>
      </c>
      <c r="HU18" s="8">
        <v>3055688.05</v>
      </c>
      <c r="HV18" s="8"/>
      <c r="HW18" s="8"/>
      <c r="HX18" s="8"/>
      <c r="HY18" s="8"/>
      <c r="HZ18" s="8"/>
      <c r="IA18" s="8">
        <v>6043873.96</v>
      </c>
      <c r="IB18" s="8"/>
      <c r="IC18" s="8">
        <v>4451368.76</v>
      </c>
      <c r="ID18" s="8"/>
      <c r="IE18" s="8"/>
      <c r="IF18" s="8"/>
      <c r="IG18" s="8"/>
      <c r="IH18" s="8">
        <v>2125877.71</v>
      </c>
      <c r="II18" s="8"/>
      <c r="IJ18" s="8"/>
      <c r="IK18" s="8"/>
      <c r="IL18" s="8"/>
      <c r="IM18" s="8"/>
      <c r="IN18" s="8">
        <v>2303132.91</v>
      </c>
      <c r="IO18" s="8"/>
      <c r="IP18" s="8"/>
      <c r="IQ18" s="8"/>
      <c r="IR18" s="8"/>
      <c r="IS18" s="8">
        <v>7616258.2599999998</v>
      </c>
      <c r="IT18" s="8">
        <v>1175928.18</v>
      </c>
      <c r="IU18" s="8">
        <v>5620164.25</v>
      </c>
      <c r="IV18" s="8"/>
      <c r="IW18" s="8"/>
      <c r="IX18" s="8"/>
      <c r="IY18" s="8"/>
      <c r="IZ18" s="8"/>
      <c r="JA18" s="8"/>
      <c r="JB18" s="8"/>
      <c r="JC18" s="8"/>
      <c r="JD18" s="8"/>
      <c r="JE18" s="8"/>
      <c r="JF18" s="8"/>
      <c r="JG18" s="8"/>
      <c r="JH18" s="8"/>
      <c r="JI18" s="8">
        <v>11804.08</v>
      </c>
      <c r="JJ18" s="8">
        <v>6476161.0099999998</v>
      </c>
      <c r="JK18" s="8">
        <v>10145393.1</v>
      </c>
      <c r="JL18" s="8"/>
      <c r="JM18" s="8"/>
      <c r="JN18" s="8"/>
      <c r="JO18" s="8">
        <v>14686.87</v>
      </c>
      <c r="JP18" s="8"/>
      <c r="JQ18" s="8"/>
      <c r="JR18" s="8"/>
      <c r="JS18" s="8"/>
      <c r="JT18" s="8"/>
      <c r="JU18" s="8"/>
      <c r="JV18" s="8"/>
      <c r="JW18" s="8"/>
      <c r="JX18" s="8"/>
      <c r="JY18" s="8"/>
      <c r="JZ18" s="8"/>
      <c r="KA18" s="8"/>
      <c r="KB18" s="8"/>
      <c r="KC18" s="8">
        <v>15624.73</v>
      </c>
      <c r="KD18" s="8"/>
      <c r="KE18" s="8">
        <v>5156757.0599999996</v>
      </c>
      <c r="KF18" s="8"/>
      <c r="KG18" s="8"/>
      <c r="KH18" s="8"/>
      <c r="KI18" s="8"/>
      <c r="KJ18" s="8">
        <v>6674304.8200000003</v>
      </c>
      <c r="KK18" s="8"/>
      <c r="KL18" s="8"/>
      <c r="KM18" s="8"/>
      <c r="KN18" s="8">
        <v>32642337.390000001</v>
      </c>
      <c r="KO18" s="8"/>
      <c r="KP18" s="8"/>
      <c r="KQ18" s="8"/>
      <c r="KR18" s="8"/>
      <c r="KS18" s="8"/>
      <c r="KT18" s="8"/>
      <c r="KU18" s="8"/>
      <c r="KV18" s="8"/>
      <c r="KW18" s="8"/>
      <c r="KX18" s="8"/>
      <c r="KY18" s="8"/>
      <c r="KZ18" s="8"/>
      <c r="LA18" s="8"/>
      <c r="LB18" s="8">
        <v>7472619.8799999999</v>
      </c>
      <c r="LC18" s="8"/>
      <c r="LD18" s="8"/>
      <c r="LE18" s="8"/>
      <c r="LF18" s="8"/>
      <c r="LG18" s="8"/>
      <c r="LH18" s="8"/>
      <c r="LI18" s="8"/>
      <c r="LJ18" s="8"/>
      <c r="LK18" s="8"/>
      <c r="LL18" s="8">
        <v>22390302.649999999</v>
      </c>
      <c r="LM18" s="8"/>
      <c r="LN18" s="8"/>
      <c r="LO18" s="8"/>
      <c r="LP18" s="8"/>
      <c r="LQ18" s="8"/>
      <c r="LR18" s="8"/>
      <c r="LS18" s="8"/>
      <c r="LT18" s="8"/>
      <c r="LU18" s="8">
        <v>12112667.92</v>
      </c>
      <c r="LV18" s="8"/>
      <c r="LW18" s="8"/>
      <c r="LX18" s="8"/>
      <c r="LY18" s="8"/>
      <c r="LZ18" s="8"/>
      <c r="MA18" s="8"/>
      <c r="MB18" s="8"/>
      <c r="MC18" s="8"/>
      <c r="MD18" s="8"/>
      <c r="ME18" s="8">
        <v>10713849.77</v>
      </c>
      <c r="MF18" s="8"/>
      <c r="MG18" s="8"/>
      <c r="MH18" s="8"/>
      <c r="MI18" s="8"/>
      <c r="MJ18" s="8">
        <v>1248.73</v>
      </c>
      <c r="MK18" s="8"/>
      <c r="ML18" s="8"/>
      <c r="MM18" s="8"/>
      <c r="MN18" s="8"/>
      <c r="MO18" s="8"/>
      <c r="MP18" s="8"/>
      <c r="MQ18" s="8">
        <v>39282048.079999998</v>
      </c>
      <c r="MR18" s="8"/>
      <c r="MS18" s="8"/>
      <c r="MT18" s="8"/>
      <c r="MU18" s="8"/>
      <c r="MV18" s="8"/>
      <c r="MW18" s="8"/>
      <c r="MX18" s="8"/>
      <c r="MY18" s="8"/>
      <c r="MZ18" s="8"/>
      <c r="NA18" s="8"/>
      <c r="NB18" s="8"/>
      <c r="NC18" s="8"/>
      <c r="ND18" s="8"/>
      <c r="NE18" s="8"/>
      <c r="NF18" s="8">
        <v>16084128.789999999</v>
      </c>
      <c r="NG18" s="8"/>
      <c r="NH18" s="8"/>
      <c r="NI18" s="8"/>
      <c r="NJ18" s="8"/>
      <c r="NK18" s="8"/>
      <c r="NL18" s="8"/>
      <c r="NM18" s="8"/>
      <c r="NN18" s="8"/>
      <c r="NO18" s="8"/>
      <c r="NP18" s="8"/>
      <c r="NQ18" s="8"/>
      <c r="NR18" s="8"/>
      <c r="NS18" s="8"/>
      <c r="NT18" s="8"/>
      <c r="NU18" s="8"/>
      <c r="NV18" s="8"/>
      <c r="NW18" s="8"/>
      <c r="NX18" s="8"/>
      <c r="NY18" s="8"/>
      <c r="NZ18" s="8"/>
      <c r="OA18" s="8"/>
      <c r="OB18" s="8"/>
      <c r="OC18" s="8"/>
      <c r="OD18" s="8"/>
      <c r="OE18" s="8"/>
      <c r="OF18" s="8"/>
      <c r="OG18" s="8"/>
      <c r="OH18" s="8">
        <v>7032277.2000000002</v>
      </c>
      <c r="OI18" s="8"/>
      <c r="OJ18" s="8"/>
      <c r="OK18" s="8"/>
      <c r="OL18" s="8"/>
      <c r="OM18" s="8"/>
      <c r="ON18" s="8"/>
      <c r="OO18" s="8"/>
      <c r="OP18" s="8"/>
      <c r="OQ18" s="5">
        <v>398326633.37</v>
      </c>
    </row>
    <row r="19" spans="2:407" x14ac:dyDescent="0.2">
      <c r="C19" t="s">
        <v>19</v>
      </c>
      <c r="D19" s="8"/>
      <c r="E19" s="8">
        <v>634513.75</v>
      </c>
      <c r="F19" s="8">
        <v>2371633.8199999998</v>
      </c>
      <c r="G19" s="8"/>
      <c r="H19" s="8">
        <v>3436641.52</v>
      </c>
      <c r="I19" s="8"/>
      <c r="J19" s="8"/>
      <c r="K19" s="8">
        <v>1123807.47</v>
      </c>
      <c r="L19" s="8"/>
      <c r="M19" s="8">
        <v>660593.25</v>
      </c>
      <c r="N19" s="8"/>
      <c r="O19" s="8"/>
      <c r="P19" s="8">
        <v>704562.61</v>
      </c>
      <c r="Q19" s="8"/>
      <c r="R19" s="8"/>
      <c r="S19" s="8">
        <v>587358.62</v>
      </c>
      <c r="T19" s="8"/>
      <c r="U19" s="8"/>
      <c r="V19" s="8"/>
      <c r="W19" s="8">
        <v>1082375.21</v>
      </c>
      <c r="X19" s="8"/>
      <c r="Y19" s="8"/>
      <c r="Z19" s="8">
        <v>4666302.74</v>
      </c>
      <c r="AA19" s="8"/>
      <c r="AB19" s="8">
        <v>2595513.36</v>
      </c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>
        <v>1909438.5</v>
      </c>
      <c r="AT19" s="8"/>
      <c r="AU19" s="8"/>
      <c r="AV19" s="8"/>
      <c r="AW19" s="8">
        <v>7012.5</v>
      </c>
      <c r="AX19" s="8"/>
      <c r="AY19" s="8"/>
      <c r="AZ19" s="8">
        <v>3591764.06</v>
      </c>
      <c r="BA19" s="8"/>
      <c r="BB19" s="8"/>
      <c r="BC19" s="8"/>
      <c r="BD19" s="8"/>
      <c r="BE19" s="8">
        <v>4802324.41</v>
      </c>
      <c r="BF19" s="8"/>
      <c r="BG19" s="8"/>
      <c r="BH19" s="8">
        <v>17882334.739999998</v>
      </c>
      <c r="BI19" s="8"/>
      <c r="BJ19" s="8"/>
      <c r="BK19" s="8">
        <v>5680475.2599999998</v>
      </c>
      <c r="BL19" s="8"/>
      <c r="BM19" s="8"/>
      <c r="BN19" s="8"/>
      <c r="BO19" s="8"/>
      <c r="BP19" s="8"/>
      <c r="BQ19" s="8"/>
      <c r="BR19" s="8">
        <v>2240.2199999999998</v>
      </c>
      <c r="BS19" s="8"/>
      <c r="BT19" s="8"/>
      <c r="BU19" s="8"/>
      <c r="BV19" s="8"/>
      <c r="BW19" s="8">
        <v>728.16</v>
      </c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>
        <v>412.71</v>
      </c>
      <c r="CL19" s="8"/>
      <c r="CM19" s="8"/>
      <c r="CN19" s="8"/>
      <c r="CO19" s="8">
        <v>1960413.95</v>
      </c>
      <c r="CP19" s="8"/>
      <c r="CQ19" s="8"/>
      <c r="CR19" s="8"/>
      <c r="CS19" s="8"/>
      <c r="CT19" s="8"/>
      <c r="CU19" s="8">
        <v>3871554.77</v>
      </c>
      <c r="CV19" s="8"/>
      <c r="CW19" s="8"/>
      <c r="CX19" s="8">
        <v>3394126.54</v>
      </c>
      <c r="CY19" s="8"/>
      <c r="CZ19" s="8"/>
      <c r="DA19" s="8"/>
      <c r="DB19" s="8"/>
      <c r="DC19" s="8"/>
      <c r="DD19" s="8">
        <v>7703659.75</v>
      </c>
      <c r="DE19" s="8"/>
      <c r="DF19" s="8">
        <v>969848.81</v>
      </c>
      <c r="DG19" s="8"/>
      <c r="DH19" s="8">
        <v>5420813.9400000004</v>
      </c>
      <c r="DI19" s="8">
        <v>1173909.71</v>
      </c>
      <c r="DJ19" s="8">
        <v>5413903.4800000004</v>
      </c>
      <c r="DK19" s="8">
        <v>1239241.08</v>
      </c>
      <c r="DL19" s="8"/>
      <c r="DM19" s="8"/>
      <c r="DN19" s="8"/>
      <c r="DO19" s="8"/>
      <c r="DP19" s="8"/>
      <c r="DQ19" s="8"/>
      <c r="DR19" s="8"/>
      <c r="DS19" s="8">
        <v>2297892.0299999998</v>
      </c>
      <c r="DT19" s="8">
        <v>441650.98</v>
      </c>
      <c r="DU19" s="8"/>
      <c r="DV19" s="8">
        <v>2423316.27</v>
      </c>
      <c r="DW19" s="8"/>
      <c r="DX19" s="8"/>
      <c r="DY19" s="8">
        <v>2994451.86</v>
      </c>
      <c r="DZ19" s="8"/>
      <c r="EA19" s="8"/>
      <c r="EB19" s="8">
        <v>8092.32</v>
      </c>
      <c r="EC19" s="8"/>
      <c r="ED19" s="8"/>
      <c r="EE19" s="8">
        <v>14216014.32</v>
      </c>
      <c r="EF19" s="8"/>
      <c r="EG19" s="8"/>
      <c r="EH19" s="8"/>
      <c r="EI19" s="8"/>
      <c r="EJ19" s="8"/>
      <c r="EK19" s="8"/>
      <c r="EL19" s="8"/>
      <c r="EM19" s="8"/>
      <c r="EN19" s="8">
        <v>12011452.02</v>
      </c>
      <c r="EO19" s="8"/>
      <c r="EP19" s="8"/>
      <c r="EQ19" s="8">
        <v>11896809.960000001</v>
      </c>
      <c r="ER19" s="8"/>
      <c r="ES19" s="8"/>
      <c r="ET19" s="8"/>
      <c r="EU19" s="8"/>
      <c r="EV19" s="8"/>
      <c r="EW19" s="8">
        <v>4925.16</v>
      </c>
      <c r="EX19" s="8"/>
      <c r="EY19" s="8"/>
      <c r="EZ19" s="8"/>
      <c r="FA19" s="8"/>
      <c r="FB19" s="8"/>
      <c r="FC19" s="8"/>
      <c r="FD19" s="8"/>
      <c r="FE19" s="8"/>
      <c r="FF19" s="8"/>
      <c r="FG19" s="8"/>
      <c r="FH19" s="8"/>
      <c r="FI19" s="8">
        <v>6571994.8499999996</v>
      </c>
      <c r="FJ19" s="8"/>
      <c r="FK19" s="8"/>
      <c r="FL19" s="8"/>
      <c r="FM19" s="8"/>
      <c r="FN19" s="8"/>
      <c r="FO19" s="8"/>
      <c r="FP19" s="8"/>
      <c r="FQ19" s="8"/>
      <c r="FR19" s="8"/>
      <c r="FS19" s="8"/>
      <c r="FT19" s="8"/>
      <c r="FU19" s="8"/>
      <c r="FV19" s="8"/>
      <c r="FW19" s="8">
        <v>14821054.84</v>
      </c>
      <c r="FX19" s="8"/>
      <c r="FY19" s="8"/>
      <c r="FZ19" s="8"/>
      <c r="GA19" s="8"/>
      <c r="GB19" s="8"/>
      <c r="GC19" s="8"/>
      <c r="GD19" s="8"/>
      <c r="GE19" s="8"/>
      <c r="GF19" s="8"/>
      <c r="GG19" s="8"/>
      <c r="GH19" s="8"/>
      <c r="GI19" s="8">
        <v>6989117.54</v>
      </c>
      <c r="GJ19" s="8"/>
      <c r="GK19" s="8"/>
      <c r="GL19" s="8"/>
      <c r="GM19" s="8"/>
      <c r="GN19" s="8"/>
      <c r="GO19" s="8"/>
      <c r="GP19" s="8"/>
      <c r="GQ19" s="8"/>
      <c r="GR19" s="8">
        <v>18658699.23</v>
      </c>
      <c r="GS19" s="8"/>
      <c r="GT19" s="8"/>
      <c r="GU19" s="8"/>
      <c r="GV19" s="8"/>
      <c r="GW19" s="8"/>
      <c r="GX19" s="8"/>
      <c r="GY19" s="8"/>
      <c r="GZ19" s="8"/>
      <c r="HA19" s="8"/>
      <c r="HB19" s="8"/>
      <c r="HC19" s="8"/>
      <c r="HD19" s="8"/>
      <c r="HE19" s="8"/>
      <c r="HF19" s="8"/>
      <c r="HG19" s="8"/>
      <c r="HH19" s="8"/>
      <c r="HI19" s="8">
        <v>6559444.1900000004</v>
      </c>
      <c r="HJ19" s="8"/>
      <c r="HK19" s="8"/>
      <c r="HL19" s="8"/>
      <c r="HM19" s="8"/>
      <c r="HN19" s="8"/>
      <c r="HO19" s="8"/>
      <c r="HP19" s="8">
        <v>12895680.859999999</v>
      </c>
      <c r="HQ19" s="8"/>
      <c r="HR19" s="8"/>
      <c r="HS19" s="8"/>
      <c r="HT19" s="8"/>
      <c r="HU19" s="8"/>
      <c r="HV19" s="8">
        <v>10261499.279999999</v>
      </c>
      <c r="HW19" s="8"/>
      <c r="HX19" s="8"/>
      <c r="HY19" s="8"/>
      <c r="HZ19" s="8"/>
      <c r="IA19" s="8"/>
      <c r="IB19" s="8"/>
      <c r="IC19" s="8"/>
      <c r="ID19" s="8"/>
      <c r="IE19" s="8"/>
      <c r="IF19" s="8"/>
      <c r="IG19" s="8"/>
      <c r="IH19" s="8"/>
      <c r="II19" s="8">
        <v>2444944.31</v>
      </c>
      <c r="IJ19" s="8">
        <v>3277953.44</v>
      </c>
      <c r="IK19" s="8"/>
      <c r="IL19" s="8">
        <v>0.89</v>
      </c>
      <c r="IM19" s="8"/>
      <c r="IN19" s="8">
        <v>1682511.58</v>
      </c>
      <c r="IO19" s="8">
        <v>7024711.0599999996</v>
      </c>
      <c r="IP19" s="8"/>
      <c r="IQ19" s="8"/>
      <c r="IR19" s="8"/>
      <c r="IS19" s="8"/>
      <c r="IT19" s="8"/>
      <c r="IU19" s="8"/>
      <c r="IV19" s="8"/>
      <c r="IW19" s="8"/>
      <c r="IX19" s="8"/>
      <c r="IY19" s="8">
        <v>1927318.23</v>
      </c>
      <c r="IZ19" s="8">
        <v>1011704.08</v>
      </c>
      <c r="JA19" s="8">
        <v>1110.93</v>
      </c>
      <c r="JB19" s="8"/>
      <c r="JC19" s="8"/>
      <c r="JD19" s="8"/>
      <c r="JE19" s="8"/>
      <c r="JF19" s="8"/>
      <c r="JG19" s="8"/>
      <c r="JH19" s="8"/>
      <c r="JI19" s="8"/>
      <c r="JJ19" s="8">
        <v>0.1</v>
      </c>
      <c r="JK19" s="8">
        <v>1186.57</v>
      </c>
      <c r="JL19" s="8">
        <v>5197878.5999999996</v>
      </c>
      <c r="JM19" s="8"/>
      <c r="JN19" s="8"/>
      <c r="JO19" s="8">
        <v>4507857.53</v>
      </c>
      <c r="JP19" s="8"/>
      <c r="JQ19" s="8">
        <v>5756576.3399999999</v>
      </c>
      <c r="JR19" s="8"/>
      <c r="JS19" s="8"/>
      <c r="JT19" s="8"/>
      <c r="JU19" s="8"/>
      <c r="JV19" s="8"/>
      <c r="JW19" s="8"/>
      <c r="JX19" s="8"/>
      <c r="JY19" s="8">
        <v>2182.6</v>
      </c>
      <c r="JZ19" s="8"/>
      <c r="KA19" s="8"/>
      <c r="KB19" s="8"/>
      <c r="KC19" s="8">
        <v>2114954.6</v>
      </c>
      <c r="KD19" s="8"/>
      <c r="KE19" s="8">
        <v>2570265.1</v>
      </c>
      <c r="KF19" s="8"/>
      <c r="KG19" s="8">
        <v>3992718.6</v>
      </c>
      <c r="KH19" s="8"/>
      <c r="KI19" s="8"/>
      <c r="KJ19" s="8"/>
      <c r="KK19" s="8"/>
      <c r="KL19" s="8">
        <v>3415736.98</v>
      </c>
      <c r="KM19" s="8"/>
      <c r="KN19" s="8"/>
      <c r="KO19" s="8"/>
      <c r="KP19" s="8"/>
      <c r="KQ19" s="8"/>
      <c r="KR19" s="8"/>
      <c r="KS19" s="8"/>
      <c r="KT19" s="8"/>
      <c r="KU19" s="8"/>
      <c r="KV19" s="8"/>
      <c r="KW19" s="8"/>
      <c r="KX19" s="8"/>
      <c r="KY19" s="8"/>
      <c r="KZ19" s="8">
        <v>24704745.670000002</v>
      </c>
      <c r="LA19" s="8"/>
      <c r="LB19" s="8"/>
      <c r="LC19" s="8"/>
      <c r="LD19" s="8"/>
      <c r="LE19" s="8"/>
      <c r="LF19" s="8"/>
      <c r="LG19" s="8"/>
      <c r="LH19" s="8"/>
      <c r="LI19" s="8"/>
      <c r="LJ19" s="8"/>
      <c r="LK19" s="8">
        <v>26136069.25</v>
      </c>
      <c r="LL19" s="8"/>
      <c r="LM19" s="8"/>
      <c r="LN19" s="8"/>
      <c r="LO19" s="8">
        <v>7179035.75</v>
      </c>
      <c r="LP19" s="8"/>
      <c r="LQ19" s="8"/>
      <c r="LR19" s="8"/>
      <c r="LS19" s="8"/>
      <c r="LT19" s="8"/>
      <c r="LU19" s="8"/>
      <c r="LV19" s="8">
        <v>21156140.23</v>
      </c>
      <c r="LW19" s="8"/>
      <c r="LX19" s="8"/>
      <c r="LY19" s="8"/>
      <c r="LZ19" s="8"/>
      <c r="MA19" s="8"/>
      <c r="MB19" s="8"/>
      <c r="MC19" s="8"/>
      <c r="MD19" s="8"/>
      <c r="ME19" s="8"/>
      <c r="MF19" s="8"/>
      <c r="MG19" s="8"/>
      <c r="MH19" s="8"/>
      <c r="MI19" s="8">
        <v>4150901.26</v>
      </c>
      <c r="MJ19" s="8"/>
      <c r="MK19" s="8"/>
      <c r="ML19" s="8"/>
      <c r="MM19" s="8">
        <v>3459998.73</v>
      </c>
      <c r="MN19" s="8"/>
      <c r="MO19" s="8"/>
      <c r="MP19" s="8"/>
      <c r="MQ19" s="8"/>
      <c r="MR19" s="8"/>
      <c r="MS19" s="8">
        <v>7218800.5300000003</v>
      </c>
      <c r="MT19" s="8"/>
      <c r="MU19" s="8"/>
      <c r="MV19" s="8"/>
      <c r="MW19" s="8"/>
      <c r="MX19" s="8">
        <v>14382822.710000001</v>
      </c>
      <c r="MY19" s="8"/>
      <c r="MZ19" s="8"/>
      <c r="NA19" s="8">
        <v>22655154.420000002</v>
      </c>
      <c r="NB19" s="8"/>
      <c r="NC19" s="8"/>
      <c r="ND19" s="8">
        <v>20998237.469999999</v>
      </c>
      <c r="NE19" s="8"/>
      <c r="NF19" s="8"/>
      <c r="NG19" s="8"/>
      <c r="NH19" s="8"/>
      <c r="NI19" s="8"/>
      <c r="NJ19" s="8"/>
      <c r="NK19" s="8"/>
      <c r="NL19" s="8"/>
      <c r="NM19" s="8"/>
      <c r="NN19" s="8"/>
      <c r="NO19" s="8"/>
      <c r="NP19" s="8"/>
      <c r="NQ19" s="8">
        <v>7429843.7800000003</v>
      </c>
      <c r="NR19" s="8"/>
      <c r="NS19" s="8"/>
      <c r="NT19" s="8"/>
      <c r="NU19" s="8">
        <v>10179669.460000001</v>
      </c>
      <c r="NV19" s="8"/>
      <c r="NW19" s="8"/>
      <c r="NX19" s="8">
        <v>7869178.2300000004</v>
      </c>
      <c r="NY19" s="8"/>
      <c r="NZ19" s="8"/>
      <c r="OA19" s="8"/>
      <c r="OB19" s="8"/>
      <c r="OC19" s="8"/>
      <c r="OD19" s="8"/>
      <c r="OE19" s="8"/>
      <c r="OF19" s="8"/>
      <c r="OG19" s="8"/>
      <c r="OH19" s="8"/>
      <c r="OI19" s="8"/>
      <c r="OJ19" s="8"/>
      <c r="OK19" s="8"/>
      <c r="OL19" s="8"/>
      <c r="OM19" s="8">
        <v>13166537.279999999</v>
      </c>
      <c r="ON19" s="8"/>
      <c r="OO19" s="8"/>
      <c r="OP19" s="8"/>
      <c r="OQ19" s="5">
        <v>441556346.95999986</v>
      </c>
    </row>
    <row r="20" spans="2:407" x14ac:dyDescent="0.2">
      <c r="B20" t="s">
        <v>76</v>
      </c>
      <c r="C20" t="s">
        <v>13</v>
      </c>
      <c r="D20" s="8"/>
      <c r="E20" s="8"/>
      <c r="F20" s="8"/>
      <c r="G20" s="8"/>
      <c r="H20" s="8">
        <v>1650685.12</v>
      </c>
      <c r="I20" s="8">
        <v>1231091.6499999999</v>
      </c>
      <c r="J20" s="8">
        <v>1796683.51</v>
      </c>
      <c r="K20" s="8">
        <v>903211.63</v>
      </c>
      <c r="L20" s="8">
        <v>1401916.91</v>
      </c>
      <c r="M20" s="8"/>
      <c r="N20" s="8">
        <v>1469817.5</v>
      </c>
      <c r="O20" s="8"/>
      <c r="P20" s="8">
        <v>1340626.28</v>
      </c>
      <c r="Q20" s="8"/>
      <c r="R20" s="8"/>
      <c r="S20" s="8"/>
      <c r="T20" s="8"/>
      <c r="U20" s="8">
        <v>1096496.21</v>
      </c>
      <c r="V20" s="8">
        <v>823333.84</v>
      </c>
      <c r="W20" s="8"/>
      <c r="X20" s="8"/>
      <c r="Y20" s="8"/>
      <c r="Z20" s="8"/>
      <c r="AA20" s="8">
        <v>2501894.7000000002</v>
      </c>
      <c r="AB20" s="8">
        <v>2335682.34</v>
      </c>
      <c r="AC20" s="8">
        <v>2699859.21</v>
      </c>
      <c r="AD20" s="8"/>
      <c r="AE20" s="8"/>
      <c r="AF20" s="8">
        <v>1244002.72</v>
      </c>
      <c r="AG20" s="8"/>
      <c r="AH20" s="8"/>
      <c r="AI20" s="8">
        <v>1170091.8799999999</v>
      </c>
      <c r="AJ20" s="8"/>
      <c r="AK20" s="8"/>
      <c r="AL20" s="8"/>
      <c r="AM20" s="8">
        <v>549618.22</v>
      </c>
      <c r="AN20" s="8"/>
      <c r="AO20" s="8">
        <v>1165239.1200000001</v>
      </c>
      <c r="AP20" s="8">
        <v>1054734.55</v>
      </c>
      <c r="AQ20" s="8"/>
      <c r="AR20" s="8">
        <v>514316</v>
      </c>
      <c r="AS20" s="8">
        <v>835342.79</v>
      </c>
      <c r="AT20" s="8"/>
      <c r="AU20" s="8"/>
      <c r="AV20" s="8">
        <v>372541.19</v>
      </c>
      <c r="AW20" s="8"/>
      <c r="AX20" s="8">
        <v>716836.61</v>
      </c>
      <c r="AY20" s="8"/>
      <c r="AZ20" s="8"/>
      <c r="BA20" s="8"/>
      <c r="BB20" s="8"/>
      <c r="BC20" s="8"/>
      <c r="BD20" s="8"/>
      <c r="BE20" s="8"/>
      <c r="BF20" s="8"/>
      <c r="BG20" s="8"/>
      <c r="BH20" s="8">
        <v>2463234.86</v>
      </c>
      <c r="BI20" s="8"/>
      <c r="BJ20" s="8"/>
      <c r="BK20" s="8"/>
      <c r="BL20" s="8">
        <v>1164304.23</v>
      </c>
      <c r="BM20" s="8"/>
      <c r="BN20" s="8"/>
      <c r="BO20" s="8"/>
      <c r="BP20" s="8"/>
      <c r="BQ20" s="8">
        <v>2539923.9500000002</v>
      </c>
      <c r="BR20" s="8">
        <v>736446.61</v>
      </c>
      <c r="BS20" s="8"/>
      <c r="BT20" s="8"/>
      <c r="BU20" s="8"/>
      <c r="BV20" s="8">
        <v>2666423.48</v>
      </c>
      <c r="BW20" s="8"/>
      <c r="BX20" s="8"/>
      <c r="BY20" s="8"/>
      <c r="BZ20" s="8">
        <v>935937.02</v>
      </c>
      <c r="CA20" s="8">
        <v>1457813.24</v>
      </c>
      <c r="CB20" s="8"/>
      <c r="CC20" s="8"/>
      <c r="CD20" s="8"/>
      <c r="CE20" s="8"/>
      <c r="CF20" s="8"/>
      <c r="CG20" s="8"/>
      <c r="CH20" s="8"/>
      <c r="CI20" s="8">
        <v>16441689.09</v>
      </c>
      <c r="CJ20" s="8"/>
      <c r="CK20" s="8">
        <v>16899360.289999999</v>
      </c>
      <c r="CL20" s="8"/>
      <c r="CM20" s="8"/>
      <c r="CN20" s="8"/>
      <c r="CO20" s="8"/>
      <c r="CP20" s="8"/>
      <c r="CQ20" s="8">
        <v>0.54</v>
      </c>
      <c r="CR20" s="8">
        <v>2441594.14</v>
      </c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>
        <v>7224897.2000000002</v>
      </c>
      <c r="DJ20" s="8"/>
      <c r="DK20" s="8"/>
      <c r="DL20" s="8"/>
      <c r="DM20" s="8"/>
      <c r="DN20" s="8"/>
      <c r="DO20" s="8">
        <v>2632842.38</v>
      </c>
      <c r="DP20" s="8"/>
      <c r="DQ20" s="8"/>
      <c r="DR20" s="8"/>
      <c r="DS20" s="8"/>
      <c r="DT20" s="8"/>
      <c r="DU20" s="8"/>
      <c r="DV20" s="8"/>
      <c r="DW20" s="8">
        <v>6558025.04</v>
      </c>
      <c r="DX20" s="8"/>
      <c r="DY20" s="8"/>
      <c r="DZ20" s="8"/>
      <c r="EA20" s="8"/>
      <c r="EB20" s="8">
        <v>9081.73</v>
      </c>
      <c r="EC20" s="8"/>
      <c r="ED20" s="8"/>
      <c r="EE20" s="8"/>
      <c r="EF20" s="8"/>
      <c r="EG20" s="8"/>
      <c r="EH20" s="8"/>
      <c r="EI20" s="8"/>
      <c r="EJ20" s="8"/>
      <c r="EK20" s="8"/>
      <c r="EL20" s="8"/>
      <c r="EM20" s="8"/>
      <c r="EN20" s="8"/>
      <c r="EO20" s="8"/>
      <c r="EP20" s="8"/>
      <c r="EQ20" s="8"/>
      <c r="ER20" s="8"/>
      <c r="ES20" s="8"/>
      <c r="ET20" s="8"/>
      <c r="EU20" s="8"/>
      <c r="EV20" s="8"/>
      <c r="EW20" s="8"/>
      <c r="EX20" s="8"/>
      <c r="EY20" s="8"/>
      <c r="EZ20" s="8"/>
      <c r="FA20" s="8"/>
      <c r="FB20" s="8"/>
      <c r="FC20" s="8"/>
      <c r="FD20" s="8"/>
      <c r="FE20" s="8"/>
      <c r="FF20" s="8"/>
      <c r="FG20" s="8"/>
      <c r="FH20" s="8"/>
      <c r="FI20" s="8"/>
      <c r="FJ20" s="8"/>
      <c r="FK20" s="8"/>
      <c r="FL20" s="8"/>
      <c r="FM20" s="8"/>
      <c r="FN20" s="8"/>
      <c r="FO20" s="8"/>
      <c r="FP20" s="8"/>
      <c r="FQ20" s="8"/>
      <c r="FR20" s="8"/>
      <c r="FS20" s="8"/>
      <c r="FT20" s="8"/>
      <c r="FU20" s="8"/>
      <c r="FV20" s="8"/>
      <c r="FW20" s="8"/>
      <c r="FX20" s="8"/>
      <c r="FY20" s="8"/>
      <c r="FZ20" s="8"/>
      <c r="GA20" s="8"/>
      <c r="GB20" s="8">
        <v>11781.61</v>
      </c>
      <c r="GC20" s="8"/>
      <c r="GD20" s="8"/>
      <c r="GE20" s="8"/>
      <c r="GF20" s="8"/>
      <c r="GG20" s="8"/>
      <c r="GH20" s="8"/>
      <c r="GI20" s="8"/>
      <c r="GJ20" s="8"/>
      <c r="GK20" s="8"/>
      <c r="GL20" s="8">
        <v>30306479.800000001</v>
      </c>
      <c r="GM20" s="8"/>
      <c r="GN20" s="8"/>
      <c r="GO20" s="8"/>
      <c r="GP20" s="8"/>
      <c r="GQ20" s="8"/>
      <c r="GR20" s="8"/>
      <c r="GS20" s="8"/>
      <c r="GT20" s="8">
        <v>15716124.5</v>
      </c>
      <c r="GU20" s="8"/>
      <c r="GV20" s="8"/>
      <c r="GW20" s="8"/>
      <c r="GX20" s="8"/>
      <c r="GY20" s="8"/>
      <c r="GZ20" s="8"/>
      <c r="HA20" s="8"/>
      <c r="HB20" s="8"/>
      <c r="HC20" s="8"/>
      <c r="HD20" s="8"/>
      <c r="HE20" s="8"/>
      <c r="HF20" s="8"/>
      <c r="HG20" s="8"/>
      <c r="HH20" s="8"/>
      <c r="HI20" s="8"/>
      <c r="HJ20" s="8"/>
      <c r="HK20" s="8"/>
      <c r="HL20" s="8"/>
      <c r="HM20" s="8"/>
      <c r="HN20" s="8"/>
      <c r="HO20" s="8"/>
      <c r="HP20" s="8"/>
      <c r="HQ20" s="8"/>
      <c r="HR20" s="8"/>
      <c r="HS20" s="8"/>
      <c r="HT20" s="8"/>
      <c r="HU20" s="8"/>
      <c r="HV20" s="8"/>
      <c r="HW20" s="8"/>
      <c r="HX20" s="8"/>
      <c r="HY20" s="8"/>
      <c r="HZ20" s="8"/>
      <c r="IA20" s="8"/>
      <c r="IB20" s="8"/>
      <c r="IC20" s="8"/>
      <c r="ID20" s="8"/>
      <c r="IE20" s="8"/>
      <c r="IF20" s="8"/>
      <c r="IG20" s="8"/>
      <c r="IH20" s="8"/>
      <c r="II20" s="8"/>
      <c r="IJ20" s="8"/>
      <c r="IK20" s="8"/>
      <c r="IL20" s="8"/>
      <c r="IM20" s="8"/>
      <c r="IN20" s="8"/>
      <c r="IO20" s="8">
        <v>1.88</v>
      </c>
      <c r="IP20" s="8"/>
      <c r="IQ20" s="8">
        <v>1756.47</v>
      </c>
      <c r="IR20" s="8"/>
      <c r="IS20" s="8">
        <v>16434890.68</v>
      </c>
      <c r="IT20" s="8">
        <v>14432.47</v>
      </c>
      <c r="IU20" s="8">
        <v>6071861.29</v>
      </c>
      <c r="IV20" s="8"/>
      <c r="IW20" s="8"/>
      <c r="IX20" s="8"/>
      <c r="IY20" s="8">
        <v>9317307.9600000009</v>
      </c>
      <c r="IZ20" s="8"/>
      <c r="JA20" s="8">
        <v>5884731.3200000003</v>
      </c>
      <c r="JB20" s="8"/>
      <c r="JC20" s="8"/>
      <c r="JD20" s="8"/>
      <c r="JE20" s="8"/>
      <c r="JF20" s="8"/>
      <c r="JG20" s="8">
        <v>2141745.69</v>
      </c>
      <c r="JH20" s="8"/>
      <c r="JI20" s="8"/>
      <c r="JJ20" s="8"/>
      <c r="JK20" s="8">
        <v>3228029.13</v>
      </c>
      <c r="JL20" s="8"/>
      <c r="JM20" s="8"/>
      <c r="JN20" s="8"/>
      <c r="JO20" s="8">
        <v>2524168.2799999998</v>
      </c>
      <c r="JP20" s="8"/>
      <c r="JQ20" s="8"/>
      <c r="JR20" s="8"/>
      <c r="JS20" s="8">
        <v>2894268.07</v>
      </c>
      <c r="JT20" s="8"/>
      <c r="JU20" s="8"/>
      <c r="JV20" s="8"/>
      <c r="JW20" s="8"/>
      <c r="JX20" s="8">
        <v>3767730.85</v>
      </c>
      <c r="JY20" s="8">
        <v>751516.28</v>
      </c>
      <c r="JZ20" s="8"/>
      <c r="KA20" s="8"/>
      <c r="KB20" s="8"/>
      <c r="KC20" s="8"/>
      <c r="KD20" s="8"/>
      <c r="KE20" s="8">
        <v>2470970.4</v>
      </c>
      <c r="KF20" s="8"/>
      <c r="KG20" s="8"/>
      <c r="KH20" s="8"/>
      <c r="KI20" s="8"/>
      <c r="KJ20" s="8">
        <v>9647.26</v>
      </c>
      <c r="KK20" s="8">
        <v>8160.44</v>
      </c>
      <c r="KL20" s="8"/>
      <c r="KM20" s="8">
        <v>1239295.83</v>
      </c>
      <c r="KN20" s="8"/>
      <c r="KO20" s="8"/>
      <c r="KP20" s="8"/>
      <c r="KQ20" s="8"/>
      <c r="KR20" s="8"/>
      <c r="KS20" s="8"/>
      <c r="KT20" s="8"/>
      <c r="KU20" s="8"/>
      <c r="KV20" s="8"/>
      <c r="KW20" s="8"/>
      <c r="KX20" s="8"/>
      <c r="KY20" s="8"/>
      <c r="KZ20" s="8">
        <v>42864879.630000003</v>
      </c>
      <c r="LA20" s="8"/>
      <c r="LB20" s="8"/>
      <c r="LC20" s="8"/>
      <c r="LD20" s="8"/>
      <c r="LE20" s="8">
        <v>48081024.240000002</v>
      </c>
      <c r="LF20" s="8"/>
      <c r="LG20" s="8"/>
      <c r="LH20" s="8"/>
      <c r="LI20" s="8"/>
      <c r="LJ20" s="8"/>
      <c r="LK20" s="8"/>
      <c r="LL20" s="8"/>
      <c r="LM20" s="8"/>
      <c r="LN20" s="8"/>
      <c r="LO20" s="8"/>
      <c r="LP20" s="8"/>
      <c r="LQ20" s="8"/>
      <c r="LR20" s="8"/>
      <c r="LS20" s="8"/>
      <c r="LT20" s="8"/>
      <c r="LU20" s="8"/>
      <c r="LV20" s="8"/>
      <c r="LW20" s="8"/>
      <c r="LX20" s="8">
        <v>16365472.119999999</v>
      </c>
      <c r="LY20" s="8"/>
      <c r="LZ20" s="8"/>
      <c r="MA20" s="8"/>
      <c r="MB20" s="8"/>
      <c r="MC20" s="8"/>
      <c r="MD20" s="8"/>
      <c r="ME20" s="8">
        <v>4239997.07</v>
      </c>
      <c r="MF20" s="8"/>
      <c r="MG20" s="8"/>
      <c r="MH20" s="8"/>
      <c r="MI20" s="8"/>
      <c r="MJ20" s="8"/>
      <c r="MK20" s="8"/>
      <c r="ML20" s="8"/>
      <c r="MM20" s="8">
        <v>5908418.6200000001</v>
      </c>
      <c r="MN20" s="8"/>
      <c r="MO20" s="8"/>
      <c r="MP20" s="8">
        <v>2153460.42</v>
      </c>
      <c r="MQ20" s="8"/>
      <c r="MR20" s="8"/>
      <c r="MS20" s="8">
        <v>6236947.3200000003</v>
      </c>
      <c r="MT20" s="8"/>
      <c r="MU20" s="8"/>
      <c r="MV20" s="8"/>
      <c r="MW20" s="8"/>
      <c r="MX20" s="8"/>
      <c r="MY20" s="8">
        <v>4285492.8899999997</v>
      </c>
      <c r="MZ20" s="8"/>
      <c r="NA20" s="8"/>
      <c r="NB20" s="8"/>
      <c r="NC20" s="8"/>
      <c r="ND20" s="8"/>
      <c r="NE20" s="8">
        <v>3957530.9</v>
      </c>
      <c r="NF20" s="8"/>
      <c r="NG20" s="8"/>
      <c r="NH20" s="8"/>
      <c r="NI20" s="8"/>
      <c r="NJ20" s="8"/>
      <c r="NK20" s="8"/>
      <c r="NL20" s="8"/>
      <c r="NM20" s="8"/>
      <c r="NN20" s="8"/>
      <c r="NO20" s="8"/>
      <c r="NP20" s="8"/>
      <c r="NQ20" s="8"/>
      <c r="NR20" s="8"/>
      <c r="NS20" s="8"/>
      <c r="NT20" s="8"/>
      <c r="NU20" s="8"/>
      <c r="NV20" s="8"/>
      <c r="NW20" s="8"/>
      <c r="NX20" s="8">
        <v>14850134.640000001</v>
      </c>
      <c r="NY20" s="8"/>
      <c r="NZ20" s="8"/>
      <c r="OA20" s="8"/>
      <c r="OB20" s="8"/>
      <c r="OC20" s="8"/>
      <c r="OD20" s="8"/>
      <c r="OE20" s="8"/>
      <c r="OF20" s="8"/>
      <c r="OG20" s="8"/>
      <c r="OH20" s="8"/>
      <c r="OI20" s="8"/>
      <c r="OJ20" s="8"/>
      <c r="OK20" s="8"/>
      <c r="OL20" s="8"/>
      <c r="OM20" s="8"/>
      <c r="ON20" s="8"/>
      <c r="OO20" s="8"/>
      <c r="OP20" s="8"/>
      <c r="OQ20" s="5">
        <v>342783853.83999991</v>
      </c>
    </row>
    <row r="21" spans="2:407" x14ac:dyDescent="0.2">
      <c r="B21" t="s">
        <v>77</v>
      </c>
      <c r="C21" t="s">
        <v>18</v>
      </c>
      <c r="D21" s="8"/>
      <c r="E21" s="8">
        <v>0.21</v>
      </c>
      <c r="F21" s="8"/>
      <c r="G21" s="8"/>
      <c r="H21" s="8"/>
      <c r="I21" s="8"/>
      <c r="J21" s="8">
        <v>7221418.0300000003</v>
      </c>
      <c r="K21" s="8"/>
      <c r="L21" s="8">
        <v>5597614.8700000001</v>
      </c>
      <c r="M21" s="8"/>
      <c r="N21" s="8"/>
      <c r="O21" s="8"/>
      <c r="P21" s="8"/>
      <c r="Q21" s="8"/>
      <c r="R21" s="8"/>
      <c r="S21" s="8"/>
      <c r="T21" s="8"/>
      <c r="U21" s="8">
        <v>5958108.3200000003</v>
      </c>
      <c r="V21" s="8">
        <v>951325.45</v>
      </c>
      <c r="W21" s="8">
        <v>2316289.5699999998</v>
      </c>
      <c r="X21" s="8"/>
      <c r="Y21" s="8"/>
      <c r="Z21" s="8">
        <v>2067077.59</v>
      </c>
      <c r="AA21" s="8">
        <v>1350596.85</v>
      </c>
      <c r="AB21" s="8"/>
      <c r="AC21" s="8">
        <v>3023404</v>
      </c>
      <c r="AD21" s="8">
        <v>4235558.66</v>
      </c>
      <c r="AE21" s="8"/>
      <c r="AF21" s="8"/>
      <c r="AG21" s="8">
        <v>2588017.5299999998</v>
      </c>
      <c r="AH21" s="8"/>
      <c r="AI21" s="8"/>
      <c r="AJ21" s="8"/>
      <c r="AK21" s="8">
        <v>554430.38</v>
      </c>
      <c r="AL21" s="8"/>
      <c r="AM21" s="8">
        <v>9498.24</v>
      </c>
      <c r="AN21" s="8"/>
      <c r="AO21" s="8"/>
      <c r="AP21" s="8">
        <v>8865.19</v>
      </c>
      <c r="AQ21" s="8"/>
      <c r="AR21" s="8"/>
      <c r="AS21" s="8">
        <v>1157656.98</v>
      </c>
      <c r="AT21" s="8">
        <v>780925.37</v>
      </c>
      <c r="AU21" s="8"/>
      <c r="AV21" s="8"/>
      <c r="AW21" s="8"/>
      <c r="AX21" s="8">
        <v>2624886.58</v>
      </c>
      <c r="AY21" s="8">
        <v>6026629.1500000004</v>
      </c>
      <c r="AZ21" s="8">
        <v>1506995.87</v>
      </c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>
        <v>13424236.359999999</v>
      </c>
      <c r="BP21" s="8"/>
      <c r="BQ21" s="8">
        <v>17097873.859999999</v>
      </c>
      <c r="BR21" s="8"/>
      <c r="BS21" s="8"/>
      <c r="BT21" s="8"/>
      <c r="BU21" s="8"/>
      <c r="BV21" s="8"/>
      <c r="BW21" s="8"/>
      <c r="BX21" s="8"/>
      <c r="BY21" s="8"/>
      <c r="BZ21" s="8">
        <v>26275664.07</v>
      </c>
      <c r="CA21" s="8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>
        <v>20289180.629999999</v>
      </c>
      <c r="CN21" s="8"/>
      <c r="CO21" s="8"/>
      <c r="CP21" s="8">
        <v>0.6</v>
      </c>
      <c r="CQ21" s="8"/>
      <c r="CR21" s="8"/>
      <c r="CS21" s="8">
        <v>6911140.2300000004</v>
      </c>
      <c r="CT21" s="8">
        <v>15929.47</v>
      </c>
      <c r="CU21" s="8">
        <v>2103807.6800000002</v>
      </c>
      <c r="CV21" s="8"/>
      <c r="CW21" s="8"/>
      <c r="CX21" s="8"/>
      <c r="CY21" s="8"/>
      <c r="CZ21" s="8"/>
      <c r="DA21" s="8"/>
      <c r="DB21" s="8"/>
      <c r="DC21" s="8"/>
      <c r="DD21" s="8">
        <v>296.72000000000003</v>
      </c>
      <c r="DE21" s="8">
        <v>3604348.06</v>
      </c>
      <c r="DF21" s="8">
        <v>14783905.939999999</v>
      </c>
      <c r="DG21" s="8"/>
      <c r="DH21" s="8"/>
      <c r="DI21" s="8"/>
      <c r="DJ21" s="8">
        <v>2669438.4</v>
      </c>
      <c r="DK21" s="8"/>
      <c r="DL21" s="8"/>
      <c r="DM21" s="8"/>
      <c r="DN21" s="8"/>
      <c r="DO21" s="8"/>
      <c r="DP21" s="8"/>
      <c r="DQ21" s="8">
        <v>5609795.0300000003</v>
      </c>
      <c r="DR21" s="8">
        <v>0.25</v>
      </c>
      <c r="DS21" s="8"/>
      <c r="DT21" s="8">
        <v>7458616.3799999999</v>
      </c>
      <c r="DU21" s="8"/>
      <c r="DV21" s="8"/>
      <c r="DW21" s="8"/>
      <c r="DX21" s="8"/>
      <c r="DY21" s="8">
        <v>17995479.449999999</v>
      </c>
      <c r="DZ21" s="8"/>
      <c r="EA21" s="8"/>
      <c r="EB21" s="8"/>
      <c r="EC21" s="8"/>
      <c r="ED21" s="8"/>
      <c r="EE21" s="8"/>
      <c r="EF21" s="8"/>
      <c r="EG21" s="8"/>
      <c r="EH21" s="8"/>
      <c r="EI21" s="8"/>
      <c r="EJ21" s="8"/>
      <c r="EK21" s="8"/>
      <c r="EL21" s="8"/>
      <c r="EM21" s="8"/>
      <c r="EN21" s="8"/>
      <c r="EO21" s="8"/>
      <c r="EP21" s="8"/>
      <c r="EQ21" s="8"/>
      <c r="ER21" s="8"/>
      <c r="ES21" s="8"/>
      <c r="ET21" s="8"/>
      <c r="EU21" s="8"/>
      <c r="EV21" s="8"/>
      <c r="EW21" s="8"/>
      <c r="EX21" s="8"/>
      <c r="EY21" s="8"/>
      <c r="EZ21" s="8"/>
      <c r="FA21" s="8"/>
      <c r="FB21" s="8"/>
      <c r="FC21" s="8"/>
      <c r="FD21" s="8"/>
      <c r="FE21" s="8"/>
      <c r="FF21" s="8"/>
      <c r="FG21" s="8"/>
      <c r="FH21" s="8"/>
      <c r="FI21" s="8"/>
      <c r="FJ21" s="8"/>
      <c r="FK21" s="8"/>
      <c r="FL21" s="8"/>
      <c r="FM21" s="8"/>
      <c r="FN21" s="8"/>
      <c r="FO21" s="8"/>
      <c r="FP21" s="8"/>
      <c r="FQ21" s="8"/>
      <c r="FR21" s="8">
        <v>38968499.18</v>
      </c>
      <c r="FS21" s="8"/>
      <c r="FT21" s="8">
        <v>7219915.7400000002</v>
      </c>
      <c r="FU21" s="8"/>
      <c r="FV21" s="8"/>
      <c r="FW21" s="8"/>
      <c r="FX21" s="8"/>
      <c r="FY21" s="8"/>
      <c r="FZ21" s="8"/>
      <c r="GA21" s="8"/>
      <c r="GB21" s="8"/>
      <c r="GC21" s="8"/>
      <c r="GD21" s="8"/>
      <c r="GE21" s="8"/>
      <c r="GF21" s="8"/>
      <c r="GG21" s="8"/>
      <c r="GH21" s="8"/>
      <c r="GI21" s="8"/>
      <c r="GJ21" s="8"/>
      <c r="GK21" s="8"/>
      <c r="GL21" s="8"/>
      <c r="GM21" s="8"/>
      <c r="GN21" s="8"/>
      <c r="GO21" s="8"/>
      <c r="GP21" s="8">
        <v>36241311.350000001</v>
      </c>
      <c r="GQ21" s="8"/>
      <c r="GR21" s="8"/>
      <c r="GS21" s="8"/>
      <c r="GT21" s="8"/>
      <c r="GU21" s="8">
        <v>1344.68</v>
      </c>
      <c r="GV21" s="8"/>
      <c r="GW21" s="8"/>
      <c r="GX21" s="8"/>
      <c r="GY21" s="8">
        <v>1347.87</v>
      </c>
      <c r="GZ21" s="8"/>
      <c r="HA21" s="8">
        <v>11801924.32</v>
      </c>
      <c r="HB21" s="8"/>
      <c r="HC21" s="8"/>
      <c r="HD21" s="8"/>
      <c r="HE21" s="8"/>
      <c r="HF21" s="8">
        <v>13894605.890000001</v>
      </c>
      <c r="HG21" s="8"/>
      <c r="HH21" s="8"/>
      <c r="HI21" s="8"/>
      <c r="HJ21" s="8"/>
      <c r="HK21" s="8"/>
      <c r="HL21" s="8"/>
      <c r="HM21" s="8"/>
      <c r="HN21" s="8"/>
      <c r="HO21" s="8">
        <v>24481267.48</v>
      </c>
      <c r="HP21" s="8"/>
      <c r="HQ21" s="8"/>
      <c r="HR21" s="8"/>
      <c r="HS21" s="8"/>
      <c r="HT21" s="8"/>
      <c r="HU21" s="8"/>
      <c r="HV21" s="8"/>
      <c r="HW21" s="8"/>
      <c r="HX21" s="8"/>
      <c r="HY21" s="8"/>
      <c r="HZ21" s="8"/>
      <c r="IA21" s="8">
        <v>9119796.2899999991</v>
      </c>
      <c r="IB21" s="8"/>
      <c r="IC21" s="8"/>
      <c r="ID21" s="8"/>
      <c r="IE21" s="8">
        <v>17901006.91</v>
      </c>
      <c r="IF21" s="8"/>
      <c r="IG21" s="8"/>
      <c r="IH21" s="8"/>
      <c r="II21" s="8"/>
      <c r="IJ21" s="8"/>
      <c r="IK21" s="8">
        <v>3093631.15</v>
      </c>
      <c r="IL21" s="8"/>
      <c r="IM21" s="8"/>
      <c r="IN21" s="8">
        <v>10304794.59</v>
      </c>
      <c r="IO21" s="8"/>
      <c r="IP21" s="8"/>
      <c r="IQ21" s="8"/>
      <c r="IR21" s="8"/>
      <c r="IS21" s="8"/>
      <c r="IT21" s="8"/>
      <c r="IU21" s="8"/>
      <c r="IV21" s="8">
        <v>4390034.33</v>
      </c>
      <c r="IW21" s="8"/>
      <c r="IX21" s="8"/>
      <c r="IY21" s="8"/>
      <c r="IZ21" s="8"/>
      <c r="JA21" s="8"/>
      <c r="JB21" s="8"/>
      <c r="JC21" s="8">
        <v>5948281.7300000004</v>
      </c>
      <c r="JD21" s="8"/>
      <c r="JE21" s="8"/>
      <c r="JF21" s="8">
        <v>4929157.13</v>
      </c>
      <c r="JG21" s="8"/>
      <c r="JH21" s="8">
        <v>5205543.79</v>
      </c>
      <c r="JI21" s="8"/>
      <c r="JJ21" s="8">
        <v>9734729.2899999991</v>
      </c>
      <c r="JK21" s="8"/>
      <c r="JL21" s="8"/>
      <c r="JM21" s="8"/>
      <c r="JN21" s="8"/>
      <c r="JO21" s="8">
        <v>3854.28</v>
      </c>
      <c r="JP21" s="8"/>
      <c r="JQ21" s="8"/>
      <c r="JR21" s="8"/>
      <c r="JS21" s="8">
        <v>9899.59</v>
      </c>
      <c r="JT21" s="8"/>
      <c r="JU21" s="8"/>
      <c r="JV21" s="8">
        <v>8394892.6699999999</v>
      </c>
      <c r="JW21" s="8"/>
      <c r="JX21" s="8"/>
      <c r="JY21" s="8">
        <v>5252337.3099999996</v>
      </c>
      <c r="JZ21" s="8">
        <v>3574460.23</v>
      </c>
      <c r="KA21" s="8"/>
      <c r="KB21" s="8"/>
      <c r="KC21" s="8">
        <v>2905945</v>
      </c>
      <c r="KD21" s="8">
        <v>3791120.36</v>
      </c>
      <c r="KE21" s="8"/>
      <c r="KF21" s="8">
        <v>1339962.1299999999</v>
      </c>
      <c r="KG21" s="8"/>
      <c r="KH21" s="8"/>
      <c r="KI21" s="8">
        <v>5682499.6500000004</v>
      </c>
      <c r="KJ21" s="8"/>
      <c r="KK21" s="8"/>
      <c r="KL21" s="8"/>
      <c r="KM21" s="8"/>
      <c r="KN21" s="8"/>
      <c r="KO21" s="8"/>
      <c r="KP21" s="8">
        <v>39072239.740000002</v>
      </c>
      <c r="KQ21" s="8"/>
      <c r="KR21" s="8"/>
      <c r="KS21" s="8"/>
      <c r="KT21" s="8">
        <v>42051392.969999999</v>
      </c>
      <c r="KU21" s="8"/>
      <c r="KV21" s="8"/>
      <c r="KW21" s="8"/>
      <c r="KX21" s="8">
        <v>10923521.869999999</v>
      </c>
      <c r="KY21" s="8"/>
      <c r="KZ21" s="8"/>
      <c r="LA21" s="8"/>
      <c r="LB21" s="8"/>
      <c r="LC21" s="8"/>
      <c r="LD21" s="8"/>
      <c r="LE21" s="8"/>
      <c r="LF21" s="8"/>
      <c r="LG21" s="8"/>
      <c r="LH21" s="8"/>
      <c r="LI21" s="8"/>
      <c r="LJ21" s="8"/>
      <c r="LK21" s="8"/>
      <c r="LL21" s="8"/>
      <c r="LM21" s="8"/>
      <c r="LN21" s="8"/>
      <c r="LO21" s="8">
        <v>425.06</v>
      </c>
      <c r="LP21" s="8"/>
      <c r="LQ21" s="8"/>
      <c r="LR21" s="8"/>
      <c r="LS21" s="8"/>
      <c r="LT21" s="8"/>
      <c r="LU21" s="8"/>
      <c r="LV21" s="8"/>
      <c r="LW21" s="8">
        <v>38970626.229999997</v>
      </c>
      <c r="LX21" s="8"/>
      <c r="LY21" s="8"/>
      <c r="LZ21" s="8"/>
      <c r="MA21" s="8">
        <v>32918300.91</v>
      </c>
      <c r="MB21" s="8"/>
      <c r="MC21" s="8">
        <v>21512879.260000002</v>
      </c>
      <c r="MD21" s="8"/>
      <c r="ME21" s="8">
        <v>28272401.440000001</v>
      </c>
      <c r="MF21" s="8"/>
      <c r="MG21" s="8"/>
      <c r="MH21" s="8"/>
      <c r="MI21" s="8"/>
      <c r="MJ21" s="8"/>
      <c r="MK21" s="8"/>
      <c r="ML21" s="8"/>
      <c r="MM21" s="8"/>
      <c r="MN21" s="8"/>
      <c r="MO21" s="8"/>
      <c r="MP21" s="8"/>
      <c r="MQ21" s="8"/>
      <c r="MR21" s="8"/>
      <c r="MS21" s="8"/>
      <c r="MT21" s="8">
        <v>26695555.609999999</v>
      </c>
      <c r="MU21" s="8"/>
      <c r="MV21" s="8"/>
      <c r="MW21" s="8"/>
      <c r="MX21" s="8"/>
      <c r="MY21" s="8">
        <v>27295528.75</v>
      </c>
      <c r="MZ21" s="8"/>
      <c r="NA21" s="8"/>
      <c r="NB21" s="8"/>
      <c r="NC21" s="8">
        <v>45637047.950000003</v>
      </c>
      <c r="ND21" s="8"/>
      <c r="NE21" s="8"/>
      <c r="NF21" s="8"/>
      <c r="NG21" s="8"/>
      <c r="NH21" s="8"/>
      <c r="NI21" s="8"/>
      <c r="NJ21" s="8"/>
      <c r="NK21" s="8"/>
      <c r="NL21" s="8"/>
      <c r="NM21" s="8"/>
      <c r="NN21" s="8"/>
      <c r="NO21" s="8"/>
      <c r="NP21" s="8"/>
      <c r="NQ21" s="8"/>
      <c r="NR21" s="8"/>
      <c r="NS21" s="8">
        <v>81947972.450000003</v>
      </c>
      <c r="NT21" s="8"/>
      <c r="NU21" s="8"/>
      <c r="NV21" s="8">
        <v>12464443.789999999</v>
      </c>
      <c r="NW21" s="8"/>
      <c r="NX21" s="8"/>
      <c r="NY21" s="8"/>
      <c r="NZ21" s="8"/>
      <c r="OA21" s="8"/>
      <c r="OB21" s="8"/>
      <c r="OC21" s="8"/>
      <c r="OD21" s="8"/>
      <c r="OE21" s="8"/>
      <c r="OF21" s="8"/>
      <c r="OG21" s="8"/>
      <c r="OH21" s="8"/>
      <c r="OI21" s="8"/>
      <c r="OJ21" s="8"/>
      <c r="OK21" s="8"/>
      <c r="OL21" s="8"/>
      <c r="OM21" s="8"/>
      <c r="ON21" s="8"/>
      <c r="OO21" s="8"/>
      <c r="OP21" s="8"/>
      <c r="OQ21" s="5">
        <v>828173510.94000006</v>
      </c>
    </row>
    <row r="22" spans="2:407" x14ac:dyDescent="0.2">
      <c r="B22" t="s">
        <v>78</v>
      </c>
      <c r="C22" t="s">
        <v>20</v>
      </c>
      <c r="D22" s="8">
        <v>871420.05</v>
      </c>
      <c r="E22" s="8"/>
      <c r="F22" s="8">
        <v>9791.74</v>
      </c>
      <c r="G22" s="8"/>
      <c r="H22" s="8">
        <v>644363.80000000005</v>
      </c>
      <c r="I22" s="8"/>
      <c r="J22" s="8">
        <v>3852.41</v>
      </c>
      <c r="K22" s="8"/>
      <c r="L22" s="8"/>
      <c r="M22" s="8"/>
      <c r="N22" s="8"/>
      <c r="O22" s="8">
        <v>676625.21</v>
      </c>
      <c r="P22" s="8"/>
      <c r="Q22" s="8"/>
      <c r="R22" s="8"/>
      <c r="S22" s="8">
        <v>600324.02</v>
      </c>
      <c r="T22" s="8">
        <v>13498.87</v>
      </c>
      <c r="U22" s="8"/>
      <c r="V22" s="8"/>
      <c r="W22" s="8"/>
      <c r="X22" s="8"/>
      <c r="Y22" s="8"/>
      <c r="Z22" s="8">
        <v>477842.37</v>
      </c>
      <c r="AA22" s="8"/>
      <c r="AB22" s="8">
        <v>378283.55</v>
      </c>
      <c r="AC22" s="8">
        <v>696749.33</v>
      </c>
      <c r="AD22" s="8"/>
      <c r="AE22" s="8">
        <v>241494.85</v>
      </c>
      <c r="AF22" s="8"/>
      <c r="AG22" s="8"/>
      <c r="AH22" s="8">
        <v>817808.35</v>
      </c>
      <c r="AI22" s="8"/>
      <c r="AJ22" s="8"/>
      <c r="AK22" s="8"/>
      <c r="AL22" s="8"/>
      <c r="AM22" s="8">
        <v>193574.47</v>
      </c>
      <c r="AN22" s="8"/>
      <c r="AO22" s="8"/>
      <c r="AP22" s="8">
        <v>419395.11</v>
      </c>
      <c r="AQ22" s="8">
        <v>105500.25</v>
      </c>
      <c r="AR22" s="8"/>
      <c r="AS22" s="8">
        <v>716531.63</v>
      </c>
      <c r="AT22" s="8">
        <v>7043.1</v>
      </c>
      <c r="AU22" s="8"/>
      <c r="AV22" s="8"/>
      <c r="AW22" s="8">
        <v>97808.27</v>
      </c>
      <c r="AX22" s="8"/>
      <c r="AY22" s="8">
        <v>295890.25</v>
      </c>
      <c r="AZ22" s="8"/>
      <c r="BA22" s="8">
        <v>1335820.6599999999</v>
      </c>
      <c r="BB22" s="8">
        <v>7950.98</v>
      </c>
      <c r="BC22" s="8"/>
      <c r="BD22" s="8"/>
      <c r="BE22" s="8"/>
      <c r="BF22" s="8"/>
      <c r="BG22" s="8"/>
      <c r="BH22" s="8">
        <v>2110695.52</v>
      </c>
      <c r="BI22" s="8"/>
      <c r="BJ22" s="8"/>
      <c r="BK22" s="8">
        <v>348768.82</v>
      </c>
      <c r="BL22" s="8"/>
      <c r="BM22" s="8"/>
      <c r="BN22" s="8"/>
      <c r="BO22" s="8"/>
      <c r="BP22" s="8"/>
      <c r="BQ22" s="8"/>
      <c r="BR22" s="8">
        <v>1103687.6799999999</v>
      </c>
      <c r="BS22" s="8"/>
      <c r="BT22" s="8"/>
      <c r="BU22" s="8"/>
      <c r="BV22" s="8"/>
      <c r="BW22" s="8"/>
      <c r="BX22" s="8"/>
      <c r="BY22" s="8"/>
      <c r="BZ22" s="8"/>
      <c r="CA22" s="8">
        <v>1809612.13</v>
      </c>
      <c r="CB22" s="8"/>
      <c r="CC22" s="8">
        <v>896614.7</v>
      </c>
      <c r="CD22" s="8"/>
      <c r="CE22" s="8"/>
      <c r="CF22" s="8"/>
      <c r="CG22" s="8"/>
      <c r="CH22" s="8">
        <v>1232324.32</v>
      </c>
      <c r="CI22" s="8"/>
      <c r="CJ22" s="8"/>
      <c r="CK22" s="8"/>
      <c r="CL22" s="8"/>
      <c r="CM22" s="8"/>
      <c r="CN22" s="8"/>
      <c r="CO22" s="8"/>
      <c r="CP22" s="8"/>
      <c r="CQ22" s="8">
        <v>849589.93</v>
      </c>
      <c r="CR22" s="8"/>
      <c r="CS22" s="8">
        <v>1127722.21</v>
      </c>
      <c r="CT22" s="8">
        <v>1148298.79</v>
      </c>
      <c r="CU22" s="8"/>
      <c r="CV22" s="8"/>
      <c r="CW22" s="8"/>
      <c r="CX22" s="8"/>
      <c r="CY22" s="8"/>
      <c r="CZ22" s="8">
        <v>1115999.28</v>
      </c>
      <c r="DA22" s="8"/>
      <c r="DB22" s="8"/>
      <c r="DC22" s="8">
        <v>1499887.58</v>
      </c>
      <c r="DD22" s="8"/>
      <c r="DE22" s="8">
        <v>668111.04</v>
      </c>
      <c r="DF22" s="8">
        <v>1042893.72</v>
      </c>
      <c r="DG22" s="8"/>
      <c r="DH22" s="8"/>
      <c r="DI22" s="8"/>
      <c r="DJ22" s="8"/>
      <c r="DK22" s="8"/>
      <c r="DL22" s="8"/>
      <c r="DM22" s="8"/>
      <c r="DN22" s="8">
        <v>711680.71</v>
      </c>
      <c r="DO22" s="8">
        <v>7621.43</v>
      </c>
      <c r="DP22" s="8"/>
      <c r="DQ22" s="8"/>
      <c r="DR22" s="8"/>
      <c r="DS22" s="8">
        <v>1001402.41</v>
      </c>
      <c r="DT22" s="8"/>
      <c r="DU22" s="8"/>
      <c r="DV22" s="8"/>
      <c r="DW22" s="8"/>
      <c r="DX22" s="8">
        <v>707440.47</v>
      </c>
      <c r="DY22" s="8">
        <v>420227.21</v>
      </c>
      <c r="DZ22" s="8"/>
      <c r="EA22" s="8">
        <v>6046.34</v>
      </c>
      <c r="EB22" s="8">
        <v>2406722.5600000001</v>
      </c>
      <c r="EC22" s="8"/>
      <c r="ED22" s="8"/>
      <c r="EE22" s="8"/>
      <c r="EF22" s="8"/>
      <c r="EG22" s="8">
        <v>2652948.5</v>
      </c>
      <c r="EH22" s="8"/>
      <c r="EI22" s="8"/>
      <c r="EJ22" s="8"/>
      <c r="EK22" s="8"/>
      <c r="EL22" s="8">
        <v>4227763.82</v>
      </c>
      <c r="EM22" s="8"/>
      <c r="EN22" s="8">
        <v>134.13999999999999</v>
      </c>
      <c r="EO22" s="8"/>
      <c r="EP22" s="8"/>
      <c r="EQ22" s="8"/>
      <c r="ER22" s="8"/>
      <c r="ES22" s="8">
        <v>1740275.23</v>
      </c>
      <c r="ET22" s="8"/>
      <c r="EU22" s="8"/>
      <c r="EV22" s="8"/>
      <c r="EW22" s="8"/>
      <c r="EX22" s="8"/>
      <c r="EY22" s="8"/>
      <c r="EZ22" s="8">
        <v>3254297.72</v>
      </c>
      <c r="FA22" s="8"/>
      <c r="FB22" s="8"/>
      <c r="FC22" s="8"/>
      <c r="FD22" s="8"/>
      <c r="FE22" s="8"/>
      <c r="FF22" s="8"/>
      <c r="FG22" s="8"/>
      <c r="FH22" s="8"/>
      <c r="FI22" s="8"/>
      <c r="FJ22" s="8">
        <v>2377416.2599999998</v>
      </c>
      <c r="FK22" s="8"/>
      <c r="FL22" s="8"/>
      <c r="FM22" s="8"/>
      <c r="FN22" s="8"/>
      <c r="FO22" s="8"/>
      <c r="FP22" s="8"/>
      <c r="FQ22" s="8">
        <v>4481838.25</v>
      </c>
      <c r="FR22" s="8"/>
      <c r="FS22" s="8"/>
      <c r="FT22" s="8"/>
      <c r="FU22" s="8"/>
      <c r="FV22" s="8"/>
      <c r="FW22" s="8"/>
      <c r="FX22" s="8"/>
      <c r="FY22" s="8"/>
      <c r="FZ22" s="8"/>
      <c r="GA22" s="8"/>
      <c r="GB22" s="8"/>
      <c r="GC22" s="8"/>
      <c r="GD22" s="8"/>
      <c r="GE22" s="8"/>
      <c r="GF22" s="8">
        <v>2123980.86</v>
      </c>
      <c r="GG22" s="8"/>
      <c r="GH22" s="8"/>
      <c r="GI22" s="8"/>
      <c r="GJ22" s="8"/>
      <c r="GK22" s="8">
        <v>3266841.71</v>
      </c>
      <c r="GL22" s="8"/>
      <c r="GM22" s="8">
        <v>782529.98</v>
      </c>
      <c r="GN22" s="8"/>
      <c r="GO22" s="8"/>
      <c r="GP22" s="8"/>
      <c r="GQ22" s="8"/>
      <c r="GR22" s="8"/>
      <c r="GS22" s="8"/>
      <c r="GT22" s="8">
        <v>1542350.27</v>
      </c>
      <c r="GU22" s="8"/>
      <c r="GV22" s="8"/>
      <c r="GW22" s="8"/>
      <c r="GX22" s="8"/>
      <c r="GY22" s="8"/>
      <c r="GZ22" s="8">
        <v>986566.86</v>
      </c>
      <c r="HA22" s="8"/>
      <c r="HB22" s="8"/>
      <c r="HC22" s="8">
        <v>0.75</v>
      </c>
      <c r="HD22" s="8"/>
      <c r="HE22" s="8"/>
      <c r="HF22" s="8"/>
      <c r="HG22" s="8">
        <v>1716113.31</v>
      </c>
      <c r="HH22" s="8">
        <v>1043792.09</v>
      </c>
      <c r="HI22" s="8"/>
      <c r="HJ22" s="8">
        <v>13126.74</v>
      </c>
      <c r="HK22" s="8"/>
      <c r="HL22" s="8"/>
      <c r="HM22" s="8"/>
      <c r="HN22" s="8"/>
      <c r="HO22" s="8"/>
      <c r="HP22" s="8"/>
      <c r="HQ22" s="8"/>
      <c r="HR22" s="8"/>
      <c r="HS22" s="8"/>
      <c r="HT22" s="8"/>
      <c r="HU22" s="8"/>
      <c r="HV22" s="8"/>
      <c r="HW22" s="8">
        <v>4101700.42</v>
      </c>
      <c r="HX22" s="8"/>
      <c r="HY22" s="8"/>
      <c r="HZ22" s="8">
        <v>2781399.24</v>
      </c>
      <c r="IA22" s="8"/>
      <c r="IB22" s="8"/>
      <c r="IC22" s="8"/>
      <c r="ID22" s="8"/>
      <c r="IE22" s="8"/>
      <c r="IF22" s="8"/>
      <c r="IG22" s="8"/>
      <c r="IH22" s="8"/>
      <c r="II22" s="8"/>
      <c r="IJ22" s="8"/>
      <c r="IK22" s="8"/>
      <c r="IL22" s="8"/>
      <c r="IM22" s="8"/>
      <c r="IN22" s="8"/>
      <c r="IO22" s="8"/>
      <c r="IP22" s="8"/>
      <c r="IQ22" s="8"/>
      <c r="IR22" s="8"/>
      <c r="IS22" s="8"/>
      <c r="IT22" s="8"/>
      <c r="IU22" s="8"/>
      <c r="IV22" s="8"/>
      <c r="IW22" s="8"/>
      <c r="IX22" s="8"/>
      <c r="IY22" s="8"/>
      <c r="IZ22" s="8"/>
      <c r="JA22" s="8"/>
      <c r="JB22" s="8"/>
      <c r="JC22" s="8"/>
      <c r="JD22" s="8"/>
      <c r="JE22" s="8"/>
      <c r="JF22" s="8"/>
      <c r="JG22" s="8"/>
      <c r="JH22" s="8"/>
      <c r="JI22" s="8"/>
      <c r="JJ22" s="8"/>
      <c r="JK22" s="8"/>
      <c r="JL22" s="8"/>
      <c r="JM22" s="8"/>
      <c r="JN22" s="8"/>
      <c r="JO22" s="8"/>
      <c r="JP22" s="8"/>
      <c r="JQ22" s="8"/>
      <c r="JR22" s="8"/>
      <c r="JS22" s="8"/>
      <c r="JT22" s="8"/>
      <c r="JU22" s="8"/>
      <c r="JV22" s="8"/>
      <c r="JW22" s="8"/>
      <c r="JX22" s="8"/>
      <c r="JY22" s="8"/>
      <c r="JZ22" s="8">
        <v>878830.43</v>
      </c>
      <c r="KA22" s="8"/>
      <c r="KB22" s="8">
        <v>136413.99</v>
      </c>
      <c r="KC22" s="8">
        <v>736214.35</v>
      </c>
      <c r="KD22" s="8">
        <v>626267.36</v>
      </c>
      <c r="KE22" s="8">
        <v>477024.61</v>
      </c>
      <c r="KF22" s="8">
        <v>486259.97</v>
      </c>
      <c r="KG22" s="8"/>
      <c r="KH22" s="8"/>
      <c r="KI22" s="8">
        <v>273676.28999999998</v>
      </c>
      <c r="KJ22" s="8"/>
      <c r="KK22" s="8">
        <v>434008.01</v>
      </c>
      <c r="KL22" s="8"/>
      <c r="KM22" s="8"/>
      <c r="KN22" s="8"/>
      <c r="KO22" s="8"/>
      <c r="KP22" s="8"/>
      <c r="KQ22" s="8"/>
      <c r="KR22" s="8"/>
      <c r="KS22" s="8">
        <v>1741323.35</v>
      </c>
      <c r="KT22" s="8"/>
      <c r="KU22" s="8">
        <v>3146133.95</v>
      </c>
      <c r="KV22" s="8"/>
      <c r="KW22" s="8"/>
      <c r="KX22" s="8"/>
      <c r="KY22" s="8"/>
      <c r="KZ22" s="8"/>
      <c r="LA22" s="8"/>
      <c r="LB22" s="8"/>
      <c r="LC22" s="8">
        <v>3222531.91</v>
      </c>
      <c r="LD22" s="8"/>
      <c r="LE22" s="8"/>
      <c r="LF22" s="8"/>
      <c r="LG22" s="8">
        <v>3228852.19</v>
      </c>
      <c r="LH22" s="8">
        <v>3958074.09</v>
      </c>
      <c r="LI22" s="8">
        <v>4064687.06</v>
      </c>
      <c r="LJ22" s="8"/>
      <c r="LK22" s="8"/>
      <c r="LL22" s="8"/>
      <c r="LM22" s="8">
        <v>2303311.38</v>
      </c>
      <c r="LN22" s="8"/>
      <c r="LO22" s="8"/>
      <c r="LP22" s="8"/>
      <c r="LQ22" s="8"/>
      <c r="LR22" s="8"/>
      <c r="LS22" s="8"/>
      <c r="LT22" s="8"/>
      <c r="LU22" s="8"/>
      <c r="LV22" s="8">
        <v>3328761.04</v>
      </c>
      <c r="LW22" s="8"/>
      <c r="LX22" s="8"/>
      <c r="LY22" s="8"/>
      <c r="LZ22" s="8"/>
      <c r="MA22" s="8"/>
      <c r="MB22" s="8"/>
      <c r="MC22" s="8"/>
      <c r="MD22" s="8"/>
      <c r="ME22" s="8">
        <v>3965395.11</v>
      </c>
      <c r="MF22" s="8"/>
      <c r="MG22" s="8"/>
      <c r="MH22" s="8"/>
      <c r="MI22" s="8"/>
      <c r="MJ22" s="8">
        <v>5301826.99</v>
      </c>
      <c r="MK22" s="8">
        <v>3513620.76</v>
      </c>
      <c r="ML22" s="8"/>
      <c r="MM22" s="8"/>
      <c r="MN22" s="8"/>
      <c r="MO22" s="8"/>
      <c r="MP22" s="8"/>
      <c r="MQ22" s="8"/>
      <c r="MR22" s="8"/>
      <c r="MS22" s="8"/>
      <c r="MT22" s="8"/>
      <c r="MU22" s="8"/>
      <c r="MV22" s="8"/>
      <c r="MW22" s="8"/>
      <c r="MX22" s="8"/>
      <c r="MY22" s="8"/>
      <c r="MZ22" s="8"/>
      <c r="NA22" s="8"/>
      <c r="NB22" s="8"/>
      <c r="NC22" s="8"/>
      <c r="ND22" s="8"/>
      <c r="NE22" s="8">
        <v>3828932.71</v>
      </c>
      <c r="NF22" s="8"/>
      <c r="NG22" s="8"/>
      <c r="NH22" s="8"/>
      <c r="NI22" s="8"/>
      <c r="NJ22" s="8"/>
      <c r="NK22" s="8">
        <v>4608855.49</v>
      </c>
      <c r="NL22" s="8"/>
      <c r="NM22" s="8">
        <v>3266995.93</v>
      </c>
      <c r="NN22" s="8"/>
      <c r="NO22" s="8"/>
      <c r="NP22" s="8"/>
      <c r="NQ22" s="8"/>
      <c r="NR22" s="8"/>
      <c r="NS22" s="8"/>
      <c r="NT22" s="8">
        <v>1.33</v>
      </c>
      <c r="NU22" s="8"/>
      <c r="NV22" s="8"/>
      <c r="NW22" s="8"/>
      <c r="NX22" s="8"/>
      <c r="NY22" s="8"/>
      <c r="NZ22" s="8"/>
      <c r="OA22" s="8">
        <v>0.96</v>
      </c>
      <c r="OB22" s="8"/>
      <c r="OC22" s="8"/>
      <c r="OD22" s="8"/>
      <c r="OE22" s="8"/>
      <c r="OF22" s="8"/>
      <c r="OG22" s="8"/>
      <c r="OH22" s="8">
        <v>3612181.77</v>
      </c>
      <c r="OI22" s="8"/>
      <c r="OJ22" s="8"/>
      <c r="OK22" s="8"/>
      <c r="OL22" s="8"/>
      <c r="OM22" s="8">
        <v>1399472.94</v>
      </c>
      <c r="ON22" s="8"/>
      <c r="OO22" s="8"/>
      <c r="OP22" s="8">
        <v>1456854.61</v>
      </c>
      <c r="OQ22" s="5">
        <v>125916500.84999999</v>
      </c>
    </row>
    <row r="23" spans="2:407" x14ac:dyDescent="0.2">
      <c r="B23" t="s">
        <v>79</v>
      </c>
      <c r="C23" t="s">
        <v>21</v>
      </c>
      <c r="D23" s="8"/>
      <c r="E23" s="8">
        <v>3375444.58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>
        <v>3259225.93</v>
      </c>
      <c r="Q23" s="8">
        <v>1917011.41</v>
      </c>
      <c r="R23" s="8"/>
      <c r="S23" s="8"/>
      <c r="T23" s="8">
        <v>0.93</v>
      </c>
      <c r="U23" s="8"/>
      <c r="V23" s="8">
        <v>1528861.68</v>
      </c>
      <c r="W23" s="8"/>
      <c r="X23" s="8">
        <v>1316009.24</v>
      </c>
      <c r="Y23" s="8"/>
      <c r="Z23" s="8"/>
      <c r="AA23" s="8">
        <v>1138387.26</v>
      </c>
      <c r="AB23" s="8"/>
      <c r="AC23" s="8">
        <v>2292682.15</v>
      </c>
      <c r="AD23" s="8"/>
      <c r="AE23" s="8">
        <v>2430834.12</v>
      </c>
      <c r="AF23" s="8"/>
      <c r="AG23" s="8"/>
      <c r="AH23" s="8"/>
      <c r="AI23" s="8"/>
      <c r="AJ23" s="8"/>
      <c r="AK23" s="8"/>
      <c r="AL23" s="8"/>
      <c r="AM23" s="8"/>
      <c r="AN23" s="8">
        <v>1785606.55</v>
      </c>
      <c r="AO23" s="8"/>
      <c r="AP23" s="8">
        <v>2801624.01</v>
      </c>
      <c r="AQ23" s="8"/>
      <c r="AR23" s="8"/>
      <c r="AS23" s="8"/>
      <c r="AT23" s="8"/>
      <c r="AU23" s="8"/>
      <c r="AV23" s="8">
        <v>3405699.14</v>
      </c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>
        <v>2.82</v>
      </c>
      <c r="CP23" s="8"/>
      <c r="CQ23" s="8">
        <v>8659.77</v>
      </c>
      <c r="CR23" s="8"/>
      <c r="CS23" s="8"/>
      <c r="CT23" s="8"/>
      <c r="CU23" s="8"/>
      <c r="CV23" s="8"/>
      <c r="CW23" s="8"/>
      <c r="CX23" s="8"/>
      <c r="CY23" s="8"/>
      <c r="CZ23" s="8"/>
      <c r="DA23" s="8">
        <v>7694.86</v>
      </c>
      <c r="DB23" s="8"/>
      <c r="DC23" s="8">
        <v>5307028.6500000004</v>
      </c>
      <c r="DD23" s="8"/>
      <c r="DE23" s="8"/>
      <c r="DF23" s="8"/>
      <c r="DG23" s="8">
        <v>5707675.04</v>
      </c>
      <c r="DH23" s="8"/>
      <c r="DI23" s="8"/>
      <c r="DJ23" s="8"/>
      <c r="DK23" s="8"/>
      <c r="DL23" s="8"/>
      <c r="DM23" s="8"/>
      <c r="DN23" s="8"/>
      <c r="DO23" s="8"/>
      <c r="DP23" s="8"/>
      <c r="DQ23" s="8">
        <v>4280274.75</v>
      </c>
      <c r="DR23" s="8">
        <v>5559903.3499999996</v>
      </c>
      <c r="DS23" s="8">
        <v>8564726.8100000005</v>
      </c>
      <c r="DT23" s="8"/>
      <c r="DU23" s="8">
        <v>6001762.4000000004</v>
      </c>
      <c r="DV23" s="8"/>
      <c r="DW23" s="8">
        <v>4611942.93</v>
      </c>
      <c r="DX23" s="8"/>
      <c r="DY23" s="8"/>
      <c r="DZ23" s="8"/>
      <c r="EA23" s="8"/>
      <c r="EB23" s="8"/>
      <c r="EC23" s="8"/>
      <c r="ED23" s="8"/>
      <c r="EE23" s="8"/>
      <c r="EF23" s="8"/>
      <c r="EG23" s="8"/>
      <c r="EH23" s="8"/>
      <c r="EI23" s="8">
        <v>16907126.539999999</v>
      </c>
      <c r="EJ23" s="8"/>
      <c r="EK23" s="8"/>
      <c r="EL23" s="8"/>
      <c r="EM23" s="8"/>
      <c r="EN23" s="8"/>
      <c r="EO23" s="8"/>
      <c r="EP23" s="8"/>
      <c r="EQ23" s="8"/>
      <c r="ER23" s="8"/>
      <c r="ES23" s="8">
        <v>7724022.7199999997</v>
      </c>
      <c r="ET23" s="8"/>
      <c r="EU23" s="8"/>
      <c r="EV23" s="8"/>
      <c r="EW23" s="8"/>
      <c r="EX23" s="8"/>
      <c r="EY23" s="8"/>
      <c r="EZ23" s="8"/>
      <c r="FA23" s="8"/>
      <c r="FB23" s="8"/>
      <c r="FC23" s="8"/>
      <c r="FD23" s="8">
        <v>23538205.02</v>
      </c>
      <c r="FE23" s="8">
        <v>6604940.4199999999</v>
      </c>
      <c r="FF23" s="8"/>
      <c r="FG23" s="8"/>
      <c r="FH23" s="8"/>
      <c r="FI23" s="8"/>
      <c r="FJ23" s="8"/>
      <c r="FK23" s="8"/>
      <c r="FL23" s="8"/>
      <c r="FM23" s="8"/>
      <c r="FN23" s="8"/>
      <c r="FO23" s="8"/>
      <c r="FP23" s="8"/>
      <c r="FQ23" s="8"/>
      <c r="FR23" s="8"/>
      <c r="FS23" s="8"/>
      <c r="FT23" s="8"/>
      <c r="FU23" s="8"/>
      <c r="FV23" s="8">
        <v>10198882.189999999</v>
      </c>
      <c r="FW23" s="8"/>
      <c r="FX23" s="8"/>
      <c r="FY23" s="8"/>
      <c r="FZ23" s="8">
        <v>5159778.87</v>
      </c>
      <c r="GA23" s="8"/>
      <c r="GB23" s="8"/>
      <c r="GC23" s="8"/>
      <c r="GD23" s="8"/>
      <c r="GE23" s="8"/>
      <c r="GF23" s="8"/>
      <c r="GG23" s="8"/>
      <c r="GH23" s="8">
        <v>2228747.6</v>
      </c>
      <c r="GI23" s="8"/>
      <c r="GJ23" s="8"/>
      <c r="GK23" s="8">
        <v>5270.78</v>
      </c>
      <c r="GL23" s="8"/>
      <c r="GM23" s="8"/>
      <c r="GN23" s="8">
        <v>4459501.1399999997</v>
      </c>
      <c r="GO23" s="8"/>
      <c r="GP23" s="8">
        <v>7157279.1399999997</v>
      </c>
      <c r="GQ23" s="8"/>
      <c r="GR23" s="8"/>
      <c r="GS23" s="8"/>
      <c r="GT23" s="8"/>
      <c r="GU23" s="8"/>
      <c r="GV23" s="8"/>
      <c r="GW23" s="8"/>
      <c r="GX23" s="8">
        <v>4328779.75</v>
      </c>
      <c r="GY23" s="8">
        <v>6729272.7000000002</v>
      </c>
      <c r="GZ23" s="8"/>
      <c r="HA23" s="8"/>
      <c r="HB23" s="8"/>
      <c r="HC23" s="8"/>
      <c r="HD23" s="8"/>
      <c r="HE23" s="8">
        <v>8275347.1299999999</v>
      </c>
      <c r="HF23" s="8"/>
      <c r="HG23" s="8"/>
      <c r="HH23" s="8"/>
      <c r="HI23" s="8">
        <v>4862452.0199999996</v>
      </c>
      <c r="HJ23" s="8">
        <v>9628758.6099999994</v>
      </c>
      <c r="HK23" s="8"/>
      <c r="HL23" s="8"/>
      <c r="HM23" s="8"/>
      <c r="HN23" s="8"/>
      <c r="HO23" s="8"/>
      <c r="HP23" s="8">
        <v>12088.94</v>
      </c>
      <c r="HQ23" s="8"/>
      <c r="HR23" s="8">
        <v>3366623.42</v>
      </c>
      <c r="HS23" s="8"/>
      <c r="HT23" s="8">
        <v>16410160.41</v>
      </c>
      <c r="HU23" s="8"/>
      <c r="HV23" s="8"/>
      <c r="HW23" s="8">
        <v>3946199.65</v>
      </c>
      <c r="HX23" s="8"/>
      <c r="HY23" s="8"/>
      <c r="HZ23" s="8">
        <v>14016.12</v>
      </c>
      <c r="IA23" s="8"/>
      <c r="IB23" s="8"/>
      <c r="IC23" s="8"/>
      <c r="ID23" s="8"/>
      <c r="IE23" s="8"/>
      <c r="IF23" s="8"/>
      <c r="IG23" s="8"/>
      <c r="IH23" s="8"/>
      <c r="II23" s="8"/>
      <c r="IJ23" s="8">
        <v>1337622.02</v>
      </c>
      <c r="IK23" s="8"/>
      <c r="IL23" s="8"/>
      <c r="IM23" s="8">
        <v>1102622.03</v>
      </c>
      <c r="IN23" s="8">
        <v>2922394.45</v>
      </c>
      <c r="IO23" s="8"/>
      <c r="IP23" s="8">
        <v>2195784.54</v>
      </c>
      <c r="IQ23" s="8"/>
      <c r="IR23" s="8"/>
      <c r="IS23" s="8"/>
      <c r="IT23" s="8"/>
      <c r="IU23" s="8"/>
      <c r="IV23" s="8"/>
      <c r="IW23" s="8"/>
      <c r="IX23" s="8"/>
      <c r="IY23" s="8"/>
      <c r="IZ23" s="8"/>
      <c r="JA23" s="8"/>
      <c r="JB23" s="8"/>
      <c r="JC23" s="8">
        <v>870322.62</v>
      </c>
      <c r="JD23" s="8"/>
      <c r="JE23" s="8"/>
      <c r="JF23" s="8">
        <v>530762.37</v>
      </c>
      <c r="JG23" s="8"/>
      <c r="JH23" s="8"/>
      <c r="JI23" s="8">
        <v>771202.18</v>
      </c>
      <c r="JJ23" s="8"/>
      <c r="JK23" s="8"/>
      <c r="JL23" s="8">
        <v>973809.33</v>
      </c>
      <c r="JM23" s="8"/>
      <c r="JN23" s="8"/>
      <c r="JO23" s="8"/>
      <c r="JP23" s="8">
        <v>380585.68</v>
      </c>
      <c r="JQ23" s="8"/>
      <c r="JR23" s="8"/>
      <c r="JS23" s="8">
        <v>618450.13</v>
      </c>
      <c r="JT23" s="8"/>
      <c r="JU23" s="8"/>
      <c r="JV23" s="8">
        <v>1183102.29</v>
      </c>
      <c r="JW23" s="8"/>
      <c r="JX23" s="8">
        <v>981523.42</v>
      </c>
      <c r="JY23" s="8"/>
      <c r="JZ23" s="8"/>
      <c r="KA23" s="8"/>
      <c r="KB23" s="8"/>
      <c r="KC23" s="8">
        <v>11593.83</v>
      </c>
      <c r="KD23" s="8"/>
      <c r="KE23" s="8"/>
      <c r="KF23" s="8"/>
      <c r="KG23" s="8"/>
      <c r="KH23" s="8"/>
      <c r="KI23" s="8"/>
      <c r="KJ23" s="8">
        <v>9456443.1999999993</v>
      </c>
      <c r="KK23" s="8">
        <v>9689706.3100000005</v>
      </c>
      <c r="KL23" s="8"/>
      <c r="KM23" s="8"/>
      <c r="KN23" s="8"/>
      <c r="KO23" s="8"/>
      <c r="KP23" s="8"/>
      <c r="KQ23" s="8"/>
      <c r="KR23" s="8"/>
      <c r="KS23" s="8"/>
      <c r="KT23" s="8"/>
      <c r="KU23" s="8">
        <v>28236684.91</v>
      </c>
      <c r="KV23" s="8"/>
      <c r="KW23" s="8"/>
      <c r="KX23" s="8"/>
      <c r="KY23" s="8"/>
      <c r="KZ23" s="8"/>
      <c r="LA23" s="8"/>
      <c r="LB23" s="8"/>
      <c r="LC23" s="8"/>
      <c r="LD23" s="8"/>
      <c r="LE23" s="8"/>
      <c r="LF23" s="8"/>
      <c r="LG23" s="8"/>
      <c r="LH23" s="8"/>
      <c r="LI23" s="8"/>
      <c r="LJ23" s="8"/>
      <c r="LK23" s="8"/>
      <c r="LL23" s="8"/>
      <c r="LM23" s="8"/>
      <c r="LN23" s="8"/>
      <c r="LO23" s="8"/>
      <c r="LP23" s="8"/>
      <c r="LQ23" s="8"/>
      <c r="LR23" s="8"/>
      <c r="LS23" s="8"/>
      <c r="LT23" s="8"/>
      <c r="LU23" s="8"/>
      <c r="LV23" s="8"/>
      <c r="LW23" s="8"/>
      <c r="LX23" s="8"/>
      <c r="LY23" s="8"/>
      <c r="LZ23" s="8">
        <v>16649279.140000001</v>
      </c>
      <c r="MA23" s="8">
        <v>42762273.039999999</v>
      </c>
      <c r="MB23" s="8"/>
      <c r="MC23" s="8"/>
      <c r="MD23" s="8"/>
      <c r="ME23" s="8"/>
      <c r="MF23" s="8"/>
      <c r="MG23" s="8"/>
      <c r="MH23" s="8"/>
      <c r="MI23" s="8"/>
      <c r="MJ23" s="8"/>
      <c r="MK23" s="8"/>
      <c r="ML23" s="8"/>
      <c r="MM23" s="8"/>
      <c r="MN23" s="8"/>
      <c r="MO23" s="8"/>
      <c r="MP23" s="8"/>
      <c r="MQ23" s="8"/>
      <c r="MR23" s="8"/>
      <c r="MS23" s="8"/>
      <c r="MT23" s="8"/>
      <c r="MU23" s="8"/>
      <c r="MV23" s="8"/>
      <c r="MW23" s="8"/>
      <c r="MX23" s="8"/>
      <c r="MY23" s="8"/>
      <c r="MZ23" s="8"/>
      <c r="NA23" s="8"/>
      <c r="NB23" s="8"/>
      <c r="NC23" s="8"/>
      <c r="ND23" s="8"/>
      <c r="NE23" s="8"/>
      <c r="NF23" s="8"/>
      <c r="NG23" s="8"/>
      <c r="NH23" s="8"/>
      <c r="NI23" s="8"/>
      <c r="NJ23" s="8"/>
      <c r="NK23" s="8"/>
      <c r="NL23" s="8"/>
      <c r="NM23" s="8"/>
      <c r="NN23" s="8"/>
      <c r="NO23" s="8"/>
      <c r="NP23" s="8"/>
      <c r="NQ23" s="8"/>
      <c r="NR23" s="8">
        <v>22155033.300000001</v>
      </c>
      <c r="NS23" s="8"/>
      <c r="NT23" s="8"/>
      <c r="NU23" s="8"/>
      <c r="NV23" s="8"/>
      <c r="NW23" s="8"/>
      <c r="NX23" s="8"/>
      <c r="NY23" s="8"/>
      <c r="NZ23" s="8">
        <v>4868.55</v>
      </c>
      <c r="OA23" s="8">
        <v>10272574.460000001</v>
      </c>
      <c r="OB23" s="8"/>
      <c r="OC23" s="8"/>
      <c r="OD23" s="8"/>
      <c r="OE23" s="8"/>
      <c r="OF23" s="8"/>
      <c r="OG23" s="8">
        <v>14897943.060000001</v>
      </c>
      <c r="OH23" s="8"/>
      <c r="OI23" s="8">
        <v>8328661.3600000003</v>
      </c>
      <c r="OJ23" s="8"/>
      <c r="OK23" s="8"/>
      <c r="OL23" s="8"/>
      <c r="OM23" s="8"/>
      <c r="ON23" s="8">
        <v>13140165.109999999</v>
      </c>
      <c r="OO23" s="8"/>
      <c r="OP23" s="8"/>
      <c r="OQ23" s="5">
        <v>396331918.88</v>
      </c>
    </row>
    <row r="24" spans="2:407" x14ac:dyDescent="0.2">
      <c r="B24" t="s">
        <v>80</v>
      </c>
      <c r="C24" t="s">
        <v>22</v>
      </c>
      <c r="D24" s="8">
        <v>1409305.86</v>
      </c>
      <c r="E24" s="8">
        <v>2229200.73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>
        <v>11989.21</v>
      </c>
      <c r="T24" s="8"/>
      <c r="U24" s="8">
        <v>1715464.86</v>
      </c>
      <c r="V24" s="8"/>
      <c r="W24" s="8">
        <v>1911136.67</v>
      </c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8">
        <v>3693325.69</v>
      </c>
      <c r="AI24" s="8">
        <v>1687296.98</v>
      </c>
      <c r="AJ24" s="8"/>
      <c r="AK24" s="8"/>
      <c r="AL24" s="8">
        <v>2014093.54</v>
      </c>
      <c r="AM24" s="8">
        <v>1810562.02</v>
      </c>
      <c r="AN24" s="8">
        <v>513.26</v>
      </c>
      <c r="AO24" s="8"/>
      <c r="AP24" s="8">
        <v>1054378.29</v>
      </c>
      <c r="AQ24" s="8"/>
      <c r="AR24" s="8"/>
      <c r="AS24" s="8"/>
      <c r="AT24" s="8"/>
      <c r="AU24" s="8"/>
      <c r="AV24" s="8"/>
      <c r="AW24" s="8">
        <v>1233080.94</v>
      </c>
      <c r="AX24" s="8">
        <v>889.09</v>
      </c>
      <c r="AY24" s="8"/>
      <c r="AZ24" s="8">
        <v>2143175.7200000002</v>
      </c>
      <c r="BA24" s="8"/>
      <c r="BB24" s="8"/>
      <c r="BC24" s="8"/>
      <c r="BD24" s="8">
        <v>422.01</v>
      </c>
      <c r="BE24" s="8"/>
      <c r="BF24" s="8"/>
      <c r="BG24" s="8"/>
      <c r="BH24" s="8"/>
      <c r="BI24" s="8"/>
      <c r="BJ24" s="8">
        <v>1894397.59</v>
      </c>
      <c r="BK24" s="8">
        <v>5873729.54</v>
      </c>
      <c r="BL24" s="8"/>
      <c r="BM24" s="8"/>
      <c r="BN24" s="8"/>
      <c r="BO24" s="8">
        <v>4442563.3499999996</v>
      </c>
      <c r="BP24" s="8"/>
      <c r="BQ24" s="8"/>
      <c r="BR24" s="8">
        <v>5245666.76</v>
      </c>
      <c r="BS24" s="8"/>
      <c r="BT24" s="8"/>
      <c r="BU24" s="8"/>
      <c r="BV24" s="8">
        <v>5746559.2400000002</v>
      </c>
      <c r="BW24" s="8"/>
      <c r="BX24" s="8"/>
      <c r="BY24" s="8"/>
      <c r="BZ24" s="8">
        <v>3150308.95</v>
      </c>
      <c r="CA24" s="8"/>
      <c r="CB24" s="8"/>
      <c r="CC24" s="8"/>
      <c r="CD24" s="8"/>
      <c r="CE24" s="8"/>
      <c r="CF24" s="8">
        <v>1978460.4</v>
      </c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CU24" s="8"/>
      <c r="CV24" s="8"/>
      <c r="CW24" s="8"/>
      <c r="CX24" s="8"/>
      <c r="CY24" s="8"/>
      <c r="CZ24" s="8"/>
      <c r="DA24" s="8"/>
      <c r="DB24" s="8"/>
      <c r="DC24" s="8"/>
      <c r="DD24" s="8"/>
      <c r="DE24" s="8"/>
      <c r="DF24" s="8"/>
      <c r="DG24" s="8"/>
      <c r="DH24" s="8"/>
      <c r="DI24" s="8"/>
      <c r="DJ24" s="8"/>
      <c r="DK24" s="8"/>
      <c r="DL24" s="8"/>
      <c r="DM24" s="8"/>
      <c r="DN24" s="8"/>
      <c r="DO24" s="8"/>
      <c r="DP24" s="8"/>
      <c r="DQ24" s="8"/>
      <c r="DR24" s="8"/>
      <c r="DS24" s="8"/>
      <c r="DT24" s="8"/>
      <c r="DU24" s="8"/>
      <c r="DV24" s="8"/>
      <c r="DW24" s="8"/>
      <c r="DX24" s="8"/>
      <c r="DY24" s="8"/>
      <c r="DZ24" s="8"/>
      <c r="EA24" s="8"/>
      <c r="EB24" s="8"/>
      <c r="EC24" s="8"/>
      <c r="ED24" s="8">
        <v>9341307.6400000006</v>
      </c>
      <c r="EE24" s="8"/>
      <c r="EF24" s="8"/>
      <c r="EG24" s="8"/>
      <c r="EH24" s="8">
        <v>16182933.390000001</v>
      </c>
      <c r="EI24" s="8"/>
      <c r="EJ24" s="8"/>
      <c r="EK24" s="8"/>
      <c r="EL24" s="8"/>
      <c r="EM24" s="8"/>
      <c r="EN24" s="8"/>
      <c r="EO24" s="8"/>
      <c r="EP24" s="8"/>
      <c r="EQ24" s="8"/>
      <c r="ER24" s="8"/>
      <c r="ES24" s="8"/>
      <c r="ET24" s="8">
        <v>5601182.3300000001</v>
      </c>
      <c r="EU24" s="8">
        <v>331.05</v>
      </c>
      <c r="EV24" s="8"/>
      <c r="EW24" s="8"/>
      <c r="EX24" s="8">
        <v>24179720.800000001</v>
      </c>
      <c r="EY24" s="8"/>
      <c r="EZ24" s="8"/>
      <c r="FA24" s="8"/>
      <c r="FB24" s="8"/>
      <c r="FC24" s="8"/>
      <c r="FD24" s="8"/>
      <c r="FE24" s="8"/>
      <c r="FF24" s="8"/>
      <c r="FG24" s="8"/>
      <c r="FH24" s="8"/>
      <c r="FI24" s="8"/>
      <c r="FJ24" s="8">
        <v>11914550.789999999</v>
      </c>
      <c r="FK24" s="8"/>
      <c r="FL24" s="8">
        <v>6342122.8600000003</v>
      </c>
      <c r="FM24" s="8"/>
      <c r="FN24" s="8"/>
      <c r="FO24" s="8"/>
      <c r="FP24" s="8">
        <v>7001353.6600000001</v>
      </c>
      <c r="FQ24" s="8"/>
      <c r="FR24" s="8">
        <v>4481446.54</v>
      </c>
      <c r="FS24" s="8"/>
      <c r="FT24" s="8"/>
      <c r="FU24" s="8"/>
      <c r="FV24" s="8"/>
      <c r="FW24" s="8"/>
      <c r="FX24" s="8"/>
      <c r="FY24" s="8"/>
      <c r="FZ24" s="8"/>
      <c r="GA24" s="8"/>
      <c r="GB24" s="8"/>
      <c r="GC24" s="8"/>
      <c r="GD24" s="8"/>
      <c r="GE24" s="8"/>
      <c r="GF24" s="8"/>
      <c r="GG24" s="8">
        <v>10726777.82</v>
      </c>
      <c r="GH24" s="8"/>
      <c r="GI24" s="8"/>
      <c r="GJ24" s="8"/>
      <c r="GK24" s="8"/>
      <c r="GL24" s="8"/>
      <c r="GM24" s="8"/>
      <c r="GN24" s="8"/>
      <c r="GO24" s="8"/>
      <c r="GP24" s="8">
        <v>823.43</v>
      </c>
      <c r="GQ24" s="8"/>
      <c r="GR24" s="8"/>
      <c r="GS24" s="8"/>
      <c r="GT24" s="8"/>
      <c r="GU24" s="8">
        <v>7936778.2400000002</v>
      </c>
      <c r="GV24" s="8"/>
      <c r="GW24" s="8"/>
      <c r="GX24" s="8"/>
      <c r="GY24" s="8"/>
      <c r="GZ24" s="8"/>
      <c r="HA24" s="8"/>
      <c r="HB24" s="8"/>
      <c r="HC24" s="8">
        <v>6439925.5499999998</v>
      </c>
      <c r="HD24" s="8"/>
      <c r="HE24" s="8"/>
      <c r="HF24" s="8"/>
      <c r="HG24" s="8"/>
      <c r="HH24" s="8"/>
      <c r="HI24" s="8"/>
      <c r="HJ24" s="8"/>
      <c r="HK24" s="8"/>
      <c r="HL24" s="8"/>
      <c r="HM24" s="8"/>
      <c r="HN24" s="8"/>
      <c r="HO24" s="8">
        <v>5129995.62</v>
      </c>
      <c r="HP24" s="8"/>
      <c r="HQ24" s="8">
        <v>4152753.44</v>
      </c>
      <c r="HR24" s="8"/>
      <c r="HS24" s="8"/>
      <c r="HT24" s="8"/>
      <c r="HU24" s="8"/>
      <c r="HV24" s="8"/>
      <c r="HW24" s="8"/>
      <c r="HX24" s="8">
        <v>3466116.43</v>
      </c>
      <c r="HY24" s="8"/>
      <c r="HZ24" s="8"/>
      <c r="IA24" s="8">
        <v>4650997.88</v>
      </c>
      <c r="IB24" s="8"/>
      <c r="IC24" s="8"/>
      <c r="ID24" s="8"/>
      <c r="IE24" s="8"/>
      <c r="IF24" s="8"/>
      <c r="IG24" s="8"/>
      <c r="IH24" s="8"/>
      <c r="II24" s="8">
        <v>1311440.69</v>
      </c>
      <c r="IJ24" s="8"/>
      <c r="IK24" s="8">
        <v>1519787.35</v>
      </c>
      <c r="IL24" s="8"/>
      <c r="IM24" s="8"/>
      <c r="IN24" s="8">
        <v>1999923.85</v>
      </c>
      <c r="IO24" s="8">
        <v>1808118.09</v>
      </c>
      <c r="IP24" s="8">
        <v>2338613.7200000002</v>
      </c>
      <c r="IQ24" s="8">
        <v>731919.15</v>
      </c>
      <c r="IR24" s="8"/>
      <c r="IS24" s="8"/>
      <c r="IT24" s="8"/>
      <c r="IU24" s="8">
        <v>923183.83</v>
      </c>
      <c r="IV24" s="8"/>
      <c r="IW24" s="8"/>
      <c r="IX24" s="8">
        <v>1100482.31</v>
      </c>
      <c r="IY24" s="8"/>
      <c r="IZ24" s="8"/>
      <c r="JA24" s="8">
        <v>4469.12</v>
      </c>
      <c r="JB24" s="8"/>
      <c r="JC24" s="8"/>
      <c r="JD24" s="8"/>
      <c r="JE24" s="8"/>
      <c r="JF24" s="8">
        <v>2183063.2799999998</v>
      </c>
      <c r="JG24" s="8">
        <v>2378449.38</v>
      </c>
      <c r="JH24" s="8">
        <v>3766569</v>
      </c>
      <c r="JI24" s="8"/>
      <c r="JJ24" s="8"/>
      <c r="JK24" s="8"/>
      <c r="JL24" s="8">
        <v>2208328.19</v>
      </c>
      <c r="JM24" s="8">
        <v>6808736.8200000003</v>
      </c>
      <c r="JN24" s="8"/>
      <c r="JO24" s="8"/>
      <c r="JP24" s="8">
        <v>3174999.74</v>
      </c>
      <c r="JQ24" s="8"/>
      <c r="JR24" s="8"/>
      <c r="JS24" s="8"/>
      <c r="JT24" s="8"/>
      <c r="JU24" s="8"/>
      <c r="JV24" s="8"/>
      <c r="JW24" s="8"/>
      <c r="JX24" s="8">
        <v>2120023.5499999998</v>
      </c>
      <c r="JY24" s="8"/>
      <c r="JZ24" s="8">
        <v>17265748.329999998</v>
      </c>
      <c r="KA24" s="8"/>
      <c r="KB24" s="8"/>
      <c r="KC24" s="8">
        <v>23743.69</v>
      </c>
      <c r="KD24" s="8"/>
      <c r="KE24" s="8"/>
      <c r="KF24" s="8"/>
      <c r="KG24" s="8"/>
      <c r="KH24" s="8">
        <v>668.91</v>
      </c>
      <c r="KI24" s="8"/>
      <c r="KJ24" s="8"/>
      <c r="KK24" s="8"/>
      <c r="KL24" s="8"/>
      <c r="KM24" s="8"/>
      <c r="KN24" s="8">
        <v>0.96</v>
      </c>
      <c r="KO24" s="8"/>
      <c r="KP24" s="8"/>
      <c r="KQ24" s="8"/>
      <c r="KR24" s="8"/>
      <c r="KS24" s="8"/>
      <c r="KT24" s="8"/>
      <c r="KU24" s="8"/>
      <c r="KV24" s="8"/>
      <c r="KW24" s="8"/>
      <c r="KX24" s="8"/>
      <c r="KY24" s="8"/>
      <c r="KZ24" s="8"/>
      <c r="LA24" s="8"/>
      <c r="LB24" s="8"/>
      <c r="LC24" s="8"/>
      <c r="LD24" s="8"/>
      <c r="LE24" s="8"/>
      <c r="LF24" s="8"/>
      <c r="LG24" s="8">
        <v>10237533.789999999</v>
      </c>
      <c r="LH24" s="8">
        <v>25586864.510000002</v>
      </c>
      <c r="LI24" s="8"/>
      <c r="LJ24" s="8"/>
      <c r="LK24" s="8">
        <v>19937170.539999999</v>
      </c>
      <c r="LL24" s="8"/>
      <c r="LM24" s="8"/>
      <c r="LN24" s="8"/>
      <c r="LO24" s="8"/>
      <c r="LP24" s="8"/>
      <c r="LQ24" s="8"/>
      <c r="LR24" s="8"/>
      <c r="LS24" s="8">
        <v>207.03</v>
      </c>
      <c r="LT24" s="8"/>
      <c r="LU24" s="8"/>
      <c r="LV24" s="8">
        <v>16354699.810000001</v>
      </c>
      <c r="LW24" s="8"/>
      <c r="LX24" s="8"/>
      <c r="LY24" s="8"/>
      <c r="LZ24" s="8"/>
      <c r="MA24" s="8"/>
      <c r="MB24" s="8"/>
      <c r="MC24" s="8"/>
      <c r="MD24" s="8">
        <v>9155901.6199999992</v>
      </c>
      <c r="ME24" s="8"/>
      <c r="MF24" s="8"/>
      <c r="MG24" s="8"/>
      <c r="MH24" s="8"/>
      <c r="MI24" s="8"/>
      <c r="MJ24" s="8"/>
      <c r="MK24" s="8"/>
      <c r="ML24" s="8"/>
      <c r="MM24" s="8"/>
      <c r="MN24" s="8"/>
      <c r="MO24" s="8"/>
      <c r="MP24" s="8"/>
      <c r="MQ24" s="8"/>
      <c r="MR24" s="8">
        <v>21122931.59</v>
      </c>
      <c r="MS24" s="8"/>
      <c r="MT24" s="8"/>
      <c r="MU24" s="8"/>
      <c r="MV24" s="8"/>
      <c r="MW24" s="8">
        <v>9478089.8000000007</v>
      </c>
      <c r="MX24" s="8"/>
      <c r="MY24" s="8"/>
      <c r="MZ24" s="8"/>
      <c r="NA24" s="8"/>
      <c r="NB24" s="8"/>
      <c r="NC24" s="8">
        <v>14660515.74</v>
      </c>
      <c r="ND24" s="8"/>
      <c r="NE24" s="8">
        <v>25041993.32</v>
      </c>
      <c r="NF24" s="8">
        <v>8257234.0599999996</v>
      </c>
      <c r="NG24" s="8"/>
      <c r="NH24" s="8"/>
      <c r="NI24" s="8"/>
      <c r="NJ24" s="8">
        <v>20527616.23</v>
      </c>
      <c r="NK24" s="8"/>
      <c r="NL24" s="8"/>
      <c r="NM24" s="8"/>
      <c r="NN24" s="8"/>
      <c r="NO24" s="8">
        <v>18575818.359999999</v>
      </c>
      <c r="NP24" s="8"/>
      <c r="NQ24" s="8"/>
      <c r="NR24" s="8"/>
      <c r="NS24" s="8"/>
      <c r="NT24" s="8"/>
      <c r="NU24" s="8"/>
      <c r="NV24" s="8"/>
      <c r="NW24" s="8"/>
      <c r="NX24" s="8"/>
      <c r="NY24" s="8"/>
      <c r="NZ24" s="8">
        <v>26230090.170000002</v>
      </c>
      <c r="OA24" s="8"/>
      <c r="OB24" s="8"/>
      <c r="OC24" s="8"/>
      <c r="OD24" s="8"/>
      <c r="OE24" s="8"/>
      <c r="OF24" s="8">
        <v>5617626.7999999998</v>
      </c>
      <c r="OG24" s="8"/>
      <c r="OH24" s="8"/>
      <c r="OI24" s="8"/>
      <c r="OJ24" s="8"/>
      <c r="OK24" s="8"/>
      <c r="OL24" s="8">
        <v>11803232.33</v>
      </c>
      <c r="OM24" s="8"/>
      <c r="ON24" s="8"/>
      <c r="OO24" s="8"/>
      <c r="OP24" s="8"/>
      <c r="OQ24" s="5">
        <v>471051433.83000004</v>
      </c>
    </row>
    <row r="25" spans="2:407" x14ac:dyDescent="0.2">
      <c r="B25" t="s">
        <v>81</v>
      </c>
      <c r="C25" t="s">
        <v>14</v>
      </c>
      <c r="D25" s="8"/>
      <c r="E25" s="8"/>
      <c r="F25" s="8"/>
      <c r="G25" s="8"/>
      <c r="H25" s="8"/>
      <c r="I25" s="8">
        <v>6500567.4199999999</v>
      </c>
      <c r="J25" s="8">
        <v>18717.689999999999</v>
      </c>
      <c r="K25" s="8">
        <v>12710751.970000001</v>
      </c>
      <c r="L25" s="8"/>
      <c r="M25" s="8"/>
      <c r="N25" s="8"/>
      <c r="O25" s="8">
        <v>1581</v>
      </c>
      <c r="P25" s="8"/>
      <c r="Q25" s="8"/>
      <c r="R25" s="8">
        <v>3075.42</v>
      </c>
      <c r="S25" s="8">
        <v>0.11</v>
      </c>
      <c r="T25" s="8"/>
      <c r="U25" s="8"/>
      <c r="V25" s="8"/>
      <c r="W25" s="8"/>
      <c r="X25" s="8"/>
      <c r="Y25" s="8"/>
      <c r="Z25" s="8">
        <v>4157025.62</v>
      </c>
      <c r="AA25" s="8"/>
      <c r="AB25" s="8"/>
      <c r="AC25" s="8">
        <v>2430824.16</v>
      </c>
      <c r="AD25" s="8"/>
      <c r="AE25" s="8"/>
      <c r="AF25" s="8">
        <v>1394018.48</v>
      </c>
      <c r="AG25" s="8">
        <v>4130494.68</v>
      </c>
      <c r="AH25" s="8"/>
      <c r="AI25" s="8"/>
      <c r="AJ25" s="8">
        <v>3985564.88</v>
      </c>
      <c r="AK25" s="8"/>
      <c r="AL25" s="8"/>
      <c r="AM25" s="8">
        <v>680353.41</v>
      </c>
      <c r="AN25" s="8"/>
      <c r="AO25" s="8">
        <v>1795182.38</v>
      </c>
      <c r="AP25" s="8">
        <v>1129996.5900000001</v>
      </c>
      <c r="AQ25" s="8"/>
      <c r="AR25" s="8">
        <v>1532289.5</v>
      </c>
      <c r="AS25" s="8"/>
      <c r="AT25" s="8">
        <v>1295623.49</v>
      </c>
      <c r="AU25" s="8"/>
      <c r="AV25" s="8"/>
      <c r="AW25" s="8">
        <v>974369.08</v>
      </c>
      <c r="AX25" s="8"/>
      <c r="AY25" s="8">
        <v>2011997.84</v>
      </c>
      <c r="AZ25" s="8">
        <v>1274100.02</v>
      </c>
      <c r="BA25" s="8">
        <v>9524278.1699999999</v>
      </c>
      <c r="BB25" s="8"/>
      <c r="BC25" s="8"/>
      <c r="BD25" s="8"/>
      <c r="BE25" s="8"/>
      <c r="BF25" s="8"/>
      <c r="BG25" s="8">
        <v>12406485.33</v>
      </c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>
        <v>12768825.1</v>
      </c>
      <c r="CC25" s="8"/>
      <c r="CD25" s="8">
        <v>10120089.289999999</v>
      </c>
      <c r="CE25" s="8">
        <v>12017193.109999999</v>
      </c>
      <c r="CF25" s="8"/>
      <c r="CG25" s="8">
        <v>1094784.81</v>
      </c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CU25" s="8"/>
      <c r="CV25" s="8"/>
      <c r="CW25" s="8"/>
      <c r="CX25" s="8"/>
      <c r="CY25" s="8"/>
      <c r="CZ25" s="8"/>
      <c r="DA25" s="8"/>
      <c r="DB25" s="8"/>
      <c r="DC25" s="8"/>
      <c r="DD25" s="8"/>
      <c r="DE25" s="8"/>
      <c r="DF25" s="8"/>
      <c r="DG25" s="8"/>
      <c r="DH25" s="8"/>
      <c r="DI25" s="8"/>
      <c r="DJ25" s="8"/>
      <c r="DK25" s="8"/>
      <c r="DL25" s="8">
        <v>4314974.2300000004</v>
      </c>
      <c r="DM25" s="8"/>
      <c r="DN25" s="8"/>
      <c r="DO25" s="8">
        <v>5669247.0899999999</v>
      </c>
      <c r="DP25" s="8">
        <v>5881819.8399999999</v>
      </c>
      <c r="DQ25" s="8"/>
      <c r="DR25" s="8">
        <v>2998674.5</v>
      </c>
      <c r="DS25" s="8">
        <v>11036.87</v>
      </c>
      <c r="DT25" s="8">
        <v>5611821.7199999997</v>
      </c>
      <c r="DU25" s="8"/>
      <c r="DV25" s="8"/>
      <c r="DW25" s="8"/>
      <c r="DX25" s="8"/>
      <c r="DY25" s="8"/>
      <c r="DZ25" s="8">
        <v>4631660</v>
      </c>
      <c r="EA25" s="8">
        <v>3439849.32</v>
      </c>
      <c r="EB25" s="8"/>
      <c r="EC25" s="8"/>
      <c r="ED25" s="8"/>
      <c r="EE25" s="8"/>
      <c r="EF25" s="8"/>
      <c r="EG25" s="8"/>
      <c r="EH25" s="8"/>
      <c r="EI25" s="8"/>
      <c r="EJ25" s="8"/>
      <c r="EK25" s="8"/>
      <c r="EL25" s="8"/>
      <c r="EM25" s="8"/>
      <c r="EN25" s="8"/>
      <c r="EO25" s="8"/>
      <c r="EP25" s="8"/>
      <c r="EQ25" s="8"/>
      <c r="ER25" s="8"/>
      <c r="ES25" s="8"/>
      <c r="ET25" s="8"/>
      <c r="EU25" s="8"/>
      <c r="EV25" s="8"/>
      <c r="EW25" s="8"/>
      <c r="EX25" s="8"/>
      <c r="EY25" s="8"/>
      <c r="EZ25" s="8"/>
      <c r="FA25" s="8"/>
      <c r="FB25" s="8"/>
      <c r="FC25" s="8"/>
      <c r="FD25" s="8"/>
      <c r="FE25" s="8"/>
      <c r="FF25" s="8"/>
      <c r="FG25" s="8"/>
      <c r="FH25" s="8"/>
      <c r="FI25" s="8"/>
      <c r="FJ25" s="8"/>
      <c r="FK25" s="8"/>
      <c r="FL25" s="8"/>
      <c r="FM25" s="8"/>
      <c r="FN25" s="8"/>
      <c r="FO25" s="8"/>
      <c r="FP25" s="8"/>
      <c r="FQ25" s="8"/>
      <c r="FR25" s="8"/>
      <c r="FS25" s="8">
        <v>14288468.08</v>
      </c>
      <c r="FT25" s="8"/>
      <c r="FU25" s="8"/>
      <c r="FV25" s="8"/>
      <c r="FW25" s="8"/>
      <c r="FX25" s="8"/>
      <c r="FY25" s="8"/>
      <c r="FZ25" s="8"/>
      <c r="GA25" s="8">
        <v>42708485.82</v>
      </c>
      <c r="GB25" s="8"/>
      <c r="GC25" s="8"/>
      <c r="GD25" s="8"/>
      <c r="GE25" s="8"/>
      <c r="GF25" s="8"/>
      <c r="GG25" s="8"/>
      <c r="GH25" s="8"/>
      <c r="GI25" s="8"/>
      <c r="GJ25" s="8">
        <v>15556754.52</v>
      </c>
      <c r="GK25" s="8"/>
      <c r="GL25" s="8"/>
      <c r="GM25" s="8"/>
      <c r="GN25" s="8"/>
      <c r="GO25" s="8"/>
      <c r="GP25" s="8"/>
      <c r="GQ25" s="8"/>
      <c r="GR25" s="8"/>
      <c r="GS25" s="8"/>
      <c r="GT25" s="8"/>
      <c r="GU25" s="8"/>
      <c r="GV25" s="8"/>
      <c r="GW25" s="8"/>
      <c r="GX25" s="8"/>
      <c r="GY25" s="8"/>
      <c r="GZ25" s="8"/>
      <c r="HA25" s="8"/>
      <c r="HB25" s="8">
        <v>10719209.77</v>
      </c>
      <c r="HC25" s="8">
        <v>10643734.289999999</v>
      </c>
      <c r="HD25" s="8"/>
      <c r="HE25" s="8">
        <v>8728.7800000000007</v>
      </c>
      <c r="HF25" s="8"/>
      <c r="HG25" s="8"/>
      <c r="HH25" s="8"/>
      <c r="HI25" s="8"/>
      <c r="HJ25" s="8"/>
      <c r="HK25" s="8"/>
      <c r="HL25" s="8"/>
      <c r="HM25" s="8">
        <v>14251496.1</v>
      </c>
      <c r="HN25" s="8">
        <v>667.34</v>
      </c>
      <c r="HO25" s="8"/>
      <c r="HP25" s="8"/>
      <c r="HQ25" s="8"/>
      <c r="HR25" s="8"/>
      <c r="HS25" s="8"/>
      <c r="HT25" s="8"/>
      <c r="HU25" s="8"/>
      <c r="HV25" s="8"/>
      <c r="HW25" s="8">
        <v>4073685.33</v>
      </c>
      <c r="HX25" s="8"/>
      <c r="HY25" s="8"/>
      <c r="HZ25" s="8"/>
      <c r="IA25" s="8">
        <v>15861271.93</v>
      </c>
      <c r="IB25" s="8"/>
      <c r="IC25" s="8"/>
      <c r="ID25" s="8">
        <v>2995683.64</v>
      </c>
      <c r="IE25" s="8">
        <v>3971946.46</v>
      </c>
      <c r="IF25" s="8"/>
      <c r="IG25" s="8">
        <v>7514279.8399999999</v>
      </c>
      <c r="IH25" s="8"/>
      <c r="II25" s="8"/>
      <c r="IJ25" s="8"/>
      <c r="IK25" s="8">
        <v>12296697.9</v>
      </c>
      <c r="IL25" s="8"/>
      <c r="IM25" s="8"/>
      <c r="IN25" s="8"/>
      <c r="IO25" s="8"/>
      <c r="IP25" s="8"/>
      <c r="IQ25" s="8"/>
      <c r="IR25" s="8"/>
      <c r="IS25" s="8"/>
      <c r="IT25" s="8"/>
      <c r="IU25" s="8">
        <v>6418998.2400000002</v>
      </c>
      <c r="IV25" s="8"/>
      <c r="IW25" s="8"/>
      <c r="IX25" s="8"/>
      <c r="IY25" s="8"/>
      <c r="IZ25" s="8"/>
      <c r="JA25" s="8">
        <v>3849337.29</v>
      </c>
      <c r="JB25" s="8">
        <v>7713783.8399999999</v>
      </c>
      <c r="JC25" s="8"/>
      <c r="JD25" s="8">
        <v>3321940.14</v>
      </c>
      <c r="JE25" s="8"/>
      <c r="JF25" s="8">
        <v>2293027.69</v>
      </c>
      <c r="JG25" s="8"/>
      <c r="JH25" s="8"/>
      <c r="JI25" s="8">
        <v>1958076.6</v>
      </c>
      <c r="JJ25" s="8"/>
      <c r="JK25" s="8"/>
      <c r="JL25" s="8">
        <v>4513015.71</v>
      </c>
      <c r="JM25" s="8"/>
      <c r="JN25" s="8"/>
      <c r="JO25" s="8">
        <v>3628999.53</v>
      </c>
      <c r="JP25" s="8"/>
      <c r="JQ25" s="8"/>
      <c r="JR25" s="8">
        <v>3268658.81</v>
      </c>
      <c r="JS25" s="8"/>
      <c r="JT25" s="8"/>
      <c r="JU25" s="8"/>
      <c r="JV25" s="8"/>
      <c r="JW25" s="8"/>
      <c r="JX25" s="8"/>
      <c r="JY25" s="8">
        <v>0.78</v>
      </c>
      <c r="JZ25" s="8">
        <v>13953.82</v>
      </c>
      <c r="KA25" s="8"/>
      <c r="KB25" s="8"/>
      <c r="KC25" s="8">
        <v>1783971.31</v>
      </c>
      <c r="KD25" s="8">
        <v>5190487.9400000004</v>
      </c>
      <c r="KE25" s="8">
        <v>7582.23</v>
      </c>
      <c r="KF25" s="8"/>
      <c r="KG25" s="8"/>
      <c r="KH25" s="8">
        <v>3730021.97</v>
      </c>
      <c r="KI25" s="8"/>
      <c r="KJ25" s="8">
        <v>7180351.46</v>
      </c>
      <c r="KK25" s="8"/>
      <c r="KL25" s="8">
        <v>4335524.59</v>
      </c>
      <c r="KM25" s="8"/>
      <c r="KN25" s="8">
        <v>12392804.449999999</v>
      </c>
      <c r="KO25" s="8"/>
      <c r="KP25" s="8">
        <v>23231802.129999999</v>
      </c>
      <c r="KQ25" s="8"/>
      <c r="KR25" s="8"/>
      <c r="KS25" s="8"/>
      <c r="KT25" s="8"/>
      <c r="KU25" s="8">
        <v>30633591.91</v>
      </c>
      <c r="KV25" s="8"/>
      <c r="KW25" s="8"/>
      <c r="KX25" s="8"/>
      <c r="KY25" s="8"/>
      <c r="KZ25" s="8">
        <v>4283.59</v>
      </c>
      <c r="LA25" s="8"/>
      <c r="LB25" s="8"/>
      <c r="LC25" s="8">
        <v>29603099.890000001</v>
      </c>
      <c r="LD25" s="8">
        <v>27739125.989999998</v>
      </c>
      <c r="LE25" s="8"/>
      <c r="LF25" s="8"/>
      <c r="LG25" s="8"/>
      <c r="LH25" s="8"/>
      <c r="LI25" s="8"/>
      <c r="LJ25" s="8">
        <v>35335640.93</v>
      </c>
      <c r="LK25" s="8"/>
      <c r="LL25" s="8"/>
      <c r="LM25" s="8"/>
      <c r="LN25" s="8"/>
      <c r="LO25" s="8"/>
      <c r="LP25" s="8"/>
      <c r="LQ25" s="8"/>
      <c r="LR25" s="8">
        <v>14077141.67</v>
      </c>
      <c r="LS25" s="8"/>
      <c r="LT25" s="8"/>
      <c r="LU25" s="8"/>
      <c r="LV25" s="8"/>
      <c r="LW25" s="8"/>
      <c r="LX25" s="8"/>
      <c r="LY25" s="8"/>
      <c r="LZ25" s="8"/>
      <c r="MA25" s="8"/>
      <c r="MB25" s="8"/>
      <c r="MC25" s="8"/>
      <c r="MD25" s="8"/>
      <c r="ME25" s="8">
        <v>16148509.33</v>
      </c>
      <c r="MF25" s="8"/>
      <c r="MG25" s="8"/>
      <c r="MH25" s="8">
        <v>17983791.600000001</v>
      </c>
      <c r="MI25" s="8"/>
      <c r="MJ25" s="8"/>
      <c r="MK25" s="8"/>
      <c r="ML25" s="8"/>
      <c r="MM25" s="8"/>
      <c r="MN25" s="8"/>
      <c r="MO25" s="8">
        <v>18747604.699999999</v>
      </c>
      <c r="MP25" s="8"/>
      <c r="MQ25" s="8"/>
      <c r="MR25" s="8"/>
      <c r="MS25" s="8"/>
      <c r="MT25" s="8"/>
      <c r="MU25" s="8"/>
      <c r="MV25" s="8"/>
      <c r="MW25" s="8"/>
      <c r="MX25" s="8"/>
      <c r="MY25" s="8"/>
      <c r="MZ25" s="8"/>
      <c r="NA25" s="8">
        <v>7012339.8300000001</v>
      </c>
      <c r="NB25" s="8"/>
      <c r="NC25" s="8"/>
      <c r="ND25" s="8"/>
      <c r="NE25" s="8"/>
      <c r="NF25" s="8"/>
      <c r="NG25" s="8"/>
      <c r="NH25" s="8"/>
      <c r="NI25" s="8">
        <v>24867285.219999999</v>
      </c>
      <c r="NJ25" s="8"/>
      <c r="NK25" s="8">
        <v>25562779.559999999</v>
      </c>
      <c r="NL25" s="8"/>
      <c r="NM25" s="8"/>
      <c r="NN25" s="8"/>
      <c r="NO25" s="8">
        <v>26273215.059999999</v>
      </c>
      <c r="NP25" s="8"/>
      <c r="NQ25" s="8"/>
      <c r="NR25" s="8"/>
      <c r="NS25" s="8"/>
      <c r="NT25" s="8"/>
      <c r="NU25" s="8"/>
      <c r="NV25" s="8"/>
      <c r="NW25" s="8"/>
      <c r="NX25" s="8"/>
      <c r="NY25" s="8"/>
      <c r="NZ25" s="8">
        <v>20937689.940000001</v>
      </c>
      <c r="OA25" s="8"/>
      <c r="OB25" s="8"/>
      <c r="OC25" s="8"/>
      <c r="OD25" s="8"/>
      <c r="OE25" s="8"/>
      <c r="OF25" s="8"/>
      <c r="OG25" s="8">
        <v>13614679.199999999</v>
      </c>
      <c r="OH25" s="8"/>
      <c r="OI25" s="8"/>
      <c r="OJ25" s="8">
        <v>14528619.99</v>
      </c>
      <c r="OK25" s="8"/>
      <c r="OL25" s="8"/>
      <c r="OM25" s="8"/>
      <c r="ON25" s="8"/>
      <c r="OO25" s="8"/>
      <c r="OP25" s="8"/>
      <c r="OQ25" s="5">
        <v>709310119.86000013</v>
      </c>
    </row>
    <row r="26" spans="2:407" x14ac:dyDescent="0.2">
      <c r="B26" t="s">
        <v>82</v>
      </c>
      <c r="C26" t="s">
        <v>15</v>
      </c>
      <c r="D26" s="8"/>
      <c r="E26" s="8"/>
      <c r="F26" s="8"/>
      <c r="G26" s="8">
        <v>3598105.81</v>
      </c>
      <c r="H26" s="8"/>
      <c r="I26" s="8"/>
      <c r="J26" s="8"/>
      <c r="K26" s="8"/>
      <c r="L26" s="8"/>
      <c r="M26" s="8">
        <v>3848872.51</v>
      </c>
      <c r="N26" s="8"/>
      <c r="O26" s="8"/>
      <c r="P26" s="8"/>
      <c r="Q26" s="8"/>
      <c r="R26" s="8"/>
      <c r="S26" s="8">
        <v>9764894.6199999992</v>
      </c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>
        <v>3472393.38</v>
      </c>
      <c r="AF26" s="8"/>
      <c r="AG26" s="8"/>
      <c r="AH26" s="8">
        <v>2092521.97</v>
      </c>
      <c r="AI26" s="8"/>
      <c r="AJ26" s="8">
        <v>1472251.23</v>
      </c>
      <c r="AK26" s="8"/>
      <c r="AL26" s="8"/>
      <c r="AM26" s="8">
        <v>827152.9</v>
      </c>
      <c r="AN26" s="8"/>
      <c r="AO26" s="8">
        <v>374658.81</v>
      </c>
      <c r="AP26" s="8">
        <v>0.74</v>
      </c>
      <c r="AQ26" s="8"/>
      <c r="AR26" s="8"/>
      <c r="AS26" s="8"/>
      <c r="AT26" s="8">
        <v>1337947</v>
      </c>
      <c r="AU26" s="8">
        <v>1.1399999999999999</v>
      </c>
      <c r="AV26" s="8">
        <v>602179.85</v>
      </c>
      <c r="AW26" s="8"/>
      <c r="AX26" s="8">
        <v>1150443.24</v>
      </c>
      <c r="AY26" s="8"/>
      <c r="AZ26" s="8"/>
      <c r="BA26" s="8"/>
      <c r="BB26" s="8"/>
      <c r="BC26" s="8"/>
      <c r="BD26" s="8"/>
      <c r="BE26" s="8">
        <v>2545279.7599999998</v>
      </c>
      <c r="BF26" s="8"/>
      <c r="BG26" s="8"/>
      <c r="BH26" s="8"/>
      <c r="BI26" s="8">
        <v>6456003.4100000001</v>
      </c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>
        <v>8144468.8399999999</v>
      </c>
      <c r="BV26" s="8">
        <v>7538027.8700000001</v>
      </c>
      <c r="BW26" s="8">
        <v>4354826.8099999996</v>
      </c>
      <c r="BX26" s="8"/>
      <c r="BY26" s="8">
        <v>1762686.29</v>
      </c>
      <c r="BZ26" s="8"/>
      <c r="CA26" s="8"/>
      <c r="CB26" s="8">
        <v>5047538.01</v>
      </c>
      <c r="CC26" s="8"/>
      <c r="CD26" s="8"/>
      <c r="CE26" s="8"/>
      <c r="CF26" s="8"/>
      <c r="CG26" s="8">
        <v>6435134.6900000004</v>
      </c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>
        <v>3561985.19</v>
      </c>
      <c r="DL26" s="8"/>
      <c r="DM26" s="8"/>
      <c r="DN26" s="8"/>
      <c r="DO26" s="8"/>
      <c r="DP26" s="8"/>
      <c r="DQ26" s="8"/>
      <c r="DR26" s="8">
        <v>3164779.48</v>
      </c>
      <c r="DS26" s="8"/>
      <c r="DT26" s="8"/>
      <c r="DU26" s="8"/>
      <c r="DV26" s="8"/>
      <c r="DW26" s="8">
        <v>5913384.7300000004</v>
      </c>
      <c r="DX26" s="8">
        <v>4342154.42</v>
      </c>
      <c r="DY26" s="8"/>
      <c r="DZ26" s="8"/>
      <c r="EA26" s="8"/>
      <c r="EB26" s="8">
        <v>7803093.8200000003</v>
      </c>
      <c r="EC26" s="8"/>
      <c r="ED26" s="8">
        <v>6274281.5499999998</v>
      </c>
      <c r="EE26" s="8"/>
      <c r="EF26" s="8"/>
      <c r="EG26" s="8"/>
      <c r="EH26" s="8"/>
      <c r="EI26" s="8"/>
      <c r="EJ26" s="8">
        <v>4226771.6100000003</v>
      </c>
      <c r="EK26" s="8">
        <v>5673511</v>
      </c>
      <c r="EL26" s="8"/>
      <c r="EM26" s="8"/>
      <c r="EN26" s="8"/>
      <c r="EO26" s="8"/>
      <c r="EP26" s="8">
        <v>4511790.4800000004</v>
      </c>
      <c r="EQ26" s="8">
        <v>7666.17</v>
      </c>
      <c r="ER26" s="8"/>
      <c r="ES26" s="8"/>
      <c r="ET26" s="8"/>
      <c r="EU26" s="8">
        <v>4927419.4400000004</v>
      </c>
      <c r="EV26" s="8"/>
      <c r="EW26" s="8"/>
      <c r="EX26" s="8"/>
      <c r="EY26" s="8"/>
      <c r="EZ26" s="8"/>
      <c r="FA26" s="8"/>
      <c r="FB26" s="8"/>
      <c r="FC26" s="8"/>
      <c r="FD26" s="8"/>
      <c r="FE26" s="8"/>
      <c r="FF26" s="8"/>
      <c r="FG26" s="8"/>
      <c r="FH26" s="8"/>
      <c r="FI26" s="8"/>
      <c r="FJ26" s="8"/>
      <c r="FK26" s="8"/>
      <c r="FL26" s="8"/>
      <c r="FM26" s="8"/>
      <c r="FN26" s="8"/>
      <c r="FO26" s="8">
        <v>1993312.74</v>
      </c>
      <c r="FP26" s="8"/>
      <c r="FQ26" s="8"/>
      <c r="FR26" s="8"/>
      <c r="FS26" s="8">
        <v>27092884.359999999</v>
      </c>
      <c r="FT26" s="8"/>
      <c r="FU26" s="8">
        <v>24767237.829999998</v>
      </c>
      <c r="FV26" s="8"/>
      <c r="FW26" s="8"/>
      <c r="FX26" s="8"/>
      <c r="FY26" s="8"/>
      <c r="FZ26" s="8"/>
      <c r="GA26" s="8"/>
      <c r="GB26" s="8"/>
      <c r="GC26" s="8"/>
      <c r="GD26" s="8"/>
      <c r="GE26" s="8"/>
      <c r="GF26" s="8"/>
      <c r="GG26" s="8"/>
      <c r="GH26" s="8"/>
      <c r="GI26" s="8"/>
      <c r="GJ26" s="8"/>
      <c r="GK26" s="8"/>
      <c r="GL26" s="8"/>
      <c r="GM26" s="8"/>
      <c r="GN26" s="8"/>
      <c r="GO26" s="8"/>
      <c r="GP26" s="8"/>
      <c r="GQ26" s="8"/>
      <c r="GR26" s="8"/>
      <c r="GS26" s="8"/>
      <c r="GT26" s="8"/>
      <c r="GU26" s="8"/>
      <c r="GV26" s="8">
        <v>0.81</v>
      </c>
      <c r="GW26" s="8"/>
      <c r="GX26" s="8"/>
      <c r="GY26" s="8"/>
      <c r="GZ26" s="8"/>
      <c r="HA26" s="8"/>
      <c r="HB26" s="8"/>
      <c r="HC26" s="8"/>
      <c r="HD26" s="8"/>
      <c r="HE26" s="8"/>
      <c r="HF26" s="8"/>
      <c r="HG26" s="8"/>
      <c r="HH26" s="8"/>
      <c r="HI26" s="8">
        <v>3996017.98</v>
      </c>
      <c r="HJ26" s="8">
        <v>5743121.0700000003</v>
      </c>
      <c r="HK26" s="8"/>
      <c r="HL26" s="8"/>
      <c r="HM26" s="8"/>
      <c r="HN26" s="8">
        <v>0.78</v>
      </c>
      <c r="HO26" s="8"/>
      <c r="HP26" s="8"/>
      <c r="HQ26" s="8"/>
      <c r="HR26" s="8"/>
      <c r="HS26" s="8"/>
      <c r="HT26" s="8"/>
      <c r="HU26" s="8"/>
      <c r="HV26" s="8">
        <v>11213447.68</v>
      </c>
      <c r="HW26" s="8"/>
      <c r="HX26" s="8"/>
      <c r="HY26" s="8"/>
      <c r="HZ26" s="8"/>
      <c r="IA26" s="8">
        <v>6389.62</v>
      </c>
      <c r="IB26" s="8"/>
      <c r="IC26" s="8"/>
      <c r="ID26" s="8"/>
      <c r="IE26" s="8"/>
      <c r="IF26" s="8"/>
      <c r="IG26" s="8">
        <v>12616451.57</v>
      </c>
      <c r="IH26" s="8"/>
      <c r="II26" s="8"/>
      <c r="IJ26" s="8"/>
      <c r="IK26" s="8"/>
      <c r="IL26" s="8"/>
      <c r="IM26" s="8">
        <v>5819.22</v>
      </c>
      <c r="IN26" s="8"/>
      <c r="IO26" s="8"/>
      <c r="IP26" s="8"/>
      <c r="IQ26" s="8">
        <v>6110692.7999999998</v>
      </c>
      <c r="IR26" s="8">
        <v>5591836.5499999998</v>
      </c>
      <c r="IS26" s="8"/>
      <c r="IT26" s="8"/>
      <c r="IU26" s="8"/>
      <c r="IV26" s="8"/>
      <c r="IW26" s="8"/>
      <c r="IX26" s="8">
        <v>2357791.4900000002</v>
      </c>
      <c r="IY26" s="8"/>
      <c r="IZ26" s="8">
        <v>8612199.5700000003</v>
      </c>
      <c r="JA26" s="8"/>
      <c r="JB26" s="8"/>
      <c r="JC26" s="8"/>
      <c r="JD26" s="8"/>
      <c r="JE26" s="8">
        <v>6856217.3399999999</v>
      </c>
      <c r="JF26" s="8"/>
      <c r="JG26" s="8"/>
      <c r="JH26" s="8">
        <v>912.41</v>
      </c>
      <c r="JI26" s="8"/>
      <c r="JJ26" s="8"/>
      <c r="JK26" s="8"/>
      <c r="JL26" s="8"/>
      <c r="JM26" s="8"/>
      <c r="JN26" s="8"/>
      <c r="JO26" s="8"/>
      <c r="JP26" s="8">
        <v>5098800.9400000004</v>
      </c>
      <c r="JQ26" s="8">
        <v>1839915.91</v>
      </c>
      <c r="JR26" s="8">
        <v>1650779.18</v>
      </c>
      <c r="JS26" s="8"/>
      <c r="JT26" s="8"/>
      <c r="JU26" s="8"/>
      <c r="JV26" s="8"/>
      <c r="JW26" s="8"/>
      <c r="JX26" s="8"/>
      <c r="JY26" s="8"/>
      <c r="JZ26" s="8"/>
      <c r="KA26" s="8">
        <v>13534.76</v>
      </c>
      <c r="KB26" s="8"/>
      <c r="KC26" s="8"/>
      <c r="KD26" s="8">
        <v>9049829.0600000005</v>
      </c>
      <c r="KE26" s="8"/>
      <c r="KF26" s="8"/>
      <c r="KG26" s="8">
        <v>3869639.99</v>
      </c>
      <c r="KH26" s="8"/>
      <c r="KI26" s="8"/>
      <c r="KJ26" s="8"/>
      <c r="KK26" s="8"/>
      <c r="KL26" s="8">
        <v>5323009.04</v>
      </c>
      <c r="KM26" s="8">
        <v>3228617.63</v>
      </c>
      <c r="KN26" s="8"/>
      <c r="KO26" s="8"/>
      <c r="KP26" s="8"/>
      <c r="KQ26" s="8"/>
      <c r="KR26" s="8"/>
      <c r="KS26" s="8"/>
      <c r="KT26" s="8"/>
      <c r="KU26" s="8"/>
      <c r="KV26" s="8"/>
      <c r="KW26" s="8"/>
      <c r="KX26" s="8"/>
      <c r="KY26" s="8"/>
      <c r="KZ26" s="8"/>
      <c r="LA26" s="8"/>
      <c r="LB26" s="8"/>
      <c r="LC26" s="8"/>
      <c r="LD26" s="8"/>
      <c r="LE26" s="8"/>
      <c r="LF26" s="8"/>
      <c r="LG26" s="8"/>
      <c r="LH26" s="8"/>
      <c r="LI26" s="8"/>
      <c r="LJ26" s="8"/>
      <c r="LK26" s="8"/>
      <c r="LL26" s="8"/>
      <c r="LM26" s="8"/>
      <c r="LN26" s="8"/>
      <c r="LO26" s="8"/>
      <c r="LP26" s="8"/>
      <c r="LQ26" s="8"/>
      <c r="LR26" s="8"/>
      <c r="LS26" s="8"/>
      <c r="LT26" s="8"/>
      <c r="LU26" s="8"/>
      <c r="LV26" s="8"/>
      <c r="LW26" s="8"/>
      <c r="LX26" s="8"/>
      <c r="LY26" s="8"/>
      <c r="LZ26" s="8"/>
      <c r="MA26" s="8"/>
      <c r="MB26" s="8"/>
      <c r="MC26" s="8"/>
      <c r="MD26" s="8"/>
      <c r="ME26" s="8"/>
      <c r="MF26" s="8"/>
      <c r="MG26" s="8"/>
      <c r="MH26" s="8"/>
      <c r="MI26" s="8"/>
      <c r="MJ26" s="8"/>
      <c r="MK26" s="8"/>
      <c r="ML26" s="8"/>
      <c r="MM26" s="8"/>
      <c r="MN26" s="8"/>
      <c r="MO26" s="8"/>
      <c r="MP26" s="8"/>
      <c r="MQ26" s="8"/>
      <c r="MR26" s="8"/>
      <c r="MS26" s="8"/>
      <c r="MT26" s="8"/>
      <c r="MU26" s="8"/>
      <c r="MV26" s="8"/>
      <c r="MW26" s="8"/>
      <c r="MX26" s="8"/>
      <c r="MY26" s="8"/>
      <c r="MZ26" s="8"/>
      <c r="NA26" s="8"/>
      <c r="NB26" s="8"/>
      <c r="NC26" s="8"/>
      <c r="ND26" s="8"/>
      <c r="NE26" s="8"/>
      <c r="NF26" s="8"/>
      <c r="NG26" s="8"/>
      <c r="NH26" s="8"/>
      <c r="NI26" s="8"/>
      <c r="NJ26" s="8"/>
      <c r="NK26" s="8"/>
      <c r="NL26" s="8"/>
      <c r="NM26" s="8"/>
      <c r="NN26" s="8"/>
      <c r="NO26" s="8"/>
      <c r="NP26" s="8"/>
      <c r="NQ26" s="8"/>
      <c r="NR26" s="8"/>
      <c r="NS26" s="8"/>
      <c r="NT26" s="8"/>
      <c r="NU26" s="8"/>
      <c r="NV26" s="8"/>
      <c r="NW26" s="8"/>
      <c r="NX26" s="8"/>
      <c r="NY26" s="8"/>
      <c r="NZ26" s="8"/>
      <c r="OA26" s="8"/>
      <c r="OB26" s="8"/>
      <c r="OC26" s="8"/>
      <c r="OD26" s="8"/>
      <c r="OE26" s="8"/>
      <c r="OF26" s="8"/>
      <c r="OG26" s="8">
        <v>2861864.54</v>
      </c>
      <c r="OH26" s="8"/>
      <c r="OI26" s="8"/>
      <c r="OJ26" s="8"/>
      <c r="OK26" s="8">
        <v>13363444.890000001</v>
      </c>
      <c r="OL26" s="8"/>
      <c r="OM26" s="8">
        <v>10572705.279999999</v>
      </c>
      <c r="ON26" s="8"/>
      <c r="OO26" s="8"/>
      <c r="OP26" s="8">
        <v>7299883.71</v>
      </c>
      <c r="OQ26" s="5">
        <v>302368585.51999992</v>
      </c>
    </row>
    <row r="27" spans="2:407" x14ac:dyDescent="0.2">
      <c r="B27" t="s">
        <v>83</v>
      </c>
      <c r="C27" t="s">
        <v>23</v>
      </c>
      <c r="D27" s="8"/>
      <c r="E27" s="8">
        <v>2108348.11</v>
      </c>
      <c r="F27" s="8">
        <v>5555140.7599999998</v>
      </c>
      <c r="G27" s="8"/>
      <c r="H27" s="8"/>
      <c r="I27" s="8"/>
      <c r="J27" s="8">
        <v>743.69</v>
      </c>
      <c r="K27" s="8">
        <v>666.91</v>
      </c>
      <c r="L27" s="8"/>
      <c r="M27" s="8"/>
      <c r="N27" s="8">
        <v>3880289.53</v>
      </c>
      <c r="O27" s="8"/>
      <c r="P27" s="8"/>
      <c r="Q27" s="8">
        <v>1887.47</v>
      </c>
      <c r="R27" s="8"/>
      <c r="S27" s="8"/>
      <c r="T27" s="8"/>
      <c r="U27" s="8"/>
      <c r="V27" s="8">
        <v>493069.14</v>
      </c>
      <c r="W27" s="8">
        <v>1504437.49</v>
      </c>
      <c r="X27" s="8">
        <v>1640479.63</v>
      </c>
      <c r="Y27" s="8"/>
      <c r="Z27" s="8"/>
      <c r="AA27" s="8">
        <v>1514750.29</v>
      </c>
      <c r="AB27" s="8"/>
      <c r="AC27" s="8">
        <v>1018297.47</v>
      </c>
      <c r="AD27" s="8">
        <v>991026.52</v>
      </c>
      <c r="AE27" s="8">
        <v>1520692.46</v>
      </c>
      <c r="AF27" s="8"/>
      <c r="AG27" s="8"/>
      <c r="AH27" s="8"/>
      <c r="AI27" s="8"/>
      <c r="AJ27" s="8">
        <v>1843449.14</v>
      </c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>
        <v>2875228.66</v>
      </c>
      <c r="BB27" s="8"/>
      <c r="BC27" s="8"/>
      <c r="BD27" s="8">
        <v>1321346.83</v>
      </c>
      <c r="BE27" s="8"/>
      <c r="BF27" s="8"/>
      <c r="BG27" s="8">
        <v>8438307.3200000003</v>
      </c>
      <c r="BH27" s="8"/>
      <c r="BI27" s="8">
        <v>2951144.67</v>
      </c>
      <c r="BJ27" s="8"/>
      <c r="BK27" s="8"/>
      <c r="BL27" s="8">
        <v>2385741.8199999998</v>
      </c>
      <c r="BM27" s="8">
        <v>5834337.9800000004</v>
      </c>
      <c r="BN27" s="8"/>
      <c r="BO27" s="8"/>
      <c r="BP27" s="8"/>
      <c r="BQ27" s="8"/>
      <c r="BR27" s="8">
        <v>5367172.55</v>
      </c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>
        <v>6639249.3799999999</v>
      </c>
      <c r="CG27" s="8"/>
      <c r="CH27" s="8"/>
      <c r="CI27" s="8"/>
      <c r="CJ27" s="8"/>
      <c r="CK27" s="8"/>
      <c r="CL27" s="8">
        <v>4608520.8899999997</v>
      </c>
      <c r="CM27" s="8"/>
      <c r="CN27" s="8"/>
      <c r="CO27" s="8">
        <v>4873911.3</v>
      </c>
      <c r="CP27" s="8"/>
      <c r="CQ27" s="8"/>
      <c r="CR27" s="8"/>
      <c r="CS27" s="8">
        <v>2480178.36</v>
      </c>
      <c r="CT27" s="8">
        <v>3255132.69</v>
      </c>
      <c r="CU27" s="8"/>
      <c r="CV27" s="8"/>
      <c r="CW27" s="8"/>
      <c r="CX27" s="8"/>
      <c r="CY27" s="8">
        <v>3250544.2</v>
      </c>
      <c r="CZ27" s="8"/>
      <c r="DA27" s="8">
        <v>3453525.43</v>
      </c>
      <c r="DB27" s="8"/>
      <c r="DC27" s="8">
        <v>3232924.42</v>
      </c>
      <c r="DD27" s="8"/>
      <c r="DE27" s="8">
        <v>4263504.93</v>
      </c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8"/>
      <c r="DT27" s="8"/>
      <c r="DU27" s="8"/>
      <c r="DV27" s="8"/>
      <c r="DW27" s="8"/>
      <c r="DX27" s="8"/>
      <c r="DY27" s="8"/>
      <c r="DZ27" s="8"/>
      <c r="EA27" s="8"/>
      <c r="EB27" s="8"/>
      <c r="EC27" s="8"/>
      <c r="ED27" s="8"/>
      <c r="EE27" s="8"/>
      <c r="EF27" s="8"/>
      <c r="EG27" s="8">
        <v>14164235.16</v>
      </c>
      <c r="EH27" s="8">
        <v>10803416.369999999</v>
      </c>
      <c r="EI27" s="8"/>
      <c r="EJ27" s="8"/>
      <c r="EK27" s="8"/>
      <c r="EL27" s="8"/>
      <c r="EM27" s="8"/>
      <c r="EN27" s="8"/>
      <c r="EO27" s="8"/>
      <c r="EP27" s="8"/>
      <c r="EQ27" s="8"/>
      <c r="ER27" s="8"/>
      <c r="ES27" s="8"/>
      <c r="ET27" s="8"/>
      <c r="EU27" s="8"/>
      <c r="EV27" s="8"/>
      <c r="EW27" s="8"/>
      <c r="EX27" s="8"/>
      <c r="EY27" s="8"/>
      <c r="EZ27" s="8"/>
      <c r="FA27" s="8"/>
      <c r="FB27" s="8">
        <v>339.19</v>
      </c>
      <c r="FC27" s="8"/>
      <c r="FD27" s="8">
        <v>5160715.33</v>
      </c>
      <c r="FE27" s="8"/>
      <c r="FF27" s="8"/>
      <c r="FG27" s="8"/>
      <c r="FH27" s="8"/>
      <c r="FI27" s="8"/>
      <c r="FJ27" s="8"/>
      <c r="FK27" s="8"/>
      <c r="FL27" s="8"/>
      <c r="FM27" s="8"/>
      <c r="FN27" s="8"/>
      <c r="FO27" s="8"/>
      <c r="FP27" s="8">
        <v>31979129.719999999</v>
      </c>
      <c r="FQ27" s="8"/>
      <c r="FR27" s="8"/>
      <c r="FS27" s="8"/>
      <c r="FT27" s="8"/>
      <c r="FU27" s="8"/>
      <c r="FV27" s="8"/>
      <c r="FW27" s="8"/>
      <c r="FX27" s="8"/>
      <c r="FY27" s="8"/>
      <c r="FZ27" s="8"/>
      <c r="GA27" s="8"/>
      <c r="GB27" s="8"/>
      <c r="GC27" s="8"/>
      <c r="GD27" s="8"/>
      <c r="GE27" s="8"/>
      <c r="GF27" s="8"/>
      <c r="GG27" s="8"/>
      <c r="GH27" s="8"/>
      <c r="GI27" s="8"/>
      <c r="GJ27" s="8"/>
      <c r="GK27" s="8"/>
      <c r="GL27" s="8"/>
      <c r="GM27" s="8"/>
      <c r="GN27" s="8"/>
      <c r="GO27" s="8"/>
      <c r="GP27" s="8"/>
      <c r="GQ27" s="8"/>
      <c r="GR27" s="8"/>
      <c r="GS27" s="8"/>
      <c r="GT27" s="8"/>
      <c r="GU27" s="8"/>
      <c r="GV27" s="8"/>
      <c r="GW27" s="8"/>
      <c r="GX27" s="8"/>
      <c r="GY27" s="8"/>
      <c r="GZ27" s="8"/>
      <c r="HA27" s="8"/>
      <c r="HB27" s="8"/>
      <c r="HC27" s="8"/>
      <c r="HD27" s="8"/>
      <c r="HE27" s="8"/>
      <c r="HF27" s="8"/>
      <c r="HG27" s="8"/>
      <c r="HH27" s="8">
        <v>1166.03</v>
      </c>
      <c r="HI27" s="8"/>
      <c r="HJ27" s="8"/>
      <c r="HK27" s="8"/>
      <c r="HL27" s="8"/>
      <c r="HM27" s="8"/>
      <c r="HN27" s="8"/>
      <c r="HO27" s="8"/>
      <c r="HP27" s="8"/>
      <c r="HQ27" s="8"/>
      <c r="HR27" s="8">
        <v>22534916.140000001</v>
      </c>
      <c r="HS27" s="8"/>
      <c r="HT27" s="8"/>
      <c r="HU27" s="8"/>
      <c r="HV27" s="8"/>
      <c r="HW27" s="8"/>
      <c r="HX27" s="8"/>
      <c r="HY27" s="8">
        <v>12469610.43</v>
      </c>
      <c r="HZ27" s="8"/>
      <c r="IA27" s="8"/>
      <c r="IB27" s="8"/>
      <c r="IC27" s="8"/>
      <c r="ID27" s="8"/>
      <c r="IE27" s="8"/>
      <c r="IF27" s="8"/>
      <c r="IG27" s="8"/>
      <c r="IH27" s="8"/>
      <c r="II27" s="8"/>
      <c r="IJ27" s="8"/>
      <c r="IK27" s="8"/>
      <c r="IL27" s="8"/>
      <c r="IM27" s="8"/>
      <c r="IN27" s="8"/>
      <c r="IO27" s="8"/>
      <c r="IP27" s="8"/>
      <c r="IQ27" s="8"/>
      <c r="IR27" s="8"/>
      <c r="IS27" s="8"/>
      <c r="IT27" s="8"/>
      <c r="IU27" s="8"/>
      <c r="IV27" s="8"/>
      <c r="IW27" s="8"/>
      <c r="IX27" s="8"/>
      <c r="IY27" s="8"/>
      <c r="IZ27" s="8"/>
      <c r="JA27" s="8"/>
      <c r="JB27" s="8">
        <v>2414156.29</v>
      </c>
      <c r="JC27" s="8"/>
      <c r="JD27" s="8">
        <v>3131108.19</v>
      </c>
      <c r="JE27" s="8"/>
      <c r="JF27" s="8"/>
      <c r="JG27" s="8"/>
      <c r="JH27" s="8">
        <v>4142193.9</v>
      </c>
      <c r="JI27" s="8"/>
      <c r="JJ27" s="8"/>
      <c r="JK27" s="8"/>
      <c r="JL27" s="8"/>
      <c r="JM27" s="8">
        <v>2568964.4300000002</v>
      </c>
      <c r="JN27" s="8"/>
      <c r="JO27" s="8"/>
      <c r="JP27" s="8">
        <v>3323859.24</v>
      </c>
      <c r="JQ27" s="8"/>
      <c r="JR27" s="8"/>
      <c r="JS27" s="8">
        <v>4051313.41</v>
      </c>
      <c r="JT27" s="8"/>
      <c r="JU27" s="8"/>
      <c r="JV27" s="8"/>
      <c r="JW27" s="8">
        <v>1158.49</v>
      </c>
      <c r="JX27" s="8"/>
      <c r="JY27" s="8"/>
      <c r="JZ27" s="8"/>
      <c r="KA27" s="8"/>
      <c r="KB27" s="8">
        <v>6517855.7800000003</v>
      </c>
      <c r="KC27" s="8"/>
      <c r="KD27" s="8"/>
      <c r="KE27" s="8"/>
      <c r="KF27" s="8"/>
      <c r="KG27" s="8"/>
      <c r="KH27" s="8">
        <v>1966294.1</v>
      </c>
      <c r="KI27" s="8"/>
      <c r="KJ27" s="8"/>
      <c r="KK27" s="8"/>
      <c r="KL27" s="8"/>
      <c r="KM27" s="8">
        <v>6570420.5</v>
      </c>
      <c r="KN27" s="8"/>
      <c r="KO27" s="8"/>
      <c r="KP27" s="8"/>
      <c r="KQ27" s="8"/>
      <c r="KR27" s="8"/>
      <c r="KS27" s="8"/>
      <c r="KT27" s="8"/>
      <c r="KU27" s="8"/>
      <c r="KV27" s="8"/>
      <c r="KW27" s="8"/>
      <c r="KX27" s="8"/>
      <c r="KY27" s="8"/>
      <c r="KZ27" s="8"/>
      <c r="LA27" s="8"/>
      <c r="LB27" s="8"/>
      <c r="LC27" s="8"/>
      <c r="LD27" s="8"/>
      <c r="LE27" s="8"/>
      <c r="LF27" s="8"/>
      <c r="LG27" s="8"/>
      <c r="LH27" s="8">
        <v>15049906.76</v>
      </c>
      <c r="LI27" s="8">
        <v>21882582.27</v>
      </c>
      <c r="LJ27" s="8"/>
      <c r="LK27" s="8"/>
      <c r="LL27" s="8"/>
      <c r="LM27" s="8"/>
      <c r="LN27" s="8"/>
      <c r="LO27" s="8"/>
      <c r="LP27" s="8"/>
      <c r="LQ27" s="8"/>
      <c r="LR27" s="8">
        <v>62667648.549999997</v>
      </c>
      <c r="LS27" s="8"/>
      <c r="LT27" s="8"/>
      <c r="LU27" s="8"/>
      <c r="LV27" s="8"/>
      <c r="LW27" s="8"/>
      <c r="LX27" s="8"/>
      <c r="LY27" s="8"/>
      <c r="LZ27" s="8"/>
      <c r="MA27" s="8"/>
      <c r="MB27" s="8"/>
      <c r="MC27" s="8"/>
      <c r="MD27" s="8"/>
      <c r="ME27" s="8"/>
      <c r="MF27" s="8"/>
      <c r="MG27" s="8"/>
      <c r="MH27" s="8"/>
      <c r="MI27" s="8"/>
      <c r="MJ27" s="8"/>
      <c r="MK27" s="8"/>
      <c r="ML27" s="8"/>
      <c r="MM27" s="8"/>
      <c r="MN27" s="8"/>
      <c r="MO27" s="8"/>
      <c r="MP27" s="8"/>
      <c r="MQ27" s="8"/>
      <c r="MR27" s="8"/>
      <c r="MS27" s="8"/>
      <c r="MT27" s="8"/>
      <c r="MU27" s="8">
        <v>40795254.729999997</v>
      </c>
      <c r="MV27" s="8"/>
      <c r="MW27" s="8">
        <v>51365765.420000002</v>
      </c>
      <c r="MX27" s="8"/>
      <c r="MY27" s="8"/>
      <c r="MZ27" s="8"/>
      <c r="NA27" s="8"/>
      <c r="NB27" s="8"/>
      <c r="NC27" s="8"/>
      <c r="ND27" s="8"/>
      <c r="NE27" s="8"/>
      <c r="NF27" s="8"/>
      <c r="NG27" s="8"/>
      <c r="NH27" s="8"/>
      <c r="NI27" s="8"/>
      <c r="NJ27" s="8"/>
      <c r="NK27" s="8"/>
      <c r="NL27" s="8">
        <v>1282.76</v>
      </c>
      <c r="NM27" s="8"/>
      <c r="NN27" s="8"/>
      <c r="NO27" s="8"/>
      <c r="NP27" s="8">
        <v>0.14000000000000001</v>
      </c>
      <c r="NQ27" s="8"/>
      <c r="NR27" s="8">
        <v>11289537.65</v>
      </c>
      <c r="NS27" s="8"/>
      <c r="NT27" s="8"/>
      <c r="NU27" s="8"/>
      <c r="NV27" s="8"/>
      <c r="NW27" s="8"/>
      <c r="NX27" s="8">
        <v>20575871.57</v>
      </c>
      <c r="NY27" s="8"/>
      <c r="NZ27" s="8"/>
      <c r="OA27" s="8"/>
      <c r="OB27" s="8"/>
      <c r="OC27" s="8"/>
      <c r="OD27" s="8"/>
      <c r="OE27" s="8"/>
      <c r="OF27" s="8"/>
      <c r="OG27" s="8"/>
      <c r="OH27" s="8"/>
      <c r="OI27" s="8"/>
      <c r="OJ27" s="8"/>
      <c r="OK27" s="8"/>
      <c r="OL27" s="8"/>
      <c r="OM27" s="8"/>
      <c r="ON27" s="8"/>
      <c r="OO27" s="8"/>
      <c r="OP27" s="8"/>
      <c r="OQ27" s="5">
        <v>442732752.59000003</v>
      </c>
    </row>
    <row r="28" spans="2:407" x14ac:dyDescent="0.2">
      <c r="B28" t="s">
        <v>84</v>
      </c>
      <c r="C28" t="s">
        <v>16</v>
      </c>
      <c r="D28" s="8">
        <v>2301201.62</v>
      </c>
      <c r="E28" s="8"/>
      <c r="F28" s="8"/>
      <c r="G28" s="8"/>
      <c r="H28" s="8">
        <v>5812.4</v>
      </c>
      <c r="I28" s="8"/>
      <c r="J28" s="8"/>
      <c r="K28" s="8"/>
      <c r="L28" s="8">
        <v>3217763.93</v>
      </c>
      <c r="M28" s="8"/>
      <c r="N28" s="8"/>
      <c r="O28" s="8">
        <v>2797.67</v>
      </c>
      <c r="P28" s="8"/>
      <c r="Q28" s="8">
        <v>555456.22</v>
      </c>
      <c r="R28" s="8">
        <v>1643112.63</v>
      </c>
      <c r="S28" s="8">
        <v>1019339.43</v>
      </c>
      <c r="T28" s="8"/>
      <c r="U28" s="8">
        <v>1749956.63</v>
      </c>
      <c r="V28" s="8">
        <v>1792641.87</v>
      </c>
      <c r="W28" s="8"/>
      <c r="X28" s="8">
        <v>369482.45</v>
      </c>
      <c r="Y28" s="8"/>
      <c r="Z28" s="8">
        <v>2717203.37</v>
      </c>
      <c r="AA28" s="8"/>
      <c r="AB28" s="8">
        <v>617865.80000000005</v>
      </c>
      <c r="AC28" s="8"/>
      <c r="AD28" s="8"/>
      <c r="AE28" s="8">
        <v>1.0900000000000001</v>
      </c>
      <c r="AF28" s="8">
        <v>1868265.09</v>
      </c>
      <c r="AG28" s="8">
        <v>716027.5</v>
      </c>
      <c r="AH28" s="8">
        <v>525128.56000000006</v>
      </c>
      <c r="AI28" s="8"/>
      <c r="AJ28" s="8"/>
      <c r="AK28" s="8">
        <v>1570208.16</v>
      </c>
      <c r="AL28" s="8"/>
      <c r="AM28" s="8">
        <v>1447.59</v>
      </c>
      <c r="AN28" s="8">
        <v>2.0699999999999998</v>
      </c>
      <c r="AO28" s="8"/>
      <c r="AP28" s="8">
        <v>0.33</v>
      </c>
      <c r="AQ28" s="8"/>
      <c r="AR28" s="8"/>
      <c r="AS28" s="8"/>
      <c r="AT28" s="8"/>
      <c r="AU28" s="8"/>
      <c r="AV28" s="8"/>
      <c r="AW28" s="8">
        <v>4563767.58</v>
      </c>
      <c r="AX28" s="8"/>
      <c r="AY28" s="8"/>
      <c r="AZ28" s="8">
        <v>19934.759999999998</v>
      </c>
      <c r="BA28" s="8"/>
      <c r="BB28" s="8"/>
      <c r="BC28" s="8">
        <v>6330657.4500000002</v>
      </c>
      <c r="BD28" s="8"/>
      <c r="BE28" s="8">
        <v>2405461.06</v>
      </c>
      <c r="BF28" s="8"/>
      <c r="BG28" s="8"/>
      <c r="BH28" s="8"/>
      <c r="BI28" s="8"/>
      <c r="BJ28" s="8"/>
      <c r="BK28" s="8">
        <v>7838763.7800000003</v>
      </c>
      <c r="BL28" s="8"/>
      <c r="BM28" s="8">
        <v>4203550.46</v>
      </c>
      <c r="BN28" s="8"/>
      <c r="BO28" s="8"/>
      <c r="BP28" s="8"/>
      <c r="BQ28" s="8"/>
      <c r="BR28" s="8">
        <v>2880000.97</v>
      </c>
      <c r="BS28" s="8"/>
      <c r="BT28" s="8">
        <v>6191341.04</v>
      </c>
      <c r="BU28" s="8">
        <v>436.56</v>
      </c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>
        <v>4229.91</v>
      </c>
      <c r="CM28" s="8"/>
      <c r="CN28" s="8"/>
      <c r="CO28" s="8"/>
      <c r="CP28" s="8"/>
      <c r="CQ28" s="8"/>
      <c r="CR28" s="8"/>
      <c r="CS28" s="8"/>
      <c r="CT28" s="8"/>
      <c r="CU28" s="8"/>
      <c r="CV28" s="8">
        <v>6960108.5199999996</v>
      </c>
      <c r="CW28" s="8"/>
      <c r="CX28" s="8"/>
      <c r="CY28" s="8">
        <v>4445799.91</v>
      </c>
      <c r="CZ28" s="8"/>
      <c r="DA28" s="8">
        <v>7310015.9299999997</v>
      </c>
      <c r="DB28" s="8"/>
      <c r="DC28" s="8"/>
      <c r="DD28" s="8"/>
      <c r="DE28" s="8"/>
      <c r="DF28" s="8">
        <v>7681200.3899999997</v>
      </c>
      <c r="DG28" s="8"/>
      <c r="DH28" s="8"/>
      <c r="DI28" s="8"/>
      <c r="DJ28" s="8">
        <v>1563.29</v>
      </c>
      <c r="DK28" s="8"/>
      <c r="DL28" s="8"/>
      <c r="DM28" s="8">
        <v>550.21</v>
      </c>
      <c r="DN28" s="8"/>
      <c r="DO28" s="8"/>
      <c r="DP28" s="8"/>
      <c r="DQ28" s="8"/>
      <c r="DR28" s="8"/>
      <c r="DS28" s="8"/>
      <c r="DT28" s="8"/>
      <c r="DU28" s="8">
        <v>5211341.76</v>
      </c>
      <c r="DV28" s="8"/>
      <c r="DW28" s="8">
        <v>12407335.130000001</v>
      </c>
      <c r="DX28" s="8">
        <v>1734003.23</v>
      </c>
      <c r="DY28" s="8">
        <v>619.91999999999996</v>
      </c>
      <c r="DZ28" s="8"/>
      <c r="EA28" s="8"/>
      <c r="EB28" s="8">
        <v>9440.8799999999992</v>
      </c>
      <c r="EC28" s="8"/>
      <c r="ED28" s="8">
        <v>11505509.359999999</v>
      </c>
      <c r="EE28" s="8">
        <v>9331033.2200000007</v>
      </c>
      <c r="EF28" s="8"/>
      <c r="EG28" s="8"/>
      <c r="EH28" s="8">
        <v>12124925.869999999</v>
      </c>
      <c r="EI28" s="8"/>
      <c r="EJ28" s="8"/>
      <c r="EK28" s="8"/>
      <c r="EL28" s="8"/>
      <c r="EM28" s="8"/>
      <c r="EN28" s="8"/>
      <c r="EO28" s="8"/>
      <c r="EP28" s="8"/>
      <c r="EQ28" s="8"/>
      <c r="ER28" s="8"/>
      <c r="ES28" s="8"/>
      <c r="ET28" s="8"/>
      <c r="EU28" s="8"/>
      <c r="EV28" s="8">
        <v>17425277.609999999</v>
      </c>
      <c r="EW28" s="8"/>
      <c r="EX28" s="8"/>
      <c r="EY28" s="8"/>
      <c r="EZ28" s="8"/>
      <c r="FA28" s="8"/>
      <c r="FB28" s="8"/>
      <c r="FC28" s="8"/>
      <c r="FD28" s="8"/>
      <c r="FE28" s="8"/>
      <c r="FF28" s="8"/>
      <c r="FG28" s="8"/>
      <c r="FH28" s="8"/>
      <c r="FI28" s="8"/>
      <c r="FJ28" s="8"/>
      <c r="FK28" s="8"/>
      <c r="FL28" s="8"/>
      <c r="FM28" s="8"/>
      <c r="FN28" s="8"/>
      <c r="FO28" s="8"/>
      <c r="FP28" s="8"/>
      <c r="FQ28" s="8"/>
      <c r="FR28" s="8"/>
      <c r="FS28" s="8"/>
      <c r="FT28" s="8"/>
      <c r="FU28" s="8"/>
      <c r="FV28" s="8"/>
      <c r="FW28" s="8"/>
      <c r="FX28" s="8"/>
      <c r="FY28" s="8">
        <v>7102376.79</v>
      </c>
      <c r="FZ28" s="8"/>
      <c r="GA28" s="8"/>
      <c r="GB28" s="8"/>
      <c r="GC28" s="8"/>
      <c r="GD28" s="8"/>
      <c r="GE28" s="8">
        <v>16039445.17</v>
      </c>
      <c r="GF28" s="8">
        <v>22249278.25</v>
      </c>
      <c r="GG28" s="8"/>
      <c r="GH28" s="8"/>
      <c r="GI28" s="8"/>
      <c r="GJ28" s="8"/>
      <c r="GK28" s="8"/>
      <c r="GL28" s="8"/>
      <c r="GM28" s="8"/>
      <c r="GN28" s="8"/>
      <c r="GO28" s="8"/>
      <c r="GP28" s="8"/>
      <c r="GQ28" s="8"/>
      <c r="GR28" s="8"/>
      <c r="GS28" s="8">
        <v>7175.05</v>
      </c>
      <c r="GT28" s="8"/>
      <c r="GU28" s="8"/>
      <c r="GV28" s="8"/>
      <c r="GW28" s="8"/>
      <c r="GX28" s="8"/>
      <c r="GY28" s="8"/>
      <c r="GZ28" s="8">
        <v>0.73</v>
      </c>
      <c r="HA28" s="8"/>
      <c r="HB28" s="8"/>
      <c r="HC28" s="8"/>
      <c r="HD28" s="8">
        <v>10739485.92</v>
      </c>
      <c r="HE28" s="8"/>
      <c r="HF28" s="8"/>
      <c r="HG28" s="8"/>
      <c r="HH28" s="8"/>
      <c r="HI28" s="8"/>
      <c r="HJ28" s="8"/>
      <c r="HK28" s="8"/>
      <c r="HL28" s="8"/>
      <c r="HM28" s="8"/>
      <c r="HN28" s="8"/>
      <c r="HO28" s="8"/>
      <c r="HP28" s="8"/>
      <c r="HQ28" s="8"/>
      <c r="HR28" s="8"/>
      <c r="HS28" s="8"/>
      <c r="HT28" s="8">
        <v>5893437.6399999997</v>
      </c>
      <c r="HU28" s="8"/>
      <c r="HV28" s="8"/>
      <c r="HW28" s="8"/>
      <c r="HX28" s="8">
        <v>5636327.6699999999</v>
      </c>
      <c r="HY28" s="8"/>
      <c r="HZ28" s="8">
        <v>679.21</v>
      </c>
      <c r="IA28" s="8">
        <v>4007731.18</v>
      </c>
      <c r="IB28" s="8">
        <v>6297837.3200000003</v>
      </c>
      <c r="IC28" s="8"/>
      <c r="ID28" s="8"/>
      <c r="IE28" s="8"/>
      <c r="IF28" s="8"/>
      <c r="IG28" s="8"/>
      <c r="IH28" s="8"/>
      <c r="II28" s="8"/>
      <c r="IJ28" s="8"/>
      <c r="IK28" s="8"/>
      <c r="IL28" s="8"/>
      <c r="IM28" s="8"/>
      <c r="IN28" s="8"/>
      <c r="IO28" s="8"/>
      <c r="IP28" s="8"/>
      <c r="IQ28" s="8"/>
      <c r="IR28" s="8"/>
      <c r="IS28" s="8"/>
      <c r="IT28" s="8"/>
      <c r="IU28" s="8"/>
      <c r="IV28" s="8"/>
      <c r="IW28" s="8"/>
      <c r="IX28" s="8"/>
      <c r="IY28" s="8"/>
      <c r="IZ28" s="8"/>
      <c r="JA28" s="8">
        <v>1931999.79</v>
      </c>
      <c r="JB28" s="8"/>
      <c r="JC28" s="8"/>
      <c r="JD28" s="8"/>
      <c r="JE28" s="8"/>
      <c r="JF28" s="8">
        <v>1499450.64</v>
      </c>
      <c r="JG28" s="8"/>
      <c r="JH28" s="8">
        <v>3419272.62</v>
      </c>
      <c r="JI28" s="8">
        <v>4899055.5199999996</v>
      </c>
      <c r="JJ28" s="8"/>
      <c r="JK28" s="8"/>
      <c r="JL28" s="8">
        <v>1039.79</v>
      </c>
      <c r="JM28" s="8"/>
      <c r="JN28" s="8"/>
      <c r="JO28" s="8"/>
      <c r="JP28" s="8">
        <v>1746843.71</v>
      </c>
      <c r="JQ28" s="8"/>
      <c r="JR28" s="8"/>
      <c r="JS28" s="8"/>
      <c r="JT28" s="8"/>
      <c r="JU28" s="8"/>
      <c r="JV28" s="8"/>
      <c r="JW28" s="8">
        <v>1053515.48</v>
      </c>
      <c r="JX28" s="8">
        <v>2531368.23</v>
      </c>
      <c r="JY28" s="8"/>
      <c r="JZ28" s="8"/>
      <c r="KA28" s="8"/>
      <c r="KB28" s="8"/>
      <c r="KC28" s="8"/>
      <c r="KD28" s="8">
        <v>1843486.31</v>
      </c>
      <c r="KE28" s="8">
        <v>1503681.15</v>
      </c>
      <c r="KF28" s="8">
        <v>3922056.88</v>
      </c>
      <c r="KG28" s="8"/>
      <c r="KH28" s="8"/>
      <c r="KI28" s="8"/>
      <c r="KJ28" s="8"/>
      <c r="KK28" s="8">
        <v>2395340.9</v>
      </c>
      <c r="KL28" s="8"/>
      <c r="KM28" s="8">
        <v>1957323.5</v>
      </c>
      <c r="KN28" s="8">
        <v>6351670.0199999996</v>
      </c>
      <c r="KO28" s="8"/>
      <c r="KP28" s="8"/>
      <c r="KQ28" s="8"/>
      <c r="KR28" s="8"/>
      <c r="KS28" s="8"/>
      <c r="KT28" s="8"/>
      <c r="KU28" s="8">
        <v>1122.68</v>
      </c>
      <c r="KV28" s="8"/>
      <c r="KW28" s="8"/>
      <c r="KX28" s="8"/>
      <c r="KY28" s="8"/>
      <c r="KZ28" s="8">
        <v>12766048.560000001</v>
      </c>
      <c r="LA28" s="8">
        <v>13449896.59</v>
      </c>
      <c r="LB28" s="8"/>
      <c r="LC28" s="8"/>
      <c r="LD28" s="8"/>
      <c r="LE28" s="8"/>
      <c r="LF28" s="8"/>
      <c r="LG28" s="8"/>
      <c r="LH28" s="8"/>
      <c r="LI28" s="8"/>
      <c r="LJ28" s="8">
        <v>877.34</v>
      </c>
      <c r="LK28" s="8"/>
      <c r="LL28" s="8"/>
      <c r="LM28" s="8"/>
      <c r="LN28" s="8"/>
      <c r="LO28" s="8"/>
      <c r="LP28" s="8"/>
      <c r="LQ28" s="8"/>
      <c r="LR28" s="8"/>
      <c r="LS28" s="8"/>
      <c r="LT28" s="8">
        <v>21401609.5</v>
      </c>
      <c r="LU28" s="8">
        <v>23361749.75</v>
      </c>
      <c r="LV28" s="8"/>
      <c r="LW28" s="8">
        <v>7185272.7400000002</v>
      </c>
      <c r="LX28" s="8"/>
      <c r="LY28" s="8"/>
      <c r="LZ28" s="8"/>
      <c r="MA28" s="8"/>
      <c r="MB28" s="8"/>
      <c r="MC28" s="8"/>
      <c r="MD28" s="8"/>
      <c r="ME28" s="8"/>
      <c r="MF28" s="8"/>
      <c r="MG28" s="8"/>
      <c r="MH28" s="8"/>
      <c r="MI28" s="8">
        <v>22436822.16</v>
      </c>
      <c r="MJ28" s="8"/>
      <c r="MK28" s="8"/>
      <c r="ML28" s="8"/>
      <c r="MM28" s="8"/>
      <c r="MN28" s="8"/>
      <c r="MO28" s="8"/>
      <c r="MP28" s="8">
        <v>8171880.46</v>
      </c>
      <c r="MQ28" s="8"/>
      <c r="MR28" s="8"/>
      <c r="MS28" s="8"/>
      <c r="MT28" s="8"/>
      <c r="MU28" s="8"/>
      <c r="MV28" s="8"/>
      <c r="MW28" s="8"/>
      <c r="MX28" s="8"/>
      <c r="MY28" s="8"/>
      <c r="MZ28" s="8"/>
      <c r="NA28" s="8"/>
      <c r="NB28" s="8">
        <v>19850730.16</v>
      </c>
      <c r="NC28" s="8"/>
      <c r="ND28" s="8">
        <v>13471730.939999999</v>
      </c>
      <c r="NE28" s="8"/>
      <c r="NF28" s="8"/>
      <c r="NG28" s="8"/>
      <c r="NH28" s="8"/>
      <c r="NI28" s="8"/>
      <c r="NJ28" s="8">
        <v>16396631.75</v>
      </c>
      <c r="NK28" s="8"/>
      <c r="NL28" s="8"/>
      <c r="NM28" s="8"/>
      <c r="NN28" s="8"/>
      <c r="NO28" s="8"/>
      <c r="NP28" s="8"/>
      <c r="NQ28" s="8"/>
      <c r="NR28" s="8"/>
      <c r="NS28" s="8"/>
      <c r="NT28" s="8"/>
      <c r="NU28" s="8"/>
      <c r="NV28" s="8"/>
      <c r="NW28" s="8"/>
      <c r="NX28" s="8"/>
      <c r="NY28" s="8"/>
      <c r="NZ28" s="8"/>
      <c r="OA28" s="8">
        <v>4601975.01</v>
      </c>
      <c r="OB28" s="8">
        <v>6866328.1399999997</v>
      </c>
      <c r="OC28" s="8"/>
      <c r="OD28" s="8"/>
      <c r="OE28" s="8">
        <v>12716949.220000001</v>
      </c>
      <c r="OF28" s="8"/>
      <c r="OG28" s="8"/>
      <c r="OH28" s="8">
        <v>748.86</v>
      </c>
      <c r="OI28" s="8">
        <v>7260235.7800000003</v>
      </c>
      <c r="OJ28" s="8"/>
      <c r="OK28" s="8">
        <v>6529611.3600000003</v>
      </c>
      <c r="OL28" s="8"/>
      <c r="OM28" s="8"/>
      <c r="ON28" s="8"/>
      <c r="OO28" s="8"/>
      <c r="OP28" s="8"/>
      <c r="OQ28" s="5">
        <v>460760683.67999995</v>
      </c>
    </row>
    <row r="29" spans="2:407" x14ac:dyDescent="0.2">
      <c r="B29" t="s">
        <v>85</v>
      </c>
      <c r="C29" t="s">
        <v>24</v>
      </c>
      <c r="D29" s="8">
        <v>3315397.58</v>
      </c>
      <c r="E29" s="8"/>
      <c r="F29" s="8"/>
      <c r="G29" s="8">
        <v>1114.6199999999999</v>
      </c>
      <c r="H29" s="8"/>
      <c r="I29" s="8"/>
      <c r="J29" s="8"/>
      <c r="K29" s="8"/>
      <c r="L29" s="8">
        <v>13460056.23</v>
      </c>
      <c r="M29" s="8"/>
      <c r="N29" s="8"/>
      <c r="O29" s="8"/>
      <c r="P29" s="8"/>
      <c r="Q29" s="8">
        <v>0.4</v>
      </c>
      <c r="R29" s="8">
        <v>5616881.2000000002</v>
      </c>
      <c r="S29" s="8"/>
      <c r="T29" s="8">
        <v>7288362.6100000003</v>
      </c>
      <c r="U29" s="8"/>
      <c r="V29" s="8">
        <v>5280.73</v>
      </c>
      <c r="W29" s="8">
        <v>2238036.5699999998</v>
      </c>
      <c r="X29" s="8"/>
      <c r="Y29" s="8">
        <v>2704018.91</v>
      </c>
      <c r="Z29" s="8">
        <v>7841205.4100000001</v>
      </c>
      <c r="AA29" s="8">
        <v>4094107.9</v>
      </c>
      <c r="AB29" s="8"/>
      <c r="AC29" s="8"/>
      <c r="AD29" s="8">
        <v>0.37</v>
      </c>
      <c r="AE29" s="8"/>
      <c r="AF29" s="8">
        <v>7015308.21</v>
      </c>
      <c r="AG29" s="8"/>
      <c r="AH29" s="8"/>
      <c r="AI29" s="8"/>
      <c r="AJ29" s="8">
        <v>2012819.07</v>
      </c>
      <c r="AK29" s="8">
        <v>1943601.88</v>
      </c>
      <c r="AL29" s="8"/>
      <c r="AM29" s="8"/>
      <c r="AN29" s="8"/>
      <c r="AO29" s="8"/>
      <c r="AP29" s="8"/>
      <c r="AQ29" s="8">
        <v>3393388.22</v>
      </c>
      <c r="AR29" s="8"/>
      <c r="AS29" s="8"/>
      <c r="AT29" s="8">
        <v>2253503.44</v>
      </c>
      <c r="AU29" s="8">
        <v>1870949.94</v>
      </c>
      <c r="AV29" s="8">
        <v>2792345.66</v>
      </c>
      <c r="AW29" s="8">
        <v>3273813.42</v>
      </c>
      <c r="AX29" s="8"/>
      <c r="AY29" s="8"/>
      <c r="AZ29" s="8">
        <v>3337890.47</v>
      </c>
      <c r="BA29" s="8"/>
      <c r="BB29" s="8"/>
      <c r="BC29" s="8"/>
      <c r="BD29" s="8"/>
      <c r="BE29" s="8"/>
      <c r="BF29" s="8">
        <v>17546499.050000001</v>
      </c>
      <c r="BG29" s="8">
        <v>25718708.32</v>
      </c>
      <c r="BH29" s="8"/>
      <c r="BI29" s="8"/>
      <c r="BJ29" s="8"/>
      <c r="BK29" s="8">
        <v>9278827.7599999998</v>
      </c>
      <c r="BL29" s="8"/>
      <c r="BM29" s="8"/>
      <c r="BN29" s="8"/>
      <c r="BO29" s="8"/>
      <c r="BP29" s="8"/>
      <c r="BQ29" s="8"/>
      <c r="BR29" s="8"/>
      <c r="BS29" s="8"/>
      <c r="BT29" s="8">
        <v>1103.3399999999999</v>
      </c>
      <c r="BU29" s="8"/>
      <c r="BV29" s="8"/>
      <c r="BW29" s="8"/>
      <c r="BX29" s="8"/>
      <c r="BY29" s="8"/>
      <c r="BZ29" s="8"/>
      <c r="CA29" s="8">
        <v>22200211.300000001</v>
      </c>
      <c r="CB29" s="8">
        <v>11668104.220000001</v>
      </c>
      <c r="CC29" s="8"/>
      <c r="CD29" s="8">
        <v>12659209.640000001</v>
      </c>
      <c r="CE29" s="8"/>
      <c r="CF29" s="8"/>
      <c r="CG29" s="8"/>
      <c r="CH29" s="8"/>
      <c r="CI29" s="8">
        <v>10314.5</v>
      </c>
      <c r="CJ29" s="8"/>
      <c r="CK29" s="8">
        <v>9338736.3800000008</v>
      </c>
      <c r="CL29" s="8">
        <v>20101032.73</v>
      </c>
      <c r="CM29" s="8"/>
      <c r="CN29" s="8"/>
      <c r="CO29" s="8"/>
      <c r="CP29" s="8"/>
      <c r="CQ29" s="8">
        <v>11176614.68</v>
      </c>
      <c r="CR29" s="8"/>
      <c r="CS29" s="8"/>
      <c r="CT29" s="8">
        <v>17490198.809999999</v>
      </c>
      <c r="CU29" s="8"/>
      <c r="CV29" s="8"/>
      <c r="CW29" s="8"/>
      <c r="CX29" s="8"/>
      <c r="CY29" s="8"/>
      <c r="CZ29" s="8"/>
      <c r="DA29" s="8"/>
      <c r="DB29" s="8"/>
      <c r="DC29" s="8">
        <v>5959897.5800000001</v>
      </c>
      <c r="DD29" s="8"/>
      <c r="DE29" s="8"/>
      <c r="DF29" s="8">
        <v>13472668.029999999</v>
      </c>
      <c r="DG29" s="8"/>
      <c r="DH29" s="8"/>
      <c r="DI29" s="8"/>
      <c r="DJ29" s="8"/>
      <c r="DK29" s="8"/>
      <c r="DL29" s="8"/>
      <c r="DM29" s="8"/>
      <c r="DN29" s="8"/>
      <c r="DO29" s="8"/>
      <c r="DP29" s="8">
        <v>25934757.98</v>
      </c>
      <c r="DQ29" s="8"/>
      <c r="DR29" s="8"/>
      <c r="DS29" s="8"/>
      <c r="DT29" s="8"/>
      <c r="DU29" s="8"/>
      <c r="DV29" s="8"/>
      <c r="DW29" s="8"/>
      <c r="DX29" s="8">
        <v>29303736.559999999</v>
      </c>
      <c r="DY29" s="8">
        <v>1345.83</v>
      </c>
      <c r="DZ29" s="8"/>
      <c r="EA29" s="8"/>
      <c r="EB29" s="8"/>
      <c r="EC29" s="8"/>
      <c r="ED29" s="8"/>
      <c r="EE29" s="8"/>
      <c r="EF29" s="8"/>
      <c r="EG29" s="8"/>
      <c r="EH29" s="8"/>
      <c r="EI29" s="8">
        <v>1.22</v>
      </c>
      <c r="EJ29" s="8"/>
      <c r="EK29" s="8"/>
      <c r="EL29" s="8"/>
      <c r="EM29" s="8">
        <v>15340290.91</v>
      </c>
      <c r="EN29" s="8"/>
      <c r="EO29" s="8"/>
      <c r="EP29" s="8"/>
      <c r="EQ29" s="8"/>
      <c r="ER29" s="8"/>
      <c r="ES29" s="8"/>
      <c r="ET29" s="8"/>
      <c r="EU29" s="8"/>
      <c r="EV29" s="8"/>
      <c r="EW29" s="8"/>
      <c r="EX29" s="8">
        <v>94440182.540000007</v>
      </c>
      <c r="EY29" s="8"/>
      <c r="EZ29" s="8"/>
      <c r="FA29" s="8"/>
      <c r="FB29" s="8"/>
      <c r="FC29" s="8"/>
      <c r="FD29" s="8"/>
      <c r="FE29" s="8"/>
      <c r="FF29" s="8"/>
      <c r="FG29" s="8"/>
      <c r="FH29" s="8"/>
      <c r="FI29" s="8"/>
      <c r="FJ29" s="8"/>
      <c r="FK29" s="8"/>
      <c r="FL29" s="8"/>
      <c r="FM29" s="8">
        <v>50151385.829999998</v>
      </c>
      <c r="FN29" s="8"/>
      <c r="FO29" s="8"/>
      <c r="FP29" s="8"/>
      <c r="FQ29" s="8"/>
      <c r="FR29" s="8">
        <v>26526594.629999999</v>
      </c>
      <c r="FS29" s="8"/>
      <c r="FT29" s="8"/>
      <c r="FU29" s="8"/>
      <c r="FV29" s="8"/>
      <c r="FW29" s="8"/>
      <c r="FX29" s="8"/>
      <c r="FY29" s="8">
        <v>30716432.82</v>
      </c>
      <c r="FZ29" s="8"/>
      <c r="GA29" s="8"/>
      <c r="GB29" s="8">
        <v>496.15</v>
      </c>
      <c r="GC29" s="8"/>
      <c r="GD29" s="8"/>
      <c r="GE29" s="8">
        <v>42071141.060000002</v>
      </c>
      <c r="GF29" s="8"/>
      <c r="GG29" s="8"/>
      <c r="GH29" s="8"/>
      <c r="GI29" s="8"/>
      <c r="GJ29" s="8"/>
      <c r="GK29" s="8"/>
      <c r="GL29" s="8"/>
      <c r="GM29" s="8"/>
      <c r="GN29" s="8"/>
      <c r="GO29" s="8"/>
      <c r="GP29" s="8"/>
      <c r="GQ29" s="8"/>
      <c r="GR29" s="8"/>
      <c r="GS29" s="8">
        <v>24622951.02</v>
      </c>
      <c r="GT29" s="8"/>
      <c r="GU29" s="8"/>
      <c r="GV29" s="8">
        <v>16682840.289999999</v>
      </c>
      <c r="GW29" s="8"/>
      <c r="GX29" s="8"/>
      <c r="GY29" s="8"/>
      <c r="GZ29" s="8"/>
      <c r="HA29" s="8">
        <v>254.52</v>
      </c>
      <c r="HB29" s="8"/>
      <c r="HC29" s="8"/>
      <c r="HD29" s="8"/>
      <c r="HE29" s="8"/>
      <c r="HF29" s="8"/>
      <c r="HG29" s="8">
        <v>1341.29</v>
      </c>
      <c r="HH29" s="8">
        <v>10007915.609999999</v>
      </c>
      <c r="HI29" s="8"/>
      <c r="HJ29" s="8"/>
      <c r="HK29" s="8"/>
      <c r="HL29" s="8">
        <v>23802325.949999999</v>
      </c>
      <c r="HM29" s="8"/>
      <c r="HN29" s="8">
        <v>18834304.800000001</v>
      </c>
      <c r="HO29" s="8"/>
      <c r="HP29" s="8"/>
      <c r="HQ29" s="8"/>
      <c r="HR29" s="8"/>
      <c r="HS29" s="8">
        <v>33205444.82</v>
      </c>
      <c r="HT29" s="8"/>
      <c r="HU29" s="8"/>
      <c r="HV29" s="8"/>
      <c r="HW29" s="8">
        <v>9358311.9499999993</v>
      </c>
      <c r="HX29" s="8"/>
      <c r="HY29" s="8"/>
      <c r="HZ29" s="8"/>
      <c r="IA29" s="8">
        <v>10342558.859999999</v>
      </c>
      <c r="IB29" s="8"/>
      <c r="IC29" s="8"/>
      <c r="ID29" s="8"/>
      <c r="IE29" s="8"/>
      <c r="IF29" s="8"/>
      <c r="IG29" s="8">
        <v>19036699.25</v>
      </c>
      <c r="IH29" s="8"/>
      <c r="II29" s="8">
        <v>10126832.98</v>
      </c>
      <c r="IJ29" s="8"/>
      <c r="IK29" s="8">
        <v>8855106.0199999996</v>
      </c>
      <c r="IL29" s="8"/>
      <c r="IM29" s="8"/>
      <c r="IN29" s="8">
        <v>9454327.1199999992</v>
      </c>
      <c r="IO29" s="8"/>
      <c r="IP29" s="8"/>
      <c r="IQ29" s="8"/>
      <c r="IR29" s="8"/>
      <c r="IS29" s="8"/>
      <c r="IT29" s="8"/>
      <c r="IU29" s="8">
        <v>6538831.3700000001</v>
      </c>
      <c r="IV29" s="8"/>
      <c r="IW29" s="8"/>
      <c r="IX29" s="8"/>
      <c r="IY29" s="8">
        <v>10011375.279999999</v>
      </c>
      <c r="IZ29" s="8"/>
      <c r="JA29" s="8">
        <v>13277425.91</v>
      </c>
      <c r="JB29" s="8">
        <v>3214.13</v>
      </c>
      <c r="JC29" s="8"/>
      <c r="JD29" s="8"/>
      <c r="JE29" s="8"/>
      <c r="JF29" s="8"/>
      <c r="JG29" s="8">
        <v>670.9</v>
      </c>
      <c r="JH29" s="8"/>
      <c r="JI29" s="8"/>
      <c r="JJ29" s="8"/>
      <c r="JK29" s="8"/>
      <c r="JL29" s="8"/>
      <c r="JM29" s="8">
        <v>11022404.050000001</v>
      </c>
      <c r="JN29" s="8"/>
      <c r="JO29" s="8"/>
      <c r="JP29" s="8">
        <v>9702224.5199999996</v>
      </c>
      <c r="JQ29" s="8"/>
      <c r="JR29" s="8"/>
      <c r="JS29" s="8"/>
      <c r="JT29" s="8"/>
      <c r="JU29" s="8"/>
      <c r="JV29" s="8"/>
      <c r="JW29" s="8">
        <v>12889.47</v>
      </c>
      <c r="JX29" s="8">
        <v>23260426.190000001</v>
      </c>
      <c r="JY29" s="8">
        <v>4316363.6900000004</v>
      </c>
      <c r="JZ29" s="8"/>
      <c r="KA29" s="8"/>
      <c r="KB29" s="8"/>
      <c r="KC29" s="8"/>
      <c r="KD29" s="8"/>
      <c r="KE29" s="8">
        <v>4131013.46</v>
      </c>
      <c r="KF29" s="8">
        <v>31233721.949999999</v>
      </c>
      <c r="KG29" s="8"/>
      <c r="KH29" s="8"/>
      <c r="KI29" s="8"/>
      <c r="KJ29" s="8"/>
      <c r="KK29" s="8"/>
      <c r="KL29" s="8"/>
      <c r="KM29" s="8"/>
      <c r="KN29" s="8"/>
      <c r="KO29" s="8"/>
      <c r="KP29" s="8">
        <v>60800301.329999998</v>
      </c>
      <c r="KQ29" s="8"/>
      <c r="KR29" s="8"/>
      <c r="KS29" s="8"/>
      <c r="KT29" s="8">
        <v>42530498.140000001</v>
      </c>
      <c r="KU29" s="8"/>
      <c r="KV29" s="8"/>
      <c r="KW29" s="8">
        <v>135150133.38</v>
      </c>
      <c r="KX29" s="8"/>
      <c r="KY29" s="8"/>
      <c r="KZ29" s="8">
        <v>49038546.659999996</v>
      </c>
      <c r="LA29" s="8"/>
      <c r="LB29" s="8"/>
      <c r="LC29" s="8"/>
      <c r="LD29" s="8"/>
      <c r="LE29" s="8"/>
      <c r="LF29" s="8"/>
      <c r="LG29" s="8"/>
      <c r="LH29" s="8"/>
      <c r="LI29" s="8"/>
      <c r="LJ29" s="8"/>
      <c r="LK29" s="8"/>
      <c r="LL29" s="8"/>
      <c r="LM29" s="8"/>
      <c r="LN29" s="8"/>
      <c r="LO29" s="8"/>
      <c r="LP29" s="8"/>
      <c r="LQ29" s="8"/>
      <c r="LR29" s="8"/>
      <c r="LS29" s="8"/>
      <c r="LT29" s="8"/>
      <c r="LU29" s="8"/>
      <c r="LV29" s="8"/>
      <c r="LW29" s="8"/>
      <c r="LX29" s="8"/>
      <c r="LY29" s="8"/>
      <c r="LZ29" s="8"/>
      <c r="MA29" s="8"/>
      <c r="MB29" s="8"/>
      <c r="MC29" s="8"/>
      <c r="MD29" s="8"/>
      <c r="ME29" s="8">
        <v>48256187.18</v>
      </c>
      <c r="MF29" s="8"/>
      <c r="MG29" s="8"/>
      <c r="MH29" s="8"/>
      <c r="MI29" s="8"/>
      <c r="MJ29" s="8"/>
      <c r="MK29" s="8"/>
      <c r="ML29" s="8"/>
      <c r="MM29" s="8">
        <v>78861795.650000006</v>
      </c>
      <c r="MN29" s="8"/>
      <c r="MO29" s="8"/>
      <c r="MP29" s="8"/>
      <c r="MQ29" s="8"/>
      <c r="MR29" s="8"/>
      <c r="MS29" s="8"/>
      <c r="MT29" s="8">
        <v>0.51</v>
      </c>
      <c r="MU29" s="8">
        <v>117922172.55</v>
      </c>
      <c r="MV29" s="8"/>
      <c r="MW29" s="8"/>
      <c r="MX29" s="8"/>
      <c r="MY29" s="8"/>
      <c r="MZ29" s="8"/>
      <c r="NA29" s="8"/>
      <c r="NB29" s="8"/>
      <c r="NC29" s="8"/>
      <c r="ND29" s="8"/>
      <c r="NE29" s="8"/>
      <c r="NF29" s="8"/>
      <c r="NG29" s="8"/>
      <c r="NH29" s="8"/>
      <c r="NI29" s="8"/>
      <c r="NJ29" s="8"/>
      <c r="NK29" s="8"/>
      <c r="NL29" s="8"/>
      <c r="NM29" s="8"/>
      <c r="NN29" s="8"/>
      <c r="NO29" s="8"/>
      <c r="NP29" s="8"/>
      <c r="NQ29" s="8">
        <v>45546619.229999997</v>
      </c>
      <c r="NR29" s="8"/>
      <c r="NS29" s="8"/>
      <c r="NT29" s="8"/>
      <c r="NU29" s="8">
        <v>14655.33</v>
      </c>
      <c r="NV29" s="8"/>
      <c r="NW29" s="8"/>
      <c r="NX29" s="8"/>
      <c r="NY29" s="8">
        <v>17133821.129999999</v>
      </c>
      <c r="NZ29" s="8"/>
      <c r="OA29" s="8"/>
      <c r="OB29" s="8"/>
      <c r="OC29" s="8">
        <v>1.4</v>
      </c>
      <c r="OD29" s="8"/>
      <c r="OE29" s="8">
        <v>2038.25</v>
      </c>
      <c r="OF29" s="8"/>
      <c r="OG29" s="8"/>
      <c r="OH29" s="8"/>
      <c r="OI29" s="8">
        <v>5634.17</v>
      </c>
      <c r="OJ29" s="8"/>
      <c r="OK29" s="8"/>
      <c r="OL29" s="8"/>
      <c r="OM29" s="8"/>
      <c r="ON29" s="8"/>
      <c r="OO29" s="8"/>
      <c r="OP29" s="8"/>
      <c r="OQ29" s="5">
        <v>1468670755.0200005</v>
      </c>
    </row>
    <row r="30" spans="2:407" x14ac:dyDescent="0.2">
      <c r="B30" t="s">
        <v>86</v>
      </c>
      <c r="C30" t="s">
        <v>25</v>
      </c>
      <c r="D30" s="8"/>
      <c r="E30" s="8"/>
      <c r="F30" s="8"/>
      <c r="G30" s="8"/>
      <c r="H30" s="8"/>
      <c r="I30" s="8">
        <v>1035521.54</v>
      </c>
      <c r="J30" s="8"/>
      <c r="K30" s="8"/>
      <c r="L30" s="8"/>
      <c r="M30" s="8">
        <v>1386976.77</v>
      </c>
      <c r="N30" s="8">
        <v>4537873.5999999996</v>
      </c>
      <c r="O30" s="8"/>
      <c r="P30" s="8"/>
      <c r="Q30" s="8"/>
      <c r="R30" s="8"/>
      <c r="S30" s="8"/>
      <c r="T30" s="8">
        <v>7356093.96</v>
      </c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>
        <v>2690446.16</v>
      </c>
      <c r="AQ30" s="8"/>
      <c r="AR30" s="8"/>
      <c r="AS30" s="8"/>
      <c r="AT30" s="8"/>
      <c r="AU30" s="8"/>
      <c r="AV30" s="8">
        <v>3669878.58</v>
      </c>
      <c r="AW30" s="8"/>
      <c r="AX30" s="8"/>
      <c r="AY30" s="8">
        <v>1306394.23</v>
      </c>
      <c r="AZ30" s="8">
        <v>1536517.93</v>
      </c>
      <c r="BA30" s="8"/>
      <c r="BB30" s="8">
        <v>5427204.9000000004</v>
      </c>
      <c r="BC30" s="8"/>
      <c r="BD30" s="8">
        <v>10812153.58</v>
      </c>
      <c r="BE30" s="8"/>
      <c r="BF30" s="8">
        <v>2488163.52</v>
      </c>
      <c r="BG30" s="8">
        <v>4838196.49</v>
      </c>
      <c r="BH30" s="8"/>
      <c r="BI30" s="8"/>
      <c r="BJ30" s="8"/>
      <c r="BK30" s="8"/>
      <c r="BL30" s="8"/>
      <c r="BM30" s="8"/>
      <c r="BN30" s="8"/>
      <c r="BO30" s="8"/>
      <c r="BP30" s="8"/>
      <c r="BQ30" s="8">
        <v>10190045.57</v>
      </c>
      <c r="BR30" s="8">
        <v>0.73</v>
      </c>
      <c r="BS30" s="8"/>
      <c r="BT30" s="8"/>
      <c r="BU30" s="8"/>
      <c r="BV30" s="8"/>
      <c r="BW30" s="8"/>
      <c r="BX30" s="8"/>
      <c r="BY30" s="8"/>
      <c r="BZ30" s="8"/>
      <c r="CA30" s="8">
        <v>10894789.66</v>
      </c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>
        <v>12195457.880000001</v>
      </c>
      <c r="CT30" s="8"/>
      <c r="CU30" s="8"/>
      <c r="CV30" s="8"/>
      <c r="CW30" s="8">
        <v>15996837.939999999</v>
      </c>
      <c r="CX30" s="8"/>
      <c r="CY30" s="8"/>
      <c r="CZ30" s="8"/>
      <c r="DA30" s="8">
        <v>8332858.5800000001</v>
      </c>
      <c r="DB30" s="8"/>
      <c r="DC30" s="8"/>
      <c r="DD30" s="8"/>
      <c r="DE30" s="8"/>
      <c r="DF30" s="8"/>
      <c r="DG30" s="8"/>
      <c r="DH30" s="8">
        <v>0.02</v>
      </c>
      <c r="DI30" s="8"/>
      <c r="DJ30" s="8"/>
      <c r="DK30" s="8"/>
      <c r="DL30" s="8"/>
      <c r="DM30" s="8"/>
      <c r="DN30" s="8"/>
      <c r="DO30" s="8"/>
      <c r="DP30" s="8"/>
      <c r="DQ30" s="8"/>
      <c r="DR30" s="8"/>
      <c r="DS30" s="8"/>
      <c r="DT30" s="8"/>
      <c r="DU30" s="8"/>
      <c r="DV30" s="8"/>
      <c r="DW30" s="8"/>
      <c r="DX30" s="8"/>
      <c r="DY30" s="8"/>
      <c r="DZ30" s="8"/>
      <c r="EA30" s="8"/>
      <c r="EB30" s="8"/>
      <c r="EC30" s="8">
        <v>418.35</v>
      </c>
      <c r="ED30" s="8"/>
      <c r="EE30" s="8"/>
      <c r="EF30" s="8"/>
      <c r="EG30" s="8"/>
      <c r="EH30" s="8"/>
      <c r="EI30" s="8"/>
      <c r="EJ30" s="8">
        <v>8189074.5199999996</v>
      </c>
      <c r="EK30" s="8"/>
      <c r="EL30" s="8"/>
      <c r="EM30" s="8"/>
      <c r="EN30" s="8">
        <v>15869053.710000001</v>
      </c>
      <c r="EO30" s="8"/>
      <c r="EP30" s="8"/>
      <c r="EQ30" s="8"/>
      <c r="ER30" s="8"/>
      <c r="ES30" s="8"/>
      <c r="ET30" s="8"/>
      <c r="EU30" s="8"/>
      <c r="EV30" s="8"/>
      <c r="EW30" s="8">
        <v>19248314.039999999</v>
      </c>
      <c r="EX30" s="8"/>
      <c r="EY30" s="8">
        <v>286.18</v>
      </c>
      <c r="EZ30" s="8"/>
      <c r="FA30" s="8"/>
      <c r="FB30" s="8"/>
      <c r="FC30" s="8"/>
      <c r="FD30" s="8"/>
      <c r="FE30" s="8"/>
      <c r="FF30" s="8"/>
      <c r="FG30" s="8"/>
      <c r="FH30" s="8"/>
      <c r="FI30" s="8"/>
      <c r="FJ30" s="8"/>
      <c r="FK30" s="8"/>
      <c r="FL30" s="8"/>
      <c r="FM30" s="8"/>
      <c r="FN30" s="8">
        <v>26844543.899999999</v>
      </c>
      <c r="FO30" s="8"/>
      <c r="FP30" s="8"/>
      <c r="FQ30" s="8"/>
      <c r="FR30" s="8">
        <v>29087018.98</v>
      </c>
      <c r="FS30" s="8"/>
      <c r="FT30" s="8"/>
      <c r="FU30" s="8"/>
      <c r="FV30" s="8"/>
      <c r="FW30" s="8"/>
      <c r="FX30" s="8"/>
      <c r="FY30" s="8"/>
      <c r="FZ30" s="8"/>
      <c r="GA30" s="8"/>
      <c r="GB30" s="8"/>
      <c r="GC30" s="8"/>
      <c r="GD30" s="8"/>
      <c r="GE30" s="8"/>
      <c r="GF30" s="8"/>
      <c r="GG30" s="8">
        <v>7363142.5999999996</v>
      </c>
      <c r="GH30" s="8"/>
      <c r="GI30" s="8"/>
      <c r="GJ30" s="8">
        <v>8161445.4400000004</v>
      </c>
      <c r="GK30" s="8"/>
      <c r="GL30" s="8"/>
      <c r="GM30" s="8">
        <v>10071.14</v>
      </c>
      <c r="GN30" s="8"/>
      <c r="GO30" s="8">
        <v>1147737.6000000001</v>
      </c>
      <c r="GP30" s="8"/>
      <c r="GQ30" s="8"/>
      <c r="GR30" s="8"/>
      <c r="GS30" s="8"/>
      <c r="GT30" s="8"/>
      <c r="GU30" s="8"/>
      <c r="GV30" s="8"/>
      <c r="GW30" s="8">
        <v>4138690.53</v>
      </c>
      <c r="GX30" s="8"/>
      <c r="GY30" s="8"/>
      <c r="GZ30" s="8">
        <v>10637609.66</v>
      </c>
      <c r="HA30" s="8"/>
      <c r="HB30" s="8">
        <v>156.05000000000001</v>
      </c>
      <c r="HC30" s="8"/>
      <c r="HD30" s="8"/>
      <c r="HE30" s="8">
        <v>4911813.8499999996</v>
      </c>
      <c r="HF30" s="8"/>
      <c r="HG30" s="8">
        <v>9185777.1099999994</v>
      </c>
      <c r="HH30" s="8"/>
      <c r="HI30" s="8">
        <v>11603065.880000001</v>
      </c>
      <c r="HJ30" s="8"/>
      <c r="HK30" s="8"/>
      <c r="HL30" s="8"/>
      <c r="HM30" s="8">
        <v>11056696.98</v>
      </c>
      <c r="HN30" s="8"/>
      <c r="HO30" s="8"/>
      <c r="HP30" s="8"/>
      <c r="HQ30" s="8"/>
      <c r="HR30" s="8">
        <v>5169904.0599999996</v>
      </c>
      <c r="HS30" s="8"/>
      <c r="HT30" s="8"/>
      <c r="HU30" s="8">
        <v>4244528.28</v>
      </c>
      <c r="HV30" s="8"/>
      <c r="HW30" s="8"/>
      <c r="HX30" s="8"/>
      <c r="HY30" s="8">
        <v>1268.8599999999999</v>
      </c>
      <c r="HZ30" s="8"/>
      <c r="IA30" s="8"/>
      <c r="IB30" s="8"/>
      <c r="IC30" s="8"/>
      <c r="ID30" s="8"/>
      <c r="IE30" s="8"/>
      <c r="IF30" s="8"/>
      <c r="IG30" s="8"/>
      <c r="IH30" s="8"/>
      <c r="II30" s="8"/>
      <c r="IJ30" s="8"/>
      <c r="IK30" s="8"/>
      <c r="IL30" s="8"/>
      <c r="IM30" s="8"/>
      <c r="IN30" s="8"/>
      <c r="IO30" s="8"/>
      <c r="IP30" s="8">
        <v>12452284.18</v>
      </c>
      <c r="IQ30" s="8"/>
      <c r="IR30" s="8">
        <v>8340795.8899999997</v>
      </c>
      <c r="IS30" s="8"/>
      <c r="IT30" s="8"/>
      <c r="IU30" s="8"/>
      <c r="IV30" s="8"/>
      <c r="IW30" s="8"/>
      <c r="IX30" s="8"/>
      <c r="IY30" s="8">
        <v>9395000.6500000004</v>
      </c>
      <c r="IZ30" s="8"/>
      <c r="JA30" s="8">
        <v>8108087.9400000004</v>
      </c>
      <c r="JB30" s="8"/>
      <c r="JC30" s="8"/>
      <c r="JD30" s="8"/>
      <c r="JE30" s="8"/>
      <c r="JF30" s="8"/>
      <c r="JG30" s="8"/>
      <c r="JH30" s="8">
        <v>4314620.99</v>
      </c>
      <c r="JI30" s="8">
        <v>6113571</v>
      </c>
      <c r="JJ30" s="8"/>
      <c r="JK30" s="8"/>
      <c r="JL30" s="8"/>
      <c r="JM30" s="8"/>
      <c r="JN30" s="8"/>
      <c r="JO30" s="8"/>
      <c r="JP30" s="8"/>
      <c r="JQ30" s="8">
        <v>8522.06</v>
      </c>
      <c r="JR30" s="8"/>
      <c r="JS30" s="8"/>
      <c r="JT30" s="8"/>
      <c r="JU30" s="8"/>
      <c r="JV30" s="8"/>
      <c r="JW30" s="8">
        <v>4661781.0599999996</v>
      </c>
      <c r="JX30" s="8"/>
      <c r="JY30" s="8">
        <v>2633530.54</v>
      </c>
      <c r="JZ30" s="8"/>
      <c r="KA30" s="8">
        <v>4126830.99</v>
      </c>
      <c r="KB30" s="8"/>
      <c r="KC30" s="8"/>
      <c r="KD30" s="8">
        <v>3612780.42</v>
      </c>
      <c r="KE30" s="8"/>
      <c r="KF30" s="8"/>
      <c r="KG30" s="8"/>
      <c r="KH30" s="8"/>
      <c r="KI30" s="8">
        <v>0.94</v>
      </c>
      <c r="KJ30" s="8">
        <v>0.47</v>
      </c>
      <c r="KK30" s="8">
        <v>2475678.56</v>
      </c>
      <c r="KL30" s="8">
        <v>1753723.59</v>
      </c>
      <c r="KM30" s="8">
        <v>1756137.62</v>
      </c>
      <c r="KN30" s="8">
        <v>14954062.91</v>
      </c>
      <c r="KO30" s="8"/>
      <c r="KP30" s="8"/>
      <c r="KQ30" s="8"/>
      <c r="KR30" s="8"/>
      <c r="KS30" s="8"/>
      <c r="KT30" s="8"/>
      <c r="KU30" s="8">
        <v>16556883.99</v>
      </c>
      <c r="KV30" s="8"/>
      <c r="KW30" s="8"/>
      <c r="KX30" s="8"/>
      <c r="KY30" s="8"/>
      <c r="KZ30" s="8"/>
      <c r="LA30" s="8"/>
      <c r="LB30" s="8"/>
      <c r="LC30" s="8"/>
      <c r="LD30" s="8"/>
      <c r="LE30" s="8"/>
      <c r="LF30" s="8">
        <v>8313.67</v>
      </c>
      <c r="LG30" s="8"/>
      <c r="LH30" s="8"/>
      <c r="LI30" s="8"/>
      <c r="LJ30" s="8"/>
      <c r="LK30" s="8"/>
      <c r="LL30" s="8"/>
      <c r="LM30" s="8"/>
      <c r="LN30" s="8">
        <v>31933243.329999998</v>
      </c>
      <c r="LO30" s="8"/>
      <c r="LP30" s="8"/>
      <c r="LQ30" s="8"/>
      <c r="LR30" s="8"/>
      <c r="LS30" s="8"/>
      <c r="LT30" s="8"/>
      <c r="LU30" s="8"/>
      <c r="LV30" s="8"/>
      <c r="LW30" s="8"/>
      <c r="LX30" s="8">
        <v>12759204.640000001</v>
      </c>
      <c r="LY30" s="8">
        <v>23523868.379999999</v>
      </c>
      <c r="LZ30" s="8">
        <v>31072075.039999999</v>
      </c>
      <c r="MA30" s="8"/>
      <c r="MB30" s="8"/>
      <c r="MC30" s="8"/>
      <c r="MD30" s="8">
        <v>1254.19</v>
      </c>
      <c r="ME30" s="8"/>
      <c r="MF30" s="8"/>
      <c r="MG30" s="8"/>
      <c r="MH30" s="8"/>
      <c r="MI30" s="8"/>
      <c r="MJ30" s="8"/>
      <c r="MK30" s="8"/>
      <c r="ML30" s="8"/>
      <c r="MM30" s="8"/>
      <c r="MN30" s="8"/>
      <c r="MO30" s="8">
        <v>18375047.199999999</v>
      </c>
      <c r="MP30" s="8">
        <v>22260094.629999999</v>
      </c>
      <c r="MQ30" s="8"/>
      <c r="MR30" s="8"/>
      <c r="MS30" s="8"/>
      <c r="MT30" s="8"/>
      <c r="MU30" s="8">
        <v>24117367.050000001</v>
      </c>
      <c r="MV30" s="8"/>
      <c r="MW30" s="8">
        <v>7715450.7800000003</v>
      </c>
      <c r="MX30" s="8"/>
      <c r="MY30" s="8"/>
      <c r="MZ30" s="8"/>
      <c r="NA30" s="8">
        <v>14141511.439999999</v>
      </c>
      <c r="NB30" s="8"/>
      <c r="NC30" s="8"/>
      <c r="ND30" s="8"/>
      <c r="NE30" s="8"/>
      <c r="NF30" s="8"/>
      <c r="NG30" s="8"/>
      <c r="NH30" s="8"/>
      <c r="NI30" s="8"/>
      <c r="NJ30" s="8"/>
      <c r="NK30" s="8">
        <v>11267970.84</v>
      </c>
      <c r="NL30" s="8"/>
      <c r="NM30" s="8"/>
      <c r="NN30" s="8">
        <v>11105967.73</v>
      </c>
      <c r="NO30" s="8"/>
      <c r="NP30" s="8"/>
      <c r="NQ30" s="8"/>
      <c r="NR30" s="8">
        <v>178.6</v>
      </c>
      <c r="NS30" s="8"/>
      <c r="NT30" s="8">
        <v>14995368.560000001</v>
      </c>
      <c r="NU30" s="8"/>
      <c r="NV30" s="8"/>
      <c r="NW30" s="8"/>
      <c r="NX30" s="8"/>
      <c r="NY30" s="8"/>
      <c r="NZ30" s="8"/>
      <c r="OA30" s="8"/>
      <c r="OB30" s="8"/>
      <c r="OC30" s="8">
        <v>6776215.21</v>
      </c>
      <c r="OD30" s="8"/>
      <c r="OE30" s="8"/>
      <c r="OF30" s="8"/>
      <c r="OG30" s="8"/>
      <c r="OH30" s="8"/>
      <c r="OI30" s="8"/>
      <c r="OJ30" s="8"/>
      <c r="OK30" s="8">
        <v>0.55000000000000004</v>
      </c>
      <c r="OL30" s="8">
        <v>28441171.969999999</v>
      </c>
      <c r="OM30" s="8"/>
      <c r="ON30" s="8"/>
      <c r="OO30" s="8"/>
      <c r="OP30" s="8"/>
      <c r="OQ30" s="5">
        <v>641324626.97000003</v>
      </c>
    </row>
    <row r="31" spans="2:407" x14ac:dyDescent="0.2">
      <c r="B31" t="s">
        <v>87</v>
      </c>
      <c r="C31" t="s">
        <v>26</v>
      </c>
      <c r="D31" s="8"/>
      <c r="E31" s="8">
        <v>1194730.79</v>
      </c>
      <c r="F31" s="8"/>
      <c r="G31" s="8"/>
      <c r="H31" s="8">
        <v>641140.19999999995</v>
      </c>
      <c r="I31" s="8">
        <v>1805670.73</v>
      </c>
      <c r="J31" s="8"/>
      <c r="K31" s="8"/>
      <c r="L31" s="8"/>
      <c r="M31" s="8"/>
      <c r="N31" s="8"/>
      <c r="O31" s="8"/>
      <c r="P31" s="8"/>
      <c r="Q31" s="8"/>
      <c r="R31" s="8"/>
      <c r="S31" s="8">
        <v>1693931.46</v>
      </c>
      <c r="T31" s="8">
        <v>0.57999999999999996</v>
      </c>
      <c r="U31" s="8">
        <v>5024295.9800000004</v>
      </c>
      <c r="V31" s="8"/>
      <c r="W31" s="8">
        <v>1</v>
      </c>
      <c r="X31" s="8">
        <v>474975.92</v>
      </c>
      <c r="Y31" s="8">
        <v>1457607.78</v>
      </c>
      <c r="Z31" s="8">
        <v>1305463.03</v>
      </c>
      <c r="AA31" s="8"/>
      <c r="AB31" s="8"/>
      <c r="AC31" s="8">
        <v>1354409.07</v>
      </c>
      <c r="AD31" s="8"/>
      <c r="AE31" s="8">
        <v>2063863.43</v>
      </c>
      <c r="AF31" s="8"/>
      <c r="AG31" s="8"/>
      <c r="AH31" s="8"/>
      <c r="AI31" s="8">
        <v>1989990.19</v>
      </c>
      <c r="AJ31" s="8"/>
      <c r="AK31" s="8"/>
      <c r="AL31" s="8"/>
      <c r="AM31" s="8"/>
      <c r="AN31" s="8">
        <v>1398.69</v>
      </c>
      <c r="AO31" s="8"/>
      <c r="AP31" s="8">
        <v>1800311.07</v>
      </c>
      <c r="AQ31" s="8">
        <v>722689.16</v>
      </c>
      <c r="AR31" s="8"/>
      <c r="AS31" s="8">
        <v>683932.9</v>
      </c>
      <c r="AT31" s="8">
        <v>319492.90999999997</v>
      </c>
      <c r="AU31" s="8"/>
      <c r="AV31" s="8"/>
      <c r="AW31" s="8">
        <v>594827.53</v>
      </c>
      <c r="AX31" s="8">
        <v>628055.85</v>
      </c>
      <c r="AY31" s="8"/>
      <c r="AZ31" s="8">
        <v>1198984.76</v>
      </c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  <c r="CH31" s="8"/>
      <c r="CI31" s="8"/>
      <c r="CJ31" s="8"/>
      <c r="CK31" s="8">
        <v>5994005.7199999997</v>
      </c>
      <c r="CL31" s="8">
        <v>7871865.1900000004</v>
      </c>
      <c r="CM31" s="8">
        <v>8423253.4299999997</v>
      </c>
      <c r="CN31" s="8"/>
      <c r="CO31" s="8"/>
      <c r="CP31" s="8"/>
      <c r="CQ31" s="8"/>
      <c r="CR31" s="8"/>
      <c r="CS31" s="8">
        <v>712172.81</v>
      </c>
      <c r="CT31" s="8">
        <v>1960954.26</v>
      </c>
      <c r="CU31" s="8"/>
      <c r="CV31" s="8"/>
      <c r="CW31" s="8"/>
      <c r="CX31" s="8"/>
      <c r="CY31" s="8"/>
      <c r="CZ31" s="8"/>
      <c r="DA31" s="8"/>
      <c r="DB31" s="8"/>
      <c r="DC31" s="8"/>
      <c r="DD31" s="8"/>
      <c r="DE31" s="8"/>
      <c r="DF31" s="8"/>
      <c r="DG31" s="8"/>
      <c r="DH31" s="8"/>
      <c r="DI31" s="8"/>
      <c r="DJ31" s="8"/>
      <c r="DK31" s="8"/>
      <c r="DL31" s="8"/>
      <c r="DM31" s="8"/>
      <c r="DN31" s="8"/>
      <c r="DO31" s="8"/>
      <c r="DP31" s="8"/>
      <c r="DQ31" s="8"/>
      <c r="DR31" s="8"/>
      <c r="DS31" s="8"/>
      <c r="DT31" s="8"/>
      <c r="DU31" s="8"/>
      <c r="DV31" s="8"/>
      <c r="DW31" s="8"/>
      <c r="DX31" s="8"/>
      <c r="DY31" s="8"/>
      <c r="DZ31" s="8"/>
      <c r="EA31" s="8"/>
      <c r="EB31" s="8"/>
      <c r="EC31" s="8"/>
      <c r="ED31" s="8"/>
      <c r="EE31" s="8"/>
      <c r="EF31" s="8"/>
      <c r="EG31" s="8"/>
      <c r="EH31" s="8"/>
      <c r="EI31" s="8"/>
      <c r="EJ31" s="8"/>
      <c r="EK31" s="8"/>
      <c r="EL31" s="8"/>
      <c r="EM31" s="8"/>
      <c r="EN31" s="8"/>
      <c r="EO31" s="8"/>
      <c r="EP31" s="8"/>
      <c r="EQ31" s="8"/>
      <c r="ER31" s="8">
        <v>6619225.5700000003</v>
      </c>
      <c r="ES31" s="8">
        <v>14608869.91</v>
      </c>
      <c r="ET31" s="8">
        <v>11524222.869999999</v>
      </c>
      <c r="EU31" s="8"/>
      <c r="EV31" s="8"/>
      <c r="EW31" s="8"/>
      <c r="EX31" s="8">
        <v>18779848.649999999</v>
      </c>
      <c r="EY31" s="8"/>
      <c r="EZ31" s="8"/>
      <c r="FA31" s="8"/>
      <c r="FB31" s="8"/>
      <c r="FC31" s="8"/>
      <c r="FD31" s="8"/>
      <c r="FE31" s="8"/>
      <c r="FF31" s="8"/>
      <c r="FG31" s="8"/>
      <c r="FH31" s="8"/>
      <c r="FI31" s="8"/>
      <c r="FJ31" s="8"/>
      <c r="FK31" s="8"/>
      <c r="FL31" s="8"/>
      <c r="FM31" s="8"/>
      <c r="FN31" s="8"/>
      <c r="FO31" s="8"/>
      <c r="FP31" s="8"/>
      <c r="FQ31" s="8"/>
      <c r="FR31" s="8"/>
      <c r="FS31" s="8">
        <v>5896.7</v>
      </c>
      <c r="FT31" s="8"/>
      <c r="FU31" s="8"/>
      <c r="FV31" s="8"/>
      <c r="FW31" s="8"/>
      <c r="FX31" s="8">
        <v>15071660.949999999</v>
      </c>
      <c r="FY31" s="8"/>
      <c r="FZ31" s="8">
        <v>10699633.380000001</v>
      </c>
      <c r="GA31" s="8"/>
      <c r="GB31" s="8"/>
      <c r="GC31" s="8"/>
      <c r="GD31" s="8"/>
      <c r="GE31" s="8">
        <v>9371223.9299999997</v>
      </c>
      <c r="GF31" s="8"/>
      <c r="GG31" s="8"/>
      <c r="GH31" s="8"/>
      <c r="GI31" s="8"/>
      <c r="GJ31" s="8"/>
      <c r="GK31" s="8">
        <v>5519706.0099999998</v>
      </c>
      <c r="GL31" s="8"/>
      <c r="GM31" s="8"/>
      <c r="GN31" s="8"/>
      <c r="GO31" s="8"/>
      <c r="GP31" s="8"/>
      <c r="GQ31" s="8"/>
      <c r="GR31" s="8"/>
      <c r="GS31" s="8"/>
      <c r="GT31" s="8"/>
      <c r="GU31" s="8"/>
      <c r="GV31" s="8"/>
      <c r="GW31" s="8"/>
      <c r="GX31" s="8"/>
      <c r="GY31" s="8"/>
      <c r="GZ31" s="8"/>
      <c r="HA31" s="8"/>
      <c r="HB31" s="8"/>
      <c r="HC31" s="8">
        <v>9789384.8100000005</v>
      </c>
      <c r="HD31" s="8">
        <v>7298392.5999999996</v>
      </c>
      <c r="HE31" s="8"/>
      <c r="HF31" s="8"/>
      <c r="HG31" s="8"/>
      <c r="HH31" s="8"/>
      <c r="HI31" s="8"/>
      <c r="HJ31" s="8"/>
      <c r="HK31" s="8">
        <v>10698693.57</v>
      </c>
      <c r="HL31" s="8"/>
      <c r="HM31" s="8">
        <v>1.1599999999999999</v>
      </c>
      <c r="HN31" s="8"/>
      <c r="HO31" s="8">
        <v>0.54</v>
      </c>
      <c r="HP31" s="8"/>
      <c r="HQ31" s="8"/>
      <c r="HR31" s="8">
        <v>3985866.92</v>
      </c>
      <c r="HS31" s="8"/>
      <c r="HT31" s="8"/>
      <c r="HU31" s="8"/>
      <c r="HV31" s="8"/>
      <c r="HW31" s="8"/>
      <c r="HX31" s="8"/>
      <c r="HY31" s="8"/>
      <c r="HZ31" s="8"/>
      <c r="IA31" s="8"/>
      <c r="IB31" s="8"/>
      <c r="IC31" s="8"/>
      <c r="ID31" s="8"/>
      <c r="IE31" s="8"/>
      <c r="IF31" s="8"/>
      <c r="IG31" s="8"/>
      <c r="IH31" s="8"/>
      <c r="II31" s="8"/>
      <c r="IJ31" s="8"/>
      <c r="IK31" s="8"/>
      <c r="IL31" s="8"/>
      <c r="IM31" s="8"/>
      <c r="IN31" s="8"/>
      <c r="IO31" s="8"/>
      <c r="IP31" s="8"/>
      <c r="IQ31" s="8"/>
      <c r="IR31" s="8"/>
      <c r="IS31" s="8"/>
      <c r="IT31" s="8"/>
      <c r="IU31" s="8"/>
      <c r="IV31" s="8"/>
      <c r="IW31" s="8"/>
      <c r="IX31" s="8"/>
      <c r="IY31" s="8"/>
      <c r="IZ31" s="8"/>
      <c r="JA31" s="8">
        <v>4686300.97</v>
      </c>
      <c r="JB31" s="8"/>
      <c r="JC31" s="8"/>
      <c r="JD31" s="8">
        <v>989483.42</v>
      </c>
      <c r="JE31" s="8">
        <v>1372.92</v>
      </c>
      <c r="JF31" s="8"/>
      <c r="JG31" s="8"/>
      <c r="JH31" s="8">
        <v>1673304.73</v>
      </c>
      <c r="JI31" s="8"/>
      <c r="JJ31" s="8"/>
      <c r="JK31" s="8">
        <v>1735302.95</v>
      </c>
      <c r="JL31" s="8"/>
      <c r="JM31" s="8"/>
      <c r="JN31" s="8"/>
      <c r="JO31" s="8"/>
      <c r="JP31" s="8"/>
      <c r="JQ31" s="8">
        <v>4245760.62</v>
      </c>
      <c r="JR31" s="8">
        <v>2785115.86</v>
      </c>
      <c r="JS31" s="8"/>
      <c r="JT31" s="8"/>
      <c r="JU31" s="8"/>
      <c r="JV31" s="8">
        <v>1970423.33</v>
      </c>
      <c r="JW31" s="8"/>
      <c r="JX31" s="8"/>
      <c r="JY31" s="8"/>
      <c r="JZ31" s="8">
        <v>567700.99</v>
      </c>
      <c r="KA31" s="8">
        <v>1684325.75</v>
      </c>
      <c r="KB31" s="8"/>
      <c r="KC31" s="8"/>
      <c r="KD31" s="8">
        <v>2295834.39</v>
      </c>
      <c r="KE31" s="8"/>
      <c r="KF31" s="8">
        <v>3727344.16</v>
      </c>
      <c r="KG31" s="8">
        <v>932537.01</v>
      </c>
      <c r="KH31" s="8">
        <v>1613888.33</v>
      </c>
      <c r="KI31" s="8"/>
      <c r="KJ31" s="8"/>
      <c r="KK31" s="8">
        <v>965905.06</v>
      </c>
      <c r="KL31" s="8"/>
      <c r="KM31" s="8">
        <v>1311057.99</v>
      </c>
      <c r="KN31" s="8"/>
      <c r="KO31" s="8"/>
      <c r="KP31" s="8">
        <v>85866140.319999993</v>
      </c>
      <c r="KQ31" s="8"/>
      <c r="KR31" s="8"/>
      <c r="KS31" s="8"/>
      <c r="KT31" s="8"/>
      <c r="KU31" s="8"/>
      <c r="KV31" s="8"/>
      <c r="KW31" s="8"/>
      <c r="KX31" s="8"/>
      <c r="KY31" s="8"/>
      <c r="KZ31" s="8"/>
      <c r="LA31" s="8"/>
      <c r="LB31" s="8"/>
      <c r="LC31" s="8"/>
      <c r="LD31" s="8"/>
      <c r="LE31" s="8"/>
      <c r="LF31" s="8">
        <v>24914.09</v>
      </c>
      <c r="LG31" s="8"/>
      <c r="LH31" s="8"/>
      <c r="LI31" s="8"/>
      <c r="LJ31" s="8"/>
      <c r="LK31" s="8"/>
      <c r="LL31" s="8"/>
      <c r="LM31" s="8"/>
      <c r="LN31" s="8"/>
      <c r="LO31" s="8"/>
      <c r="LP31" s="8"/>
      <c r="LQ31" s="8"/>
      <c r="LR31" s="8"/>
      <c r="LS31" s="8"/>
      <c r="LT31" s="8"/>
      <c r="LU31" s="8"/>
      <c r="LV31" s="8"/>
      <c r="LW31" s="8"/>
      <c r="LX31" s="8"/>
      <c r="LY31" s="8">
        <v>296.08</v>
      </c>
      <c r="LZ31" s="8"/>
      <c r="MA31" s="8"/>
      <c r="MB31" s="8"/>
      <c r="MC31" s="8">
        <v>48904817.469999999</v>
      </c>
      <c r="MD31" s="8"/>
      <c r="ME31" s="8">
        <v>20207056.579999998</v>
      </c>
      <c r="MF31" s="8"/>
      <c r="MG31" s="8"/>
      <c r="MH31" s="8"/>
      <c r="MI31" s="8"/>
      <c r="MJ31" s="8"/>
      <c r="MK31" s="8"/>
      <c r="ML31" s="8"/>
      <c r="MM31" s="8"/>
      <c r="MN31" s="8"/>
      <c r="MO31" s="8"/>
      <c r="MP31" s="8"/>
      <c r="MQ31" s="8"/>
      <c r="MR31" s="8"/>
      <c r="MS31" s="8"/>
      <c r="MT31" s="8"/>
      <c r="MU31" s="8"/>
      <c r="MV31" s="8"/>
      <c r="MW31" s="8"/>
      <c r="MX31" s="8"/>
      <c r="MY31" s="8"/>
      <c r="MZ31" s="8">
        <v>15707825.01</v>
      </c>
      <c r="NA31" s="8"/>
      <c r="NB31" s="8"/>
      <c r="NC31" s="8"/>
      <c r="ND31" s="8"/>
      <c r="NE31" s="8"/>
      <c r="NF31" s="8"/>
      <c r="NG31" s="8"/>
      <c r="NH31" s="8"/>
      <c r="NI31" s="8"/>
      <c r="NJ31" s="8"/>
      <c r="NK31" s="8"/>
      <c r="NL31" s="8"/>
      <c r="NM31" s="8"/>
      <c r="NN31" s="8"/>
      <c r="NO31" s="8"/>
      <c r="NP31" s="8"/>
      <c r="NQ31" s="8">
        <v>5063403.96</v>
      </c>
      <c r="NR31" s="8"/>
      <c r="NS31" s="8">
        <v>8214685.79</v>
      </c>
      <c r="NT31" s="8"/>
      <c r="NU31" s="8">
        <v>696.17</v>
      </c>
      <c r="NV31" s="8"/>
      <c r="NW31" s="8">
        <v>8198822.54</v>
      </c>
      <c r="NX31" s="8"/>
      <c r="NY31" s="8"/>
      <c r="NZ31" s="8"/>
      <c r="OA31" s="8">
        <v>23998607.620000001</v>
      </c>
      <c r="OB31" s="8"/>
      <c r="OC31" s="8"/>
      <c r="OD31" s="8"/>
      <c r="OE31" s="8"/>
      <c r="OF31" s="8"/>
      <c r="OG31" s="8"/>
      <c r="OH31" s="8"/>
      <c r="OI31" s="8"/>
      <c r="OJ31" s="8"/>
      <c r="OK31" s="8"/>
      <c r="OL31" s="8">
        <v>9980906.9199999999</v>
      </c>
      <c r="OM31" s="8"/>
      <c r="ON31" s="8"/>
      <c r="OO31" s="8"/>
      <c r="OP31" s="8"/>
      <c r="OQ31" s="5">
        <v>431244483.03999996</v>
      </c>
    </row>
    <row r="32" spans="2:407" x14ac:dyDescent="0.2">
      <c r="B32" t="s">
        <v>88</v>
      </c>
      <c r="C32" t="s">
        <v>27</v>
      </c>
      <c r="D32" s="8"/>
      <c r="E32" s="8"/>
      <c r="F32" s="8"/>
      <c r="G32" s="8">
        <v>1101688.9099999999</v>
      </c>
      <c r="H32" s="8">
        <v>2707880.72</v>
      </c>
      <c r="I32" s="8"/>
      <c r="J32" s="8">
        <v>1541915.71</v>
      </c>
      <c r="K32" s="8"/>
      <c r="L32" s="8">
        <v>543778.06000000006</v>
      </c>
      <c r="M32" s="8">
        <v>1464487.2</v>
      </c>
      <c r="N32" s="8"/>
      <c r="O32" s="8"/>
      <c r="P32" s="8"/>
      <c r="Q32" s="8"/>
      <c r="R32" s="8">
        <v>1225272.22</v>
      </c>
      <c r="S32" s="8"/>
      <c r="T32" s="8">
        <v>3538418.05</v>
      </c>
      <c r="U32" s="8">
        <v>390.95</v>
      </c>
      <c r="V32" s="8">
        <v>2528786.64</v>
      </c>
      <c r="W32" s="8"/>
      <c r="X32" s="8"/>
      <c r="Y32" s="8">
        <v>2235.46</v>
      </c>
      <c r="Z32" s="8">
        <v>1458672.85</v>
      </c>
      <c r="AA32" s="8"/>
      <c r="AB32" s="8"/>
      <c r="AC32" s="8"/>
      <c r="AD32" s="8"/>
      <c r="AE32" s="8"/>
      <c r="AF32" s="8"/>
      <c r="AG32" s="8"/>
      <c r="AH32" s="8"/>
      <c r="AI32" s="8"/>
      <c r="AJ32" s="8">
        <v>7055731.1699999999</v>
      </c>
      <c r="AK32" s="8"/>
      <c r="AL32" s="8"/>
      <c r="AM32" s="8"/>
      <c r="AN32" s="8"/>
      <c r="AO32" s="8"/>
      <c r="AP32" s="8"/>
      <c r="AQ32" s="8">
        <v>793294.47</v>
      </c>
      <c r="AR32" s="8"/>
      <c r="AS32" s="8">
        <v>966995.85</v>
      </c>
      <c r="AT32" s="8"/>
      <c r="AU32" s="8">
        <v>1820335.32</v>
      </c>
      <c r="AV32" s="8">
        <v>2802471.22</v>
      </c>
      <c r="AW32" s="8"/>
      <c r="AX32" s="8">
        <v>1037771.12</v>
      </c>
      <c r="AY32" s="8"/>
      <c r="AZ32" s="8"/>
      <c r="BA32" s="8"/>
      <c r="BB32" s="8">
        <v>4935665.16</v>
      </c>
      <c r="BC32" s="8"/>
      <c r="BD32" s="8">
        <v>6335042.1299999999</v>
      </c>
      <c r="BE32" s="8"/>
      <c r="BF32" s="8"/>
      <c r="BG32" s="8">
        <v>6194885.0499999998</v>
      </c>
      <c r="BH32" s="8"/>
      <c r="BI32" s="8"/>
      <c r="BJ32" s="8"/>
      <c r="BK32" s="8"/>
      <c r="BL32" s="8"/>
      <c r="BM32" s="8"/>
      <c r="BN32" s="8"/>
      <c r="BO32" s="8"/>
      <c r="BP32" s="8">
        <v>4981645.04</v>
      </c>
      <c r="BQ32" s="8"/>
      <c r="BR32" s="8"/>
      <c r="BS32" s="8">
        <v>4353258.45</v>
      </c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>
        <v>4424669.91</v>
      </c>
      <c r="CH32" s="8">
        <v>2845045.65</v>
      </c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CU32" s="8"/>
      <c r="CV32" s="8"/>
      <c r="CW32" s="8"/>
      <c r="CX32" s="8"/>
      <c r="CY32" s="8">
        <v>4460.8</v>
      </c>
      <c r="CZ32" s="8"/>
      <c r="DA32" s="8"/>
      <c r="DB32" s="8">
        <v>9532847</v>
      </c>
      <c r="DC32" s="8"/>
      <c r="DD32" s="8"/>
      <c r="DE32" s="8"/>
      <c r="DF32" s="8"/>
      <c r="DG32" s="8"/>
      <c r="DH32" s="8">
        <v>22225898.34</v>
      </c>
      <c r="DI32" s="8">
        <v>2360408.5499999998</v>
      </c>
      <c r="DJ32" s="8"/>
      <c r="DK32" s="8">
        <v>794.39</v>
      </c>
      <c r="DL32" s="8">
        <v>4082722.5</v>
      </c>
      <c r="DM32" s="8"/>
      <c r="DN32" s="8"/>
      <c r="DO32" s="8">
        <v>5912796.4500000002</v>
      </c>
      <c r="DP32" s="8"/>
      <c r="DQ32" s="8"/>
      <c r="DR32" s="8"/>
      <c r="DS32" s="8"/>
      <c r="DT32" s="8">
        <v>3313921.19</v>
      </c>
      <c r="DU32" s="8">
        <v>1133.1500000000001</v>
      </c>
      <c r="DV32" s="8"/>
      <c r="DW32" s="8"/>
      <c r="DX32" s="8"/>
      <c r="DY32" s="8"/>
      <c r="DZ32" s="8">
        <v>4208876.54</v>
      </c>
      <c r="EA32" s="8">
        <v>1263469.48</v>
      </c>
      <c r="EB32" s="8"/>
      <c r="EC32" s="8"/>
      <c r="ED32" s="8"/>
      <c r="EE32" s="8"/>
      <c r="EF32" s="8"/>
      <c r="EG32" s="8"/>
      <c r="EH32" s="8"/>
      <c r="EI32" s="8"/>
      <c r="EJ32" s="8"/>
      <c r="EK32" s="8"/>
      <c r="EL32" s="8"/>
      <c r="EM32" s="8"/>
      <c r="EN32" s="8"/>
      <c r="EO32" s="8"/>
      <c r="EP32" s="8"/>
      <c r="EQ32" s="8"/>
      <c r="ER32" s="8"/>
      <c r="ES32" s="8"/>
      <c r="ET32" s="8"/>
      <c r="EU32" s="8"/>
      <c r="EV32" s="8"/>
      <c r="EW32" s="8"/>
      <c r="EX32" s="8"/>
      <c r="EY32" s="8"/>
      <c r="EZ32" s="8"/>
      <c r="FA32" s="8"/>
      <c r="FB32" s="8"/>
      <c r="FC32" s="8"/>
      <c r="FD32" s="8"/>
      <c r="FE32" s="8"/>
      <c r="FF32" s="8"/>
      <c r="FG32" s="8"/>
      <c r="FH32" s="8"/>
      <c r="FI32" s="8"/>
      <c r="FJ32" s="8"/>
      <c r="FK32" s="8"/>
      <c r="FL32" s="8"/>
      <c r="FM32" s="8"/>
      <c r="FN32" s="8"/>
      <c r="FO32" s="8"/>
      <c r="FP32" s="8"/>
      <c r="FQ32" s="8"/>
      <c r="FR32" s="8"/>
      <c r="FS32" s="8"/>
      <c r="FT32" s="8"/>
      <c r="FU32" s="8"/>
      <c r="FV32" s="8"/>
      <c r="FW32" s="8"/>
      <c r="FX32" s="8"/>
      <c r="FY32" s="8"/>
      <c r="FZ32" s="8"/>
      <c r="GA32" s="8"/>
      <c r="GB32" s="8"/>
      <c r="GC32" s="8"/>
      <c r="GD32" s="8">
        <v>22347484.609999999</v>
      </c>
      <c r="GE32" s="8"/>
      <c r="GF32" s="8"/>
      <c r="GG32" s="8"/>
      <c r="GH32" s="8">
        <v>17965920.780000001</v>
      </c>
      <c r="GI32" s="8">
        <v>13044277.439999999</v>
      </c>
      <c r="GJ32" s="8"/>
      <c r="GK32" s="8"/>
      <c r="GL32" s="8"/>
      <c r="GM32" s="8"/>
      <c r="GN32" s="8"/>
      <c r="GO32" s="8"/>
      <c r="GP32" s="8"/>
      <c r="GQ32" s="8"/>
      <c r="GR32" s="8"/>
      <c r="GS32" s="8"/>
      <c r="GT32" s="8"/>
      <c r="GU32" s="8"/>
      <c r="GV32" s="8"/>
      <c r="GW32" s="8"/>
      <c r="GX32" s="8"/>
      <c r="GY32" s="8"/>
      <c r="GZ32" s="8"/>
      <c r="HA32" s="8">
        <v>7515809.6699999999</v>
      </c>
      <c r="HB32" s="8"/>
      <c r="HC32" s="8"/>
      <c r="HD32" s="8"/>
      <c r="HE32" s="8"/>
      <c r="HF32" s="8"/>
      <c r="HG32" s="8">
        <v>5921138.0599999996</v>
      </c>
      <c r="HH32" s="8"/>
      <c r="HI32" s="8"/>
      <c r="HJ32" s="8"/>
      <c r="HK32" s="8">
        <v>3227306.1</v>
      </c>
      <c r="HL32" s="8"/>
      <c r="HM32" s="8"/>
      <c r="HN32" s="8"/>
      <c r="HO32" s="8"/>
      <c r="HP32" s="8"/>
      <c r="HQ32" s="8"/>
      <c r="HR32" s="8">
        <v>2695568.95</v>
      </c>
      <c r="HS32" s="8"/>
      <c r="HT32" s="8">
        <v>3240825.54</v>
      </c>
      <c r="HU32" s="8"/>
      <c r="HV32" s="8"/>
      <c r="HW32" s="8">
        <v>8280513.2300000004</v>
      </c>
      <c r="HX32" s="8"/>
      <c r="HY32" s="8"/>
      <c r="HZ32" s="8">
        <v>7965749.6600000001</v>
      </c>
      <c r="IA32" s="8"/>
      <c r="IB32" s="8"/>
      <c r="IC32" s="8"/>
      <c r="ID32" s="8"/>
      <c r="IE32" s="8"/>
      <c r="IF32" s="8"/>
      <c r="IG32" s="8"/>
      <c r="IH32" s="8"/>
      <c r="II32" s="8"/>
      <c r="IJ32" s="8"/>
      <c r="IK32" s="8"/>
      <c r="IL32" s="8"/>
      <c r="IM32" s="8"/>
      <c r="IN32" s="8"/>
      <c r="IO32" s="8"/>
      <c r="IP32" s="8"/>
      <c r="IQ32" s="8"/>
      <c r="IR32" s="8"/>
      <c r="IS32" s="8"/>
      <c r="IT32" s="8"/>
      <c r="IU32" s="8"/>
      <c r="IV32" s="8"/>
      <c r="IW32" s="8"/>
      <c r="IX32" s="8"/>
      <c r="IY32" s="8"/>
      <c r="IZ32" s="8"/>
      <c r="JA32" s="8"/>
      <c r="JB32" s="8"/>
      <c r="JC32" s="8"/>
      <c r="JD32" s="8"/>
      <c r="JE32" s="8">
        <v>4625668.4400000004</v>
      </c>
      <c r="JF32" s="8"/>
      <c r="JG32" s="8"/>
      <c r="JH32" s="8"/>
      <c r="JI32" s="8"/>
      <c r="JJ32" s="8"/>
      <c r="JK32" s="8">
        <v>2782014.08</v>
      </c>
      <c r="JL32" s="8"/>
      <c r="JM32" s="8"/>
      <c r="JN32" s="8">
        <v>14917266.689999999</v>
      </c>
      <c r="JO32" s="8"/>
      <c r="JP32" s="8"/>
      <c r="JQ32" s="8"/>
      <c r="JR32" s="8"/>
      <c r="JS32" s="8"/>
      <c r="JT32" s="8"/>
      <c r="JU32" s="8"/>
      <c r="JV32" s="8"/>
      <c r="JW32" s="8"/>
      <c r="JX32" s="8"/>
      <c r="JY32" s="8"/>
      <c r="JZ32" s="8"/>
      <c r="KA32" s="8"/>
      <c r="KB32" s="8"/>
      <c r="KC32" s="8"/>
      <c r="KD32" s="8"/>
      <c r="KE32" s="8"/>
      <c r="KF32" s="8"/>
      <c r="KG32" s="8"/>
      <c r="KH32" s="8"/>
      <c r="KI32" s="8"/>
      <c r="KJ32" s="8"/>
      <c r="KK32" s="8"/>
      <c r="KL32" s="8"/>
      <c r="KM32" s="8"/>
      <c r="KN32" s="8">
        <v>25992574.239999998</v>
      </c>
      <c r="KO32" s="8"/>
      <c r="KP32" s="8"/>
      <c r="KQ32" s="8"/>
      <c r="KR32" s="8"/>
      <c r="KS32" s="8"/>
      <c r="KT32" s="8"/>
      <c r="KU32" s="8">
        <v>7821.26</v>
      </c>
      <c r="KV32" s="8"/>
      <c r="KW32" s="8"/>
      <c r="KX32" s="8"/>
      <c r="KY32" s="8"/>
      <c r="KZ32" s="8"/>
      <c r="LA32" s="8"/>
      <c r="LB32" s="8"/>
      <c r="LC32" s="8"/>
      <c r="LD32" s="8"/>
      <c r="LE32" s="8"/>
      <c r="LF32" s="8"/>
      <c r="LG32" s="8"/>
      <c r="LH32" s="8">
        <v>41502702.119999997</v>
      </c>
      <c r="LI32" s="8"/>
      <c r="LJ32" s="8"/>
      <c r="LK32" s="8">
        <v>41895220.75</v>
      </c>
      <c r="LL32" s="8"/>
      <c r="LM32" s="8"/>
      <c r="LN32" s="8"/>
      <c r="LO32" s="8"/>
      <c r="LP32" s="8"/>
      <c r="LQ32" s="8"/>
      <c r="LR32" s="8"/>
      <c r="LS32" s="8"/>
      <c r="LT32" s="8"/>
      <c r="LU32" s="8"/>
      <c r="LV32" s="8"/>
      <c r="LW32" s="8"/>
      <c r="LX32" s="8"/>
      <c r="LY32" s="8"/>
      <c r="LZ32" s="8"/>
      <c r="MA32" s="8"/>
      <c r="MB32" s="8"/>
      <c r="MC32" s="8">
        <v>10533555.93</v>
      </c>
      <c r="MD32" s="8">
        <v>13663173.07</v>
      </c>
      <c r="ME32" s="8"/>
      <c r="MF32" s="8"/>
      <c r="MG32" s="8"/>
      <c r="MH32" s="8"/>
      <c r="MI32" s="8"/>
      <c r="MJ32" s="8"/>
      <c r="MK32" s="8">
        <v>11681477.449999999</v>
      </c>
      <c r="ML32" s="8"/>
      <c r="MM32" s="8"/>
      <c r="MN32" s="8"/>
      <c r="MO32" s="8">
        <v>6096280.5700000003</v>
      </c>
      <c r="MP32" s="8"/>
      <c r="MQ32" s="8"/>
      <c r="MR32" s="8"/>
      <c r="MS32" s="8"/>
      <c r="MT32" s="8">
        <v>29191094.68</v>
      </c>
      <c r="MU32" s="8"/>
      <c r="MV32" s="8"/>
      <c r="MW32" s="8"/>
      <c r="MX32" s="8"/>
      <c r="MY32" s="8"/>
      <c r="MZ32" s="8"/>
      <c r="NA32" s="8"/>
      <c r="NB32" s="8"/>
      <c r="NC32" s="8">
        <v>8662537.1899999995</v>
      </c>
      <c r="ND32" s="8"/>
      <c r="NE32" s="8"/>
      <c r="NF32" s="8"/>
      <c r="NG32" s="8"/>
      <c r="NH32" s="8"/>
      <c r="NI32" s="8"/>
      <c r="NJ32" s="8"/>
      <c r="NK32" s="8"/>
      <c r="NL32" s="8"/>
      <c r="NM32" s="8"/>
      <c r="NN32" s="8"/>
      <c r="NO32" s="8">
        <v>18543031.920000002</v>
      </c>
      <c r="NP32" s="8"/>
      <c r="NQ32" s="8"/>
      <c r="NR32" s="8">
        <v>13488376.449999999</v>
      </c>
      <c r="NS32" s="8"/>
      <c r="NT32" s="8">
        <v>11521731.859999999</v>
      </c>
      <c r="NU32" s="8"/>
      <c r="NV32" s="8"/>
      <c r="NW32" s="8"/>
      <c r="NX32" s="8"/>
      <c r="NY32" s="8"/>
      <c r="NZ32" s="8"/>
      <c r="OA32" s="8"/>
      <c r="OB32" s="8"/>
      <c r="OC32" s="8"/>
      <c r="OD32" s="8"/>
      <c r="OE32" s="8">
        <v>29443394.27</v>
      </c>
      <c r="OF32" s="8"/>
      <c r="OG32" s="8"/>
      <c r="OH32" s="8"/>
      <c r="OI32" s="8"/>
      <c r="OJ32" s="8">
        <v>8434849.25</v>
      </c>
      <c r="OK32" s="8"/>
      <c r="OL32" s="8"/>
      <c r="OM32" s="8"/>
      <c r="ON32" s="8"/>
      <c r="OO32" s="8"/>
      <c r="OP32" s="8"/>
      <c r="OQ32" s="5">
        <v>502755029.95999992</v>
      </c>
    </row>
    <row r="33" spans="2:407" x14ac:dyDescent="0.2">
      <c r="B33" t="s">
        <v>89</v>
      </c>
      <c r="C33" t="s">
        <v>28</v>
      </c>
      <c r="D33" s="8"/>
      <c r="E33" s="8">
        <v>763876.38</v>
      </c>
      <c r="F33" s="8"/>
      <c r="G33" s="8"/>
      <c r="H33" s="8">
        <v>2993759.05</v>
      </c>
      <c r="I33" s="8"/>
      <c r="J33" s="8"/>
      <c r="K33" s="8">
        <v>1692620.04</v>
      </c>
      <c r="L33" s="8"/>
      <c r="M33" s="8">
        <v>1170877.07</v>
      </c>
      <c r="N33" s="8"/>
      <c r="O33" s="8"/>
      <c r="P33" s="8"/>
      <c r="Q33" s="8"/>
      <c r="R33" s="8">
        <v>2060836.77</v>
      </c>
      <c r="S33" s="8">
        <v>9630.4599999999991</v>
      </c>
      <c r="T33" s="8"/>
      <c r="U33" s="8"/>
      <c r="V33" s="8"/>
      <c r="W33" s="8"/>
      <c r="X33" s="8">
        <v>2952898.55</v>
      </c>
      <c r="Y33" s="8"/>
      <c r="Z33" s="8">
        <v>1260061.08</v>
      </c>
      <c r="AA33" s="8">
        <v>2332475.36</v>
      </c>
      <c r="AB33" s="8"/>
      <c r="AC33" s="8"/>
      <c r="AD33" s="8">
        <v>3246310.65</v>
      </c>
      <c r="AE33" s="8"/>
      <c r="AF33" s="8"/>
      <c r="AG33" s="8"/>
      <c r="AH33" s="8"/>
      <c r="AI33" s="8"/>
      <c r="AJ33" s="8"/>
      <c r="AK33" s="8">
        <v>668738.14</v>
      </c>
      <c r="AL33" s="8"/>
      <c r="AM33" s="8"/>
      <c r="AN33" s="8"/>
      <c r="AO33" s="8"/>
      <c r="AP33" s="8">
        <v>845859.2</v>
      </c>
      <c r="AQ33" s="8"/>
      <c r="AR33" s="8">
        <v>1240174.3500000001</v>
      </c>
      <c r="AS33" s="8">
        <v>504559.76</v>
      </c>
      <c r="AT33" s="8"/>
      <c r="AU33" s="8"/>
      <c r="AV33" s="8">
        <v>7061.15</v>
      </c>
      <c r="AW33" s="8"/>
      <c r="AX33" s="8"/>
      <c r="AY33" s="8">
        <v>5223.6899999999996</v>
      </c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  <c r="CH33" s="8"/>
      <c r="CI33" s="8">
        <v>1905084.85</v>
      </c>
      <c r="CJ33" s="8"/>
      <c r="CK33" s="8">
        <v>1492009.1</v>
      </c>
      <c r="CL33" s="8"/>
      <c r="CM33" s="8"/>
      <c r="CN33" s="8"/>
      <c r="CO33" s="8">
        <v>5598620.2699999996</v>
      </c>
      <c r="CP33" s="8"/>
      <c r="CQ33" s="8"/>
      <c r="CR33" s="8">
        <v>2154246.39</v>
      </c>
      <c r="CS33" s="8"/>
      <c r="CT33" s="8"/>
      <c r="CU33" s="8"/>
      <c r="CV33" s="8"/>
      <c r="CW33" s="8"/>
      <c r="CX33" s="8"/>
      <c r="CY33" s="8"/>
      <c r="CZ33" s="8"/>
      <c r="DA33" s="8">
        <v>1734827.44</v>
      </c>
      <c r="DB33" s="8">
        <v>307.23</v>
      </c>
      <c r="DC33" s="8"/>
      <c r="DD33" s="8"/>
      <c r="DE33" s="8"/>
      <c r="DF33" s="8"/>
      <c r="DG33" s="8"/>
      <c r="DH33" s="8"/>
      <c r="DI33" s="8"/>
      <c r="DJ33" s="8">
        <v>1283071.6000000001</v>
      </c>
      <c r="DK33" s="8"/>
      <c r="DL33" s="8"/>
      <c r="DM33" s="8">
        <v>1347062.82</v>
      </c>
      <c r="DN33" s="8">
        <v>6397091.5999999996</v>
      </c>
      <c r="DO33" s="8">
        <v>1634850.37</v>
      </c>
      <c r="DP33" s="8"/>
      <c r="DQ33" s="8"/>
      <c r="DR33" s="8"/>
      <c r="DS33" s="8"/>
      <c r="DT33" s="8"/>
      <c r="DU33" s="8"/>
      <c r="DV33" s="8"/>
      <c r="DW33" s="8">
        <v>2245.06</v>
      </c>
      <c r="DX33" s="8"/>
      <c r="DY33" s="8"/>
      <c r="DZ33" s="8"/>
      <c r="EA33" s="8">
        <v>1503242.34</v>
      </c>
      <c r="EB33" s="8">
        <v>2364614.27</v>
      </c>
      <c r="EC33" s="8"/>
      <c r="ED33" s="8"/>
      <c r="EE33" s="8">
        <v>16509546.15</v>
      </c>
      <c r="EF33" s="8"/>
      <c r="EG33" s="8"/>
      <c r="EH33" s="8"/>
      <c r="EI33" s="8"/>
      <c r="EJ33" s="8"/>
      <c r="EK33" s="8"/>
      <c r="EL33" s="8"/>
      <c r="EM33" s="8">
        <v>10195227.49</v>
      </c>
      <c r="EN33" s="8"/>
      <c r="EO33" s="8"/>
      <c r="EP33" s="8"/>
      <c r="EQ33" s="8"/>
      <c r="ER33" s="8"/>
      <c r="ES33" s="8">
        <v>8891076.3300000001</v>
      </c>
      <c r="ET33" s="8"/>
      <c r="EU33" s="8"/>
      <c r="EV33" s="8"/>
      <c r="EW33" s="8"/>
      <c r="EX33" s="8"/>
      <c r="EY33" s="8"/>
      <c r="EZ33" s="8"/>
      <c r="FA33" s="8"/>
      <c r="FB33" s="8"/>
      <c r="FC33" s="8"/>
      <c r="FD33" s="8"/>
      <c r="FE33" s="8"/>
      <c r="FF33" s="8"/>
      <c r="FG33" s="8"/>
      <c r="FH33" s="8"/>
      <c r="FI33" s="8"/>
      <c r="FJ33" s="8"/>
      <c r="FK33" s="8"/>
      <c r="FL33" s="8"/>
      <c r="FM33" s="8"/>
      <c r="FN33" s="8">
        <v>10640300.109999999</v>
      </c>
      <c r="FO33" s="8"/>
      <c r="FP33" s="8"/>
      <c r="FQ33" s="8"/>
      <c r="FR33" s="8"/>
      <c r="FS33" s="8"/>
      <c r="FT33" s="8"/>
      <c r="FU33" s="8"/>
      <c r="FV33" s="8"/>
      <c r="FW33" s="8"/>
      <c r="FX33" s="8"/>
      <c r="FY33" s="8"/>
      <c r="FZ33" s="8"/>
      <c r="GA33" s="8"/>
      <c r="GB33" s="8"/>
      <c r="GC33" s="8"/>
      <c r="GD33" s="8"/>
      <c r="GE33" s="8"/>
      <c r="GF33" s="8"/>
      <c r="GG33" s="8"/>
      <c r="GH33" s="8"/>
      <c r="GI33" s="8"/>
      <c r="GJ33" s="8">
        <v>10251304.220000001</v>
      </c>
      <c r="GK33" s="8"/>
      <c r="GL33" s="8"/>
      <c r="GM33" s="8"/>
      <c r="GN33" s="8"/>
      <c r="GO33" s="8"/>
      <c r="GP33" s="8"/>
      <c r="GQ33" s="8">
        <v>2118501.52</v>
      </c>
      <c r="GR33" s="8"/>
      <c r="GS33" s="8"/>
      <c r="GT33" s="8"/>
      <c r="GU33" s="8">
        <v>2345030.7000000002</v>
      </c>
      <c r="GV33" s="8"/>
      <c r="GW33" s="8"/>
      <c r="GX33" s="8"/>
      <c r="GY33" s="8"/>
      <c r="GZ33" s="8">
        <v>3794927.09</v>
      </c>
      <c r="HA33" s="8"/>
      <c r="HB33" s="8"/>
      <c r="HC33" s="8"/>
      <c r="HD33" s="8"/>
      <c r="HE33" s="8"/>
      <c r="HF33" s="8"/>
      <c r="HG33" s="8"/>
      <c r="HH33" s="8"/>
      <c r="HI33" s="8"/>
      <c r="HJ33" s="8">
        <v>3740250.29</v>
      </c>
      <c r="HK33" s="8"/>
      <c r="HL33" s="8"/>
      <c r="HM33" s="8"/>
      <c r="HN33" s="8"/>
      <c r="HO33" s="8"/>
      <c r="HP33" s="8"/>
      <c r="HQ33" s="8"/>
      <c r="HR33" s="8"/>
      <c r="HS33" s="8"/>
      <c r="HT33" s="8"/>
      <c r="HU33" s="8">
        <v>12533.39</v>
      </c>
      <c r="HV33" s="8"/>
      <c r="HW33" s="8"/>
      <c r="HX33" s="8"/>
      <c r="HY33" s="8"/>
      <c r="HZ33" s="8"/>
      <c r="IA33" s="8">
        <v>2520547.7999999998</v>
      </c>
      <c r="IB33" s="8">
        <v>0.08</v>
      </c>
      <c r="IC33" s="8"/>
      <c r="ID33" s="8"/>
      <c r="IE33" s="8"/>
      <c r="IF33" s="8"/>
      <c r="IG33" s="8"/>
      <c r="IH33" s="8"/>
      <c r="II33" s="8"/>
      <c r="IJ33" s="8"/>
      <c r="IK33" s="8"/>
      <c r="IL33" s="8"/>
      <c r="IM33" s="8"/>
      <c r="IN33" s="8"/>
      <c r="IO33" s="8"/>
      <c r="IP33" s="8"/>
      <c r="IQ33" s="8"/>
      <c r="IR33" s="8"/>
      <c r="IS33" s="8"/>
      <c r="IT33" s="8"/>
      <c r="IU33" s="8"/>
      <c r="IV33" s="8"/>
      <c r="IW33" s="8"/>
      <c r="IX33" s="8"/>
      <c r="IY33" s="8"/>
      <c r="IZ33" s="8"/>
      <c r="JA33" s="8"/>
      <c r="JB33" s="8"/>
      <c r="JC33" s="8">
        <v>0.16</v>
      </c>
      <c r="JD33" s="8"/>
      <c r="JE33" s="8"/>
      <c r="JF33" s="8"/>
      <c r="JG33" s="8"/>
      <c r="JH33" s="8"/>
      <c r="JI33" s="8">
        <v>3794703.21</v>
      </c>
      <c r="JJ33" s="8">
        <v>1685824.31</v>
      </c>
      <c r="JK33" s="8"/>
      <c r="JL33" s="8"/>
      <c r="JM33" s="8"/>
      <c r="JN33" s="8"/>
      <c r="JO33" s="8">
        <v>5294007.05</v>
      </c>
      <c r="JP33" s="8"/>
      <c r="JQ33" s="8"/>
      <c r="JR33" s="8">
        <v>507.15</v>
      </c>
      <c r="JS33" s="8"/>
      <c r="JT33" s="8"/>
      <c r="JU33" s="8"/>
      <c r="JV33" s="8"/>
      <c r="JW33" s="8"/>
      <c r="JX33" s="8"/>
      <c r="JY33" s="8"/>
      <c r="JZ33" s="8"/>
      <c r="KA33" s="8"/>
      <c r="KB33" s="8">
        <v>1125562.95</v>
      </c>
      <c r="KC33" s="8"/>
      <c r="KD33" s="8"/>
      <c r="KE33" s="8"/>
      <c r="KF33" s="8"/>
      <c r="KG33" s="8">
        <v>2205157.39</v>
      </c>
      <c r="KH33" s="8"/>
      <c r="KI33" s="8"/>
      <c r="KJ33" s="8"/>
      <c r="KK33" s="8"/>
      <c r="KL33" s="8"/>
      <c r="KM33" s="8">
        <v>1274214.6000000001</v>
      </c>
      <c r="KN33" s="8"/>
      <c r="KO33" s="8"/>
      <c r="KP33" s="8">
        <v>25256.23</v>
      </c>
      <c r="KQ33" s="8"/>
      <c r="KR33" s="8"/>
      <c r="KS33" s="8"/>
      <c r="KT33" s="8"/>
      <c r="KU33" s="8"/>
      <c r="KV33" s="8">
        <v>20052527.890000001</v>
      </c>
      <c r="KW33" s="8"/>
      <c r="KX33" s="8"/>
      <c r="KY33" s="8"/>
      <c r="KZ33" s="8"/>
      <c r="LA33" s="8"/>
      <c r="LB33" s="8"/>
      <c r="LC33" s="8"/>
      <c r="LD33" s="8"/>
      <c r="LE33" s="8"/>
      <c r="LF33" s="8"/>
      <c r="LG33" s="8"/>
      <c r="LH33" s="8"/>
      <c r="LI33" s="8"/>
      <c r="LJ33" s="8">
        <v>13180426.34</v>
      </c>
      <c r="LK33" s="8"/>
      <c r="LL33" s="8"/>
      <c r="LM33" s="8"/>
      <c r="LN33" s="8"/>
      <c r="LO33" s="8"/>
      <c r="LP33" s="8"/>
      <c r="LQ33" s="8"/>
      <c r="LR33" s="8"/>
      <c r="LS33" s="8"/>
      <c r="LT33" s="8"/>
      <c r="LU33" s="8"/>
      <c r="LV33" s="8"/>
      <c r="LW33" s="8"/>
      <c r="LX33" s="8"/>
      <c r="LY33" s="8"/>
      <c r="LZ33" s="8"/>
      <c r="MA33" s="8"/>
      <c r="MB33" s="8">
        <v>20381028.170000002</v>
      </c>
      <c r="MC33" s="8">
        <v>17874271.73</v>
      </c>
      <c r="MD33" s="8"/>
      <c r="ME33" s="8"/>
      <c r="MF33" s="8"/>
      <c r="MG33" s="8"/>
      <c r="MH33" s="8"/>
      <c r="MI33" s="8"/>
      <c r="MJ33" s="8"/>
      <c r="MK33" s="8"/>
      <c r="ML33" s="8">
        <v>5986206.8099999996</v>
      </c>
      <c r="MM33" s="8"/>
      <c r="MN33" s="8"/>
      <c r="MO33" s="8"/>
      <c r="MP33" s="8"/>
      <c r="MQ33" s="8"/>
      <c r="MR33" s="8"/>
      <c r="MS33" s="8"/>
      <c r="MT33" s="8"/>
      <c r="MU33" s="8"/>
      <c r="MV33" s="8"/>
      <c r="MW33" s="8"/>
      <c r="MX33" s="8"/>
      <c r="MY33" s="8">
        <v>17199909.84</v>
      </c>
      <c r="MZ33" s="8"/>
      <c r="NA33" s="8"/>
      <c r="NB33" s="8"/>
      <c r="NC33" s="8"/>
      <c r="ND33" s="8"/>
      <c r="NE33" s="8"/>
      <c r="NF33" s="8"/>
      <c r="NG33" s="8"/>
      <c r="NH33" s="8"/>
      <c r="NI33" s="8"/>
      <c r="NJ33" s="8"/>
      <c r="NK33" s="8"/>
      <c r="NL33" s="8"/>
      <c r="NM33" s="8"/>
      <c r="NN33" s="8">
        <v>8180534.5999999996</v>
      </c>
      <c r="NO33" s="8"/>
      <c r="NP33" s="8">
        <v>7740222.9400000004</v>
      </c>
      <c r="NQ33" s="8"/>
      <c r="NR33" s="8">
        <v>9823369.4800000004</v>
      </c>
      <c r="NS33" s="8"/>
      <c r="NT33" s="8"/>
      <c r="NU33" s="8"/>
      <c r="NV33" s="8"/>
      <c r="NW33" s="8"/>
      <c r="NX33" s="8"/>
      <c r="NY33" s="8"/>
      <c r="NZ33" s="8">
        <v>3073564.95</v>
      </c>
      <c r="OA33" s="8"/>
      <c r="OB33" s="8"/>
      <c r="OC33" s="8"/>
      <c r="OD33" s="8"/>
      <c r="OE33" s="8"/>
      <c r="OF33" s="8"/>
      <c r="OG33" s="8"/>
      <c r="OH33" s="8"/>
      <c r="OI33" s="8">
        <v>9426169.4299999997</v>
      </c>
      <c r="OJ33" s="8"/>
      <c r="OK33" s="8">
        <v>11478415.1</v>
      </c>
      <c r="OL33" s="8"/>
      <c r="OM33" s="8">
        <v>789288.73</v>
      </c>
      <c r="ON33" s="8"/>
      <c r="OO33" s="8"/>
      <c r="OP33" s="8"/>
      <c r="OQ33" s="5">
        <v>280782649.26999998</v>
      </c>
    </row>
    <row r="34" spans="2:407" x14ac:dyDescent="0.2">
      <c r="B34" t="s">
        <v>98</v>
      </c>
      <c r="C34" t="s">
        <v>34</v>
      </c>
      <c r="D34" s="8">
        <v>11109311.92</v>
      </c>
      <c r="E34" s="8"/>
      <c r="F34" s="8">
        <v>340.48</v>
      </c>
      <c r="G34" s="8">
        <v>16195986.58</v>
      </c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>
        <v>13361595.189999999</v>
      </c>
      <c r="T34" s="8"/>
      <c r="U34" s="8">
        <v>19401990.420000002</v>
      </c>
      <c r="V34" s="8"/>
      <c r="W34" s="8">
        <v>27700285.68</v>
      </c>
      <c r="X34" s="8">
        <v>17900800.899999999</v>
      </c>
      <c r="Y34" s="8"/>
      <c r="Z34" s="8"/>
      <c r="AA34" s="8"/>
      <c r="AB34" s="8"/>
      <c r="AC34" s="8"/>
      <c r="AD34" s="8"/>
      <c r="AE34" s="8">
        <v>13144091.220000001</v>
      </c>
      <c r="AF34" s="8"/>
      <c r="AG34" s="8"/>
      <c r="AH34" s="8"/>
      <c r="AI34" s="8"/>
      <c r="AJ34" s="8"/>
      <c r="AK34" s="8">
        <v>4389612.8899999997</v>
      </c>
      <c r="AL34" s="8">
        <v>4956099.49</v>
      </c>
      <c r="AM34" s="8"/>
      <c r="AN34" s="8"/>
      <c r="AO34" s="8">
        <v>6220472.3300000001</v>
      </c>
      <c r="AP34" s="8">
        <v>6413461.8200000003</v>
      </c>
      <c r="AQ34" s="8"/>
      <c r="AR34" s="8"/>
      <c r="AS34" s="8"/>
      <c r="AT34" s="8">
        <v>8585837.2200000007</v>
      </c>
      <c r="AU34" s="8"/>
      <c r="AV34" s="8"/>
      <c r="AW34" s="8">
        <v>3835791.89</v>
      </c>
      <c r="AX34" s="8"/>
      <c r="AY34" s="8">
        <v>4988664.8600000003</v>
      </c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>
        <v>100997104.5</v>
      </c>
      <c r="BK34" s="8"/>
      <c r="BL34" s="8"/>
      <c r="BM34" s="8"/>
      <c r="BN34" s="8"/>
      <c r="BO34" s="8"/>
      <c r="BP34" s="8">
        <v>33605700</v>
      </c>
      <c r="BQ34" s="8"/>
      <c r="BR34" s="8"/>
      <c r="BS34" s="8"/>
      <c r="BT34" s="8"/>
      <c r="BU34" s="8">
        <v>2393.11</v>
      </c>
      <c r="BV34" s="8"/>
      <c r="BW34" s="8"/>
      <c r="BX34" s="8"/>
      <c r="BY34" s="8">
        <v>63499302.299999997</v>
      </c>
      <c r="BZ34" s="8"/>
      <c r="CA34" s="8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>
        <v>37396053.460000001</v>
      </c>
      <c r="CR34" s="8"/>
      <c r="CS34" s="8"/>
      <c r="CT34" s="8">
        <v>62539648.990000002</v>
      </c>
      <c r="CU34" s="8"/>
      <c r="CV34" s="8"/>
      <c r="CW34" s="8"/>
      <c r="CX34" s="8">
        <v>963.2</v>
      </c>
      <c r="CY34" s="8"/>
      <c r="CZ34" s="8"/>
      <c r="DA34" s="8"/>
      <c r="DB34" s="8"/>
      <c r="DC34" s="8"/>
      <c r="DD34" s="8"/>
      <c r="DE34" s="8"/>
      <c r="DF34" s="8">
        <v>65927990.950000003</v>
      </c>
      <c r="DG34" s="8"/>
      <c r="DH34" s="8"/>
      <c r="DI34" s="8">
        <v>8683.94</v>
      </c>
      <c r="DJ34" s="8">
        <v>49931882.25</v>
      </c>
      <c r="DK34" s="8"/>
      <c r="DL34" s="8"/>
      <c r="DM34" s="8"/>
      <c r="DN34" s="8"/>
      <c r="DO34" s="8">
        <v>18102506.07</v>
      </c>
      <c r="DP34" s="8"/>
      <c r="DQ34" s="8">
        <v>23177878.940000001</v>
      </c>
      <c r="DR34" s="8"/>
      <c r="DS34" s="8"/>
      <c r="DT34" s="8"/>
      <c r="DU34" s="8"/>
      <c r="DV34" s="8"/>
      <c r="DW34" s="8">
        <v>34870625.710000001</v>
      </c>
      <c r="DX34" s="8"/>
      <c r="DY34" s="8"/>
      <c r="DZ34" s="8"/>
      <c r="EA34" s="8"/>
      <c r="EB34" s="8"/>
      <c r="EC34" s="8"/>
      <c r="ED34" s="8">
        <v>47669667.469999999</v>
      </c>
      <c r="EE34" s="8"/>
      <c r="EF34" s="8"/>
      <c r="EG34" s="8"/>
      <c r="EH34" s="8"/>
      <c r="EI34" s="8">
        <v>39131449.770000003</v>
      </c>
      <c r="EJ34" s="8"/>
      <c r="EK34" s="8"/>
      <c r="EL34" s="8"/>
      <c r="EM34" s="8"/>
      <c r="EN34" s="8">
        <v>66130385.979999997</v>
      </c>
      <c r="EO34" s="8"/>
      <c r="EP34" s="8"/>
      <c r="EQ34" s="8"/>
      <c r="ER34" s="8"/>
      <c r="ES34" s="8"/>
      <c r="ET34" s="8"/>
      <c r="EU34" s="8">
        <v>38229304.659999996</v>
      </c>
      <c r="EV34" s="8"/>
      <c r="EW34" s="8"/>
      <c r="EX34" s="8"/>
      <c r="EY34" s="8">
        <v>43293736.93</v>
      </c>
      <c r="EZ34" s="8"/>
      <c r="FA34" s="8"/>
      <c r="FB34" s="8">
        <v>30168546.25</v>
      </c>
      <c r="FC34" s="8"/>
      <c r="FD34" s="8"/>
      <c r="FE34" s="8">
        <v>38150276.869999997</v>
      </c>
      <c r="FF34" s="8"/>
      <c r="FG34" s="8"/>
      <c r="FH34" s="8"/>
      <c r="FI34" s="8"/>
      <c r="FJ34" s="8"/>
      <c r="FK34" s="8"/>
      <c r="FL34" s="8"/>
      <c r="FM34" s="8"/>
      <c r="FN34" s="8"/>
      <c r="FO34" s="8"/>
      <c r="FP34" s="8"/>
      <c r="FQ34" s="8"/>
      <c r="FR34" s="8"/>
      <c r="FS34" s="8"/>
      <c r="FT34" s="8"/>
      <c r="FU34" s="8"/>
      <c r="FV34" s="8"/>
      <c r="FW34" s="8"/>
      <c r="FX34" s="8"/>
      <c r="FY34" s="8"/>
      <c r="FZ34" s="8"/>
      <c r="GA34" s="8"/>
      <c r="GB34" s="8"/>
      <c r="GC34" s="8"/>
      <c r="GD34" s="8"/>
      <c r="GE34" s="8"/>
      <c r="GF34" s="8"/>
      <c r="GG34" s="8"/>
      <c r="GH34" s="8"/>
      <c r="GI34" s="8"/>
      <c r="GJ34" s="8"/>
      <c r="GK34" s="8"/>
      <c r="GL34" s="8"/>
      <c r="GM34" s="8"/>
      <c r="GN34" s="8"/>
      <c r="GO34" s="8"/>
      <c r="GP34" s="8"/>
      <c r="GQ34" s="8"/>
      <c r="GR34" s="8"/>
      <c r="GS34" s="8"/>
      <c r="GT34" s="8"/>
      <c r="GU34" s="8"/>
      <c r="GV34" s="8"/>
      <c r="GW34" s="8"/>
      <c r="GX34" s="8"/>
      <c r="GY34" s="8"/>
      <c r="GZ34" s="8"/>
      <c r="HA34" s="8"/>
      <c r="HB34" s="8"/>
      <c r="HC34" s="8"/>
      <c r="HD34" s="8"/>
      <c r="HE34" s="8">
        <v>0.22</v>
      </c>
      <c r="HF34" s="8"/>
      <c r="HG34" s="8"/>
      <c r="HH34" s="8"/>
      <c r="HI34" s="8"/>
      <c r="HJ34" s="8"/>
      <c r="HK34" s="8"/>
      <c r="HL34" s="8"/>
      <c r="HM34" s="8">
        <v>45597894.18</v>
      </c>
      <c r="HN34" s="8"/>
      <c r="HO34" s="8"/>
      <c r="HP34" s="8"/>
      <c r="HQ34" s="8"/>
      <c r="HR34" s="8"/>
      <c r="HS34" s="8"/>
      <c r="HT34" s="8"/>
      <c r="HU34" s="8"/>
      <c r="HV34" s="8"/>
      <c r="HW34" s="8">
        <v>33829181.799999997</v>
      </c>
      <c r="HX34" s="8"/>
      <c r="HY34" s="8">
        <v>78932271.709999993</v>
      </c>
      <c r="HZ34" s="8">
        <v>11764.54</v>
      </c>
      <c r="IA34" s="8"/>
      <c r="IB34" s="8"/>
      <c r="IC34" s="8">
        <v>41233365.039999999</v>
      </c>
      <c r="ID34" s="8"/>
      <c r="IE34" s="8"/>
      <c r="IF34" s="8"/>
      <c r="IG34" s="8"/>
      <c r="IH34" s="8">
        <v>20676617.640000001</v>
      </c>
      <c r="II34" s="8"/>
      <c r="IJ34" s="8">
        <v>34152164.719999999</v>
      </c>
      <c r="IK34" s="8"/>
      <c r="IL34" s="8"/>
      <c r="IM34" s="8">
        <v>17898421.23</v>
      </c>
      <c r="IN34" s="8">
        <v>32713558.239999998</v>
      </c>
      <c r="IO34" s="8">
        <v>8027.83</v>
      </c>
      <c r="IP34" s="8">
        <v>6941788.5</v>
      </c>
      <c r="IQ34" s="8"/>
      <c r="IR34" s="8">
        <v>21851170.43</v>
      </c>
      <c r="IS34" s="8"/>
      <c r="IT34" s="8"/>
      <c r="IU34" s="8"/>
      <c r="IV34" s="8"/>
      <c r="IW34" s="8"/>
      <c r="IX34" s="8"/>
      <c r="IY34" s="8"/>
      <c r="IZ34" s="8"/>
      <c r="JA34" s="8"/>
      <c r="JB34" s="8"/>
      <c r="JC34" s="8"/>
      <c r="JD34" s="8"/>
      <c r="JE34" s="8"/>
      <c r="JF34" s="8"/>
      <c r="JG34" s="8"/>
      <c r="JH34" s="8"/>
      <c r="JI34" s="8"/>
      <c r="JJ34" s="8"/>
      <c r="JK34" s="8"/>
      <c r="JL34" s="8"/>
      <c r="JM34" s="8"/>
      <c r="JN34" s="8"/>
      <c r="JO34" s="8"/>
      <c r="JP34" s="8"/>
      <c r="JQ34" s="8"/>
      <c r="JR34" s="8"/>
      <c r="JS34" s="8"/>
      <c r="JT34" s="8"/>
      <c r="JU34" s="8"/>
      <c r="JV34" s="8"/>
      <c r="JW34" s="8"/>
      <c r="JX34" s="8"/>
      <c r="JY34" s="8">
        <v>44722732.990000002</v>
      </c>
      <c r="JZ34" s="8"/>
      <c r="KA34" s="8"/>
      <c r="KB34" s="8"/>
      <c r="KC34" s="8"/>
      <c r="KD34" s="8"/>
      <c r="KE34" s="8">
        <v>23601079.02</v>
      </c>
      <c r="KF34" s="8"/>
      <c r="KG34" s="8">
        <v>4786773.8099999996</v>
      </c>
      <c r="KH34" s="8">
        <v>6252122.7699999996</v>
      </c>
      <c r="KI34" s="8"/>
      <c r="KJ34" s="8">
        <v>14324.53</v>
      </c>
      <c r="KK34" s="8">
        <v>892.05</v>
      </c>
      <c r="KL34" s="8"/>
      <c r="KM34" s="8">
        <v>299.82</v>
      </c>
      <c r="KN34" s="8"/>
      <c r="KO34" s="8"/>
      <c r="KP34" s="8"/>
      <c r="KQ34" s="8"/>
      <c r="KR34" s="8"/>
      <c r="KS34" s="8"/>
      <c r="KT34" s="8"/>
      <c r="KU34" s="8"/>
      <c r="KV34" s="8"/>
      <c r="KW34" s="8"/>
      <c r="KX34" s="8">
        <v>171790479.40000001</v>
      </c>
      <c r="KY34" s="8"/>
      <c r="KZ34" s="8"/>
      <c r="LA34" s="8"/>
      <c r="LB34" s="8"/>
      <c r="LC34" s="8">
        <v>255874021.72</v>
      </c>
      <c r="LD34" s="8"/>
      <c r="LE34" s="8"/>
      <c r="LF34" s="8"/>
      <c r="LG34" s="8"/>
      <c r="LH34" s="8"/>
      <c r="LI34" s="8"/>
      <c r="LJ34" s="8"/>
      <c r="LK34" s="8"/>
      <c r="LL34" s="8"/>
      <c r="LM34" s="8"/>
      <c r="LN34" s="8"/>
      <c r="LO34" s="8"/>
      <c r="LP34" s="8"/>
      <c r="LQ34" s="8">
        <v>176291109.40000001</v>
      </c>
      <c r="LR34" s="8"/>
      <c r="LS34" s="8"/>
      <c r="LT34" s="8"/>
      <c r="LU34" s="8"/>
      <c r="LV34" s="8"/>
      <c r="LW34" s="8"/>
      <c r="LX34" s="8"/>
      <c r="LY34" s="8"/>
      <c r="LZ34" s="8"/>
      <c r="MA34" s="8"/>
      <c r="MB34" s="8"/>
      <c r="MC34" s="8"/>
      <c r="MD34" s="8"/>
      <c r="ME34" s="8"/>
      <c r="MF34" s="8"/>
      <c r="MG34" s="8"/>
      <c r="MH34" s="8"/>
      <c r="MI34" s="8"/>
      <c r="MJ34" s="8">
        <v>73597768.719999999</v>
      </c>
      <c r="MK34" s="8">
        <v>351044364.67000002</v>
      </c>
      <c r="ML34" s="8"/>
      <c r="MM34" s="8"/>
      <c r="MN34" s="8"/>
      <c r="MO34" s="8"/>
      <c r="MP34" s="8"/>
      <c r="MQ34" s="8"/>
      <c r="MR34" s="8"/>
      <c r="MS34" s="8"/>
      <c r="MT34" s="8"/>
      <c r="MU34" s="8">
        <v>76943296.739999995</v>
      </c>
      <c r="MV34" s="8"/>
      <c r="MW34" s="8"/>
      <c r="MX34" s="8"/>
      <c r="MY34" s="8"/>
      <c r="MZ34" s="8"/>
      <c r="NA34" s="8"/>
      <c r="NB34" s="8"/>
      <c r="NC34" s="8"/>
      <c r="ND34" s="8">
        <v>36351006.039999999</v>
      </c>
      <c r="NE34" s="8"/>
      <c r="NF34" s="8"/>
      <c r="NG34" s="8"/>
      <c r="NH34" s="8"/>
      <c r="NI34" s="8"/>
      <c r="NJ34" s="8"/>
      <c r="NK34" s="8"/>
      <c r="NL34" s="8"/>
      <c r="NM34" s="8"/>
      <c r="NN34" s="8"/>
      <c r="NO34" s="8"/>
      <c r="NP34" s="8"/>
      <c r="NQ34" s="8"/>
      <c r="NR34" s="8"/>
      <c r="NS34" s="8"/>
      <c r="NT34" s="8"/>
      <c r="NU34" s="8"/>
      <c r="NV34" s="8"/>
      <c r="NW34" s="8"/>
      <c r="NX34" s="8"/>
      <c r="NY34" s="8"/>
      <c r="NZ34" s="8"/>
      <c r="OA34" s="8"/>
      <c r="OB34" s="8"/>
      <c r="OC34" s="8"/>
      <c r="OD34" s="8"/>
      <c r="OE34" s="8"/>
      <c r="OF34" s="8"/>
      <c r="OG34" s="8"/>
      <c r="OH34" s="8"/>
      <c r="OI34" s="8"/>
      <c r="OJ34" s="8"/>
      <c r="OK34" s="8"/>
      <c r="OL34" s="8"/>
      <c r="OM34" s="8"/>
      <c r="ON34" s="8"/>
      <c r="OO34" s="8"/>
      <c r="OP34" s="8"/>
      <c r="OQ34" s="5">
        <v>2506154941.9999995</v>
      </c>
    </row>
    <row r="35" spans="2:407" x14ac:dyDescent="0.2">
      <c r="B35" t="s">
        <v>99</v>
      </c>
      <c r="C35" t="s">
        <v>35</v>
      </c>
      <c r="D35" s="8"/>
      <c r="E35" s="8"/>
      <c r="F35" s="8"/>
      <c r="G35" s="8"/>
      <c r="H35" s="8"/>
      <c r="I35" s="8"/>
      <c r="J35" s="8">
        <v>16763519.789999999</v>
      </c>
      <c r="K35" s="8"/>
      <c r="L35" s="8"/>
      <c r="M35" s="8"/>
      <c r="N35" s="8">
        <v>4413365.6399999997</v>
      </c>
      <c r="O35" s="8"/>
      <c r="P35" s="8">
        <v>2986436.35</v>
      </c>
      <c r="Q35" s="8"/>
      <c r="R35" s="8"/>
      <c r="S35" s="8"/>
      <c r="T35" s="8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/>
      <c r="AH35" s="8"/>
      <c r="AI35" s="8"/>
      <c r="AJ35" s="8"/>
      <c r="AK35" s="8"/>
      <c r="AL35" s="8">
        <v>1.1599999999999999</v>
      </c>
      <c r="AM35" s="8"/>
      <c r="AN35" s="8"/>
      <c r="AO35" s="8">
        <v>3781177.86</v>
      </c>
      <c r="AP35" s="8"/>
      <c r="AQ35" s="8">
        <v>3779153.84</v>
      </c>
      <c r="AR35" s="8">
        <v>1942813.67</v>
      </c>
      <c r="AS35" s="8"/>
      <c r="AT35" s="8"/>
      <c r="AU35" s="8">
        <v>2825.68</v>
      </c>
      <c r="AV35" s="8">
        <v>3266454.01</v>
      </c>
      <c r="AW35" s="8"/>
      <c r="AX35" s="8">
        <v>1631660.89</v>
      </c>
      <c r="AY35" s="8">
        <v>1388269.55</v>
      </c>
      <c r="AZ35" s="8"/>
      <c r="BA35" s="8">
        <v>5060.67</v>
      </c>
      <c r="BB35" s="8"/>
      <c r="BC35" s="8"/>
      <c r="BD35" s="8"/>
      <c r="BE35" s="8">
        <v>17360331.399999999</v>
      </c>
      <c r="BF35" s="8"/>
      <c r="BG35" s="8"/>
      <c r="BH35" s="8"/>
      <c r="BI35" s="8"/>
      <c r="BJ35" s="8">
        <v>23907329.010000002</v>
      </c>
      <c r="BK35" s="8"/>
      <c r="BL35" s="8"/>
      <c r="BM35" s="8"/>
      <c r="BN35" s="8"/>
      <c r="BO35" s="8"/>
      <c r="BP35" s="8"/>
      <c r="BQ35" s="8"/>
      <c r="BR35" s="8">
        <v>12043350.32</v>
      </c>
      <c r="BS35" s="8"/>
      <c r="BT35" s="8">
        <v>14696233.84</v>
      </c>
      <c r="BU35" s="8"/>
      <c r="BV35" s="8"/>
      <c r="BW35" s="8"/>
      <c r="BX35" s="8"/>
      <c r="BY35" s="8"/>
      <c r="BZ35" s="8">
        <v>9818732.5099999998</v>
      </c>
      <c r="CA35" s="8"/>
      <c r="CB35" s="8"/>
      <c r="CC35" s="8"/>
      <c r="CD35" s="8"/>
      <c r="CE35" s="8"/>
      <c r="CF35" s="8"/>
      <c r="CG35" s="8"/>
      <c r="CH35" s="8"/>
      <c r="CI35" s="8">
        <v>5660842.6200000001</v>
      </c>
      <c r="CJ35" s="8"/>
      <c r="CK35" s="8"/>
      <c r="CL35" s="8"/>
      <c r="CM35" s="8"/>
      <c r="CN35" s="8"/>
      <c r="CO35" s="8"/>
      <c r="CP35" s="8"/>
      <c r="CQ35" s="8"/>
      <c r="CR35" s="8">
        <v>11715172.140000001</v>
      </c>
      <c r="CS35" s="8">
        <v>9665994.2799999993</v>
      </c>
      <c r="CT35" s="8"/>
      <c r="CU35" s="8">
        <v>10377626.060000001</v>
      </c>
      <c r="CV35" s="8">
        <v>13443291.75</v>
      </c>
      <c r="CW35" s="8"/>
      <c r="CX35" s="8"/>
      <c r="CY35" s="8"/>
      <c r="CZ35" s="8"/>
      <c r="DA35" s="8">
        <v>5545206.4900000002</v>
      </c>
      <c r="DB35" s="8"/>
      <c r="DC35" s="8"/>
      <c r="DD35" s="8"/>
      <c r="DE35" s="8"/>
      <c r="DF35" s="8">
        <v>9385723.7300000004</v>
      </c>
      <c r="DG35" s="8"/>
      <c r="DH35" s="8"/>
      <c r="DI35" s="8"/>
      <c r="DJ35" s="8"/>
      <c r="DK35" s="8"/>
      <c r="DL35" s="8"/>
      <c r="DM35" s="8"/>
      <c r="DN35" s="8"/>
      <c r="DO35" s="8"/>
      <c r="DP35" s="8"/>
      <c r="DQ35" s="8"/>
      <c r="DR35" s="8"/>
      <c r="DS35" s="8"/>
      <c r="DT35" s="8"/>
      <c r="DU35" s="8"/>
      <c r="DV35" s="8"/>
      <c r="DW35" s="8"/>
      <c r="DX35" s="8"/>
      <c r="DY35" s="8"/>
      <c r="DZ35" s="8"/>
      <c r="EA35" s="8"/>
      <c r="EB35" s="8"/>
      <c r="EC35" s="8"/>
      <c r="ED35" s="8"/>
      <c r="EE35" s="8"/>
      <c r="EF35" s="8">
        <v>16516458.300000001</v>
      </c>
      <c r="EG35" s="8"/>
      <c r="EH35" s="8"/>
      <c r="EI35" s="8"/>
      <c r="EJ35" s="8"/>
      <c r="EK35" s="8"/>
      <c r="EL35" s="8"/>
      <c r="EM35" s="8"/>
      <c r="EN35" s="8">
        <v>21229341.66</v>
      </c>
      <c r="EO35" s="8"/>
      <c r="EP35" s="8"/>
      <c r="EQ35" s="8"/>
      <c r="ER35" s="8"/>
      <c r="ES35" s="8"/>
      <c r="ET35" s="8"/>
      <c r="EU35" s="8"/>
      <c r="EV35" s="8"/>
      <c r="EW35" s="8"/>
      <c r="EX35" s="8"/>
      <c r="EY35" s="8"/>
      <c r="EZ35" s="8"/>
      <c r="FA35" s="8"/>
      <c r="FB35" s="8"/>
      <c r="FC35" s="8"/>
      <c r="FD35" s="8"/>
      <c r="FE35" s="8">
        <v>8340833.75</v>
      </c>
      <c r="FF35" s="8">
        <v>20972187.329999998</v>
      </c>
      <c r="FG35" s="8"/>
      <c r="FH35" s="8">
        <v>7157253</v>
      </c>
      <c r="FI35" s="8">
        <v>30925841.5</v>
      </c>
      <c r="FJ35" s="8"/>
      <c r="FK35" s="8"/>
      <c r="FL35" s="8"/>
      <c r="FM35" s="8"/>
      <c r="FN35" s="8">
        <v>15951508.27</v>
      </c>
      <c r="FO35" s="8"/>
      <c r="FP35" s="8"/>
      <c r="FQ35" s="8"/>
      <c r="FR35" s="8"/>
      <c r="FS35" s="8"/>
      <c r="FT35" s="8"/>
      <c r="FU35" s="8"/>
      <c r="FV35" s="8"/>
      <c r="FW35" s="8"/>
      <c r="FX35" s="8"/>
      <c r="FY35" s="8"/>
      <c r="FZ35" s="8"/>
      <c r="GA35" s="8">
        <v>28837310.27</v>
      </c>
      <c r="GB35" s="8"/>
      <c r="GC35" s="8"/>
      <c r="GD35" s="8"/>
      <c r="GE35" s="8"/>
      <c r="GF35" s="8"/>
      <c r="GG35" s="8"/>
      <c r="GH35" s="8"/>
      <c r="GI35" s="8"/>
      <c r="GJ35" s="8"/>
      <c r="GK35" s="8">
        <v>46943394.460000001</v>
      </c>
      <c r="GL35" s="8"/>
      <c r="GM35" s="8"/>
      <c r="GN35" s="8"/>
      <c r="GO35" s="8"/>
      <c r="GP35" s="8"/>
      <c r="GQ35" s="8"/>
      <c r="GR35" s="8"/>
      <c r="GS35" s="8"/>
      <c r="GT35" s="8"/>
      <c r="GU35" s="8"/>
      <c r="GV35" s="8">
        <v>0.93</v>
      </c>
      <c r="GW35" s="8"/>
      <c r="GX35" s="8"/>
      <c r="GY35" s="8">
        <v>31049841.440000001</v>
      </c>
      <c r="GZ35" s="8"/>
      <c r="HA35" s="8"/>
      <c r="HB35" s="8">
        <v>16851823.559999999</v>
      </c>
      <c r="HC35" s="8"/>
      <c r="HD35" s="8"/>
      <c r="HE35" s="8"/>
      <c r="HF35" s="8"/>
      <c r="HG35" s="8">
        <v>9765381.25</v>
      </c>
      <c r="HH35" s="8"/>
      <c r="HI35" s="8"/>
      <c r="HJ35" s="8"/>
      <c r="HK35" s="8"/>
      <c r="HL35" s="8"/>
      <c r="HM35" s="8"/>
      <c r="HN35" s="8"/>
      <c r="HO35" s="8"/>
      <c r="HP35" s="8"/>
      <c r="HQ35" s="8"/>
      <c r="HR35" s="8">
        <v>45637724.229999997</v>
      </c>
      <c r="HS35" s="8"/>
      <c r="HT35" s="8"/>
      <c r="HU35" s="8"/>
      <c r="HV35" s="8"/>
      <c r="HW35" s="8">
        <v>3048879.05</v>
      </c>
      <c r="HX35" s="8"/>
      <c r="HY35" s="8"/>
      <c r="HZ35" s="8"/>
      <c r="IA35" s="8"/>
      <c r="IB35" s="8"/>
      <c r="IC35" s="8"/>
      <c r="ID35" s="8"/>
      <c r="IE35" s="8"/>
      <c r="IF35" s="8"/>
      <c r="IG35" s="8"/>
      <c r="IH35" s="8"/>
      <c r="II35" s="8"/>
      <c r="IJ35" s="8"/>
      <c r="IK35" s="8"/>
      <c r="IL35" s="8"/>
      <c r="IM35" s="8"/>
      <c r="IN35" s="8"/>
      <c r="IO35" s="8"/>
      <c r="IP35" s="8"/>
      <c r="IQ35" s="8"/>
      <c r="IR35" s="8"/>
      <c r="IS35" s="8"/>
      <c r="IT35" s="8"/>
      <c r="IU35" s="8"/>
      <c r="IV35" s="8"/>
      <c r="IW35" s="8"/>
      <c r="IX35" s="8"/>
      <c r="IY35" s="8"/>
      <c r="IZ35" s="8"/>
      <c r="JA35" s="8"/>
      <c r="JB35" s="8"/>
      <c r="JC35" s="8"/>
      <c r="JD35" s="8">
        <v>15144313.380000001</v>
      </c>
      <c r="JE35" s="8"/>
      <c r="JF35" s="8"/>
      <c r="JG35" s="8"/>
      <c r="JH35" s="8"/>
      <c r="JI35" s="8"/>
      <c r="JJ35" s="8"/>
      <c r="JK35" s="8"/>
      <c r="JL35" s="8"/>
      <c r="JM35" s="8"/>
      <c r="JN35" s="8"/>
      <c r="JO35" s="8"/>
      <c r="JP35" s="8"/>
      <c r="JQ35" s="8">
        <v>16624849.75</v>
      </c>
      <c r="JR35" s="8"/>
      <c r="JS35" s="8"/>
      <c r="JT35" s="8">
        <v>1281.32</v>
      </c>
      <c r="JU35" s="8"/>
      <c r="JV35" s="8"/>
      <c r="JW35" s="8"/>
      <c r="JX35" s="8">
        <v>16170630.76</v>
      </c>
      <c r="JY35" s="8"/>
      <c r="JZ35" s="8">
        <v>10203.36</v>
      </c>
      <c r="KA35" s="8"/>
      <c r="KB35" s="8"/>
      <c r="KC35" s="8"/>
      <c r="KD35" s="8"/>
      <c r="KE35" s="8"/>
      <c r="KF35" s="8"/>
      <c r="KG35" s="8"/>
      <c r="KH35" s="8"/>
      <c r="KI35" s="8"/>
      <c r="KJ35" s="8">
        <v>4282684.7699999996</v>
      </c>
      <c r="KK35" s="8">
        <v>9399677.9000000004</v>
      </c>
      <c r="KL35" s="8">
        <v>14242911.800000001</v>
      </c>
      <c r="KM35" s="8">
        <v>3003490.45</v>
      </c>
      <c r="KN35" s="8">
        <v>45971776.109999999</v>
      </c>
      <c r="KO35" s="8"/>
      <c r="KP35" s="8"/>
      <c r="KQ35" s="8">
        <v>27745219.969999999</v>
      </c>
      <c r="KR35" s="8"/>
      <c r="KS35" s="8"/>
      <c r="KT35" s="8"/>
      <c r="KU35" s="8"/>
      <c r="KV35" s="8"/>
      <c r="KW35" s="8"/>
      <c r="KX35" s="8"/>
      <c r="KY35" s="8">
        <v>33582699.68</v>
      </c>
      <c r="KZ35" s="8">
        <v>48918218.189999998</v>
      </c>
      <c r="LA35" s="8"/>
      <c r="LB35" s="8"/>
      <c r="LC35" s="8"/>
      <c r="LD35" s="8"/>
      <c r="LE35" s="8"/>
      <c r="LF35" s="8"/>
      <c r="LG35" s="8"/>
      <c r="LH35" s="8"/>
      <c r="LI35" s="8"/>
      <c r="LJ35" s="8"/>
      <c r="LK35" s="8">
        <v>27094100.420000002</v>
      </c>
      <c r="LL35" s="8"/>
      <c r="LM35" s="8"/>
      <c r="LN35" s="8"/>
      <c r="LO35" s="8">
        <v>23773423.739999998</v>
      </c>
      <c r="LP35" s="8"/>
      <c r="LQ35" s="8"/>
      <c r="LR35" s="8"/>
      <c r="LS35" s="8"/>
      <c r="LT35" s="8"/>
      <c r="LU35" s="8"/>
      <c r="LV35" s="8">
        <v>40155398.899999999</v>
      </c>
      <c r="LW35" s="8"/>
      <c r="LX35" s="8"/>
      <c r="LY35" s="8"/>
      <c r="LZ35" s="8"/>
      <c r="MA35" s="8"/>
      <c r="MB35" s="8"/>
      <c r="MC35" s="8"/>
      <c r="MD35" s="8"/>
      <c r="ME35" s="8"/>
      <c r="MF35" s="8"/>
      <c r="MG35" s="8">
        <v>98026348.540000007</v>
      </c>
      <c r="MH35" s="8"/>
      <c r="MI35" s="8">
        <v>1365.8</v>
      </c>
      <c r="MJ35" s="8"/>
      <c r="MK35" s="8"/>
      <c r="ML35" s="8"/>
      <c r="MM35" s="8"/>
      <c r="MN35" s="8">
        <v>36906556.479999997</v>
      </c>
      <c r="MO35" s="8"/>
      <c r="MP35" s="8">
        <v>78027917.359999999</v>
      </c>
      <c r="MQ35" s="8"/>
      <c r="MR35" s="8"/>
      <c r="MS35" s="8"/>
      <c r="MT35" s="8"/>
      <c r="MU35" s="8"/>
      <c r="MV35" s="8"/>
      <c r="MW35" s="8"/>
      <c r="MX35" s="8"/>
      <c r="MY35" s="8"/>
      <c r="MZ35" s="8"/>
      <c r="NA35" s="8"/>
      <c r="NB35" s="8"/>
      <c r="NC35" s="8"/>
      <c r="ND35" s="8"/>
      <c r="NE35" s="8"/>
      <c r="NF35" s="8"/>
      <c r="NG35" s="8"/>
      <c r="NH35" s="8"/>
      <c r="NI35" s="8"/>
      <c r="NJ35" s="8"/>
      <c r="NK35" s="8"/>
      <c r="NL35" s="8"/>
      <c r="NM35" s="8"/>
      <c r="NN35" s="8"/>
      <c r="NO35" s="8"/>
      <c r="NP35" s="8"/>
      <c r="NQ35" s="8"/>
      <c r="NR35" s="8"/>
      <c r="NS35" s="8"/>
      <c r="NT35" s="8">
        <v>61393244.149999999</v>
      </c>
      <c r="NU35" s="8"/>
      <c r="NV35" s="8"/>
      <c r="NW35" s="8"/>
      <c r="NX35" s="8"/>
      <c r="NY35" s="8"/>
      <c r="NZ35" s="8"/>
      <c r="OA35" s="8"/>
      <c r="OB35" s="8"/>
      <c r="OC35" s="8"/>
      <c r="OD35" s="8">
        <v>33735294.990000002</v>
      </c>
      <c r="OE35" s="8"/>
      <c r="OF35" s="8"/>
      <c r="OG35" s="8"/>
      <c r="OH35" s="8"/>
      <c r="OI35" s="8"/>
      <c r="OJ35" s="8"/>
      <c r="OK35" s="8"/>
      <c r="OL35" s="8"/>
      <c r="OM35" s="8"/>
      <c r="ON35" s="8"/>
      <c r="OO35" s="8"/>
      <c r="OP35" s="8"/>
      <c r="OQ35" s="5">
        <v>1121019960.0799999</v>
      </c>
    </row>
    <row r="36" spans="2:407" x14ac:dyDescent="0.2">
      <c r="B36" t="s">
        <v>100</v>
      </c>
      <c r="C36" t="s">
        <v>43</v>
      </c>
      <c r="D36" s="8">
        <v>461.71</v>
      </c>
      <c r="E36" s="8"/>
      <c r="F36" s="8">
        <v>895001.54</v>
      </c>
      <c r="G36" s="8">
        <v>13336.95</v>
      </c>
      <c r="H36" s="8"/>
      <c r="I36" s="8">
        <v>342281.61</v>
      </c>
      <c r="J36" s="8">
        <v>339769.32</v>
      </c>
      <c r="K36" s="8"/>
      <c r="L36" s="8"/>
      <c r="M36" s="8"/>
      <c r="N36" s="8"/>
      <c r="O36" s="8">
        <v>318273.76</v>
      </c>
      <c r="P36" s="8"/>
      <c r="Q36" s="8"/>
      <c r="R36" s="8">
        <v>575025.88</v>
      </c>
      <c r="S36" s="8"/>
      <c r="T36" s="8">
        <v>259576.3</v>
      </c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>
        <v>9815362.4000000004</v>
      </c>
      <c r="BB36" s="8"/>
      <c r="BC36" s="8"/>
      <c r="BD36" s="8"/>
      <c r="BE36" s="8">
        <v>5415529.96</v>
      </c>
      <c r="BF36" s="8">
        <v>1.4</v>
      </c>
      <c r="BG36" s="8"/>
      <c r="BH36" s="8"/>
      <c r="BI36" s="8"/>
      <c r="BJ36" s="8"/>
      <c r="BK36" s="8"/>
      <c r="BL36" s="8"/>
      <c r="BM36" s="8">
        <v>1.1599999999999999</v>
      </c>
      <c r="BN36" s="8"/>
      <c r="BO36" s="8"/>
      <c r="BP36" s="8">
        <v>10954.25</v>
      </c>
      <c r="BQ36" s="8"/>
      <c r="BR36" s="8">
        <v>5231281.97</v>
      </c>
      <c r="BS36" s="8"/>
      <c r="BT36" s="8"/>
      <c r="BU36" s="8"/>
      <c r="BV36" s="8"/>
      <c r="BW36" s="8"/>
      <c r="BX36" s="8"/>
      <c r="BY36" s="8"/>
      <c r="BZ36" s="8"/>
      <c r="CA36" s="8">
        <v>4368614.78</v>
      </c>
      <c r="CB36" s="8"/>
      <c r="CC36" s="8"/>
      <c r="CD36" s="8"/>
      <c r="CE36" s="8"/>
      <c r="CF36" s="8"/>
      <c r="CG36" s="8"/>
      <c r="CH36" s="8"/>
      <c r="CI36" s="8"/>
      <c r="CJ36" s="8"/>
      <c r="CK36" s="8"/>
      <c r="CL36" s="8"/>
      <c r="CM36" s="8"/>
      <c r="CN36" s="8"/>
      <c r="CO36" s="8"/>
      <c r="CP36" s="8"/>
      <c r="CQ36" s="8"/>
      <c r="CR36" s="8"/>
      <c r="CS36" s="8"/>
      <c r="CT36" s="8"/>
      <c r="CU36" s="8"/>
      <c r="CV36" s="8"/>
      <c r="CW36" s="8"/>
      <c r="CX36" s="8"/>
      <c r="CY36" s="8"/>
      <c r="CZ36" s="8"/>
      <c r="DA36" s="8"/>
      <c r="DB36" s="8"/>
      <c r="DC36" s="8"/>
      <c r="DD36" s="8"/>
      <c r="DE36" s="8"/>
      <c r="DF36" s="8"/>
      <c r="DG36" s="8"/>
      <c r="DH36" s="8"/>
      <c r="DI36" s="8"/>
      <c r="DJ36" s="8">
        <v>2137112.25</v>
      </c>
      <c r="DK36" s="8"/>
      <c r="DL36" s="8">
        <v>4738645.3099999996</v>
      </c>
      <c r="DM36" s="8"/>
      <c r="DN36" s="8"/>
      <c r="DO36" s="8"/>
      <c r="DP36" s="8"/>
      <c r="DQ36" s="8"/>
      <c r="DR36" s="8"/>
      <c r="DS36" s="8"/>
      <c r="DT36" s="8">
        <v>1131.1199999999999</v>
      </c>
      <c r="DU36" s="8">
        <v>242.03</v>
      </c>
      <c r="DV36" s="8">
        <v>3438491.05</v>
      </c>
      <c r="DW36" s="8">
        <v>2012741.13</v>
      </c>
      <c r="DX36" s="8"/>
      <c r="DY36" s="8"/>
      <c r="DZ36" s="8">
        <v>2810072.77</v>
      </c>
      <c r="EA36" s="8">
        <v>4640809.8</v>
      </c>
      <c r="EB36" s="8"/>
      <c r="EC36" s="8"/>
      <c r="ED36" s="8"/>
      <c r="EE36" s="8"/>
      <c r="EF36" s="8"/>
      <c r="EG36" s="8"/>
      <c r="EH36" s="8"/>
      <c r="EI36" s="8"/>
      <c r="EJ36" s="8"/>
      <c r="EK36" s="8"/>
      <c r="EL36" s="8"/>
      <c r="EM36" s="8"/>
      <c r="EN36" s="8"/>
      <c r="EO36" s="8"/>
      <c r="EP36" s="8"/>
      <c r="EQ36" s="8"/>
      <c r="ER36" s="8"/>
      <c r="ES36" s="8"/>
      <c r="ET36" s="8"/>
      <c r="EU36" s="8"/>
      <c r="EV36" s="8"/>
      <c r="EW36" s="8"/>
      <c r="EX36" s="8"/>
      <c r="EY36" s="8"/>
      <c r="EZ36" s="8"/>
      <c r="FA36" s="8"/>
      <c r="FB36" s="8"/>
      <c r="FC36" s="8"/>
      <c r="FD36" s="8"/>
      <c r="FE36" s="8"/>
      <c r="FF36" s="8"/>
      <c r="FG36" s="8"/>
      <c r="FH36" s="8"/>
      <c r="FI36" s="8"/>
      <c r="FJ36" s="8"/>
      <c r="FK36" s="8"/>
      <c r="FL36" s="8"/>
      <c r="FM36" s="8"/>
      <c r="FN36" s="8"/>
      <c r="FO36" s="8"/>
      <c r="FP36" s="8"/>
      <c r="FQ36" s="8"/>
      <c r="FR36" s="8"/>
      <c r="FS36" s="8"/>
      <c r="FT36" s="8"/>
      <c r="FU36" s="8"/>
      <c r="FV36" s="8"/>
      <c r="FW36" s="8">
        <v>0.74</v>
      </c>
      <c r="FX36" s="8"/>
      <c r="FY36" s="8"/>
      <c r="FZ36" s="8">
        <v>2191901.0699999998</v>
      </c>
      <c r="GA36" s="8">
        <v>2587330.63</v>
      </c>
      <c r="GB36" s="8"/>
      <c r="GC36" s="8"/>
      <c r="GD36" s="8"/>
      <c r="GE36" s="8"/>
      <c r="GF36" s="8"/>
      <c r="GG36" s="8"/>
      <c r="GH36" s="8"/>
      <c r="GI36" s="8"/>
      <c r="GJ36" s="8">
        <v>5861710.0099999998</v>
      </c>
      <c r="GK36" s="8"/>
      <c r="GL36" s="8"/>
      <c r="GM36" s="8">
        <v>9577224.3300000001</v>
      </c>
      <c r="GN36" s="8"/>
      <c r="GO36" s="8"/>
      <c r="GP36" s="8"/>
      <c r="GQ36" s="8"/>
      <c r="GR36" s="8"/>
      <c r="GS36" s="8">
        <v>4888754.0999999996</v>
      </c>
      <c r="GT36" s="8"/>
      <c r="GU36" s="8"/>
      <c r="GV36" s="8"/>
      <c r="GW36" s="8"/>
      <c r="GX36" s="8"/>
      <c r="GY36" s="8">
        <v>2104197.96</v>
      </c>
      <c r="GZ36" s="8"/>
      <c r="HA36" s="8"/>
      <c r="HB36" s="8"/>
      <c r="HC36" s="8"/>
      <c r="HD36" s="8">
        <v>6089052.4699999997</v>
      </c>
      <c r="HE36" s="8"/>
      <c r="HF36" s="8"/>
      <c r="HG36" s="8"/>
      <c r="HH36" s="8"/>
      <c r="HI36" s="8"/>
      <c r="HJ36" s="8"/>
      <c r="HK36" s="8"/>
      <c r="HL36" s="8"/>
      <c r="HM36" s="8"/>
      <c r="HN36" s="8"/>
      <c r="HO36" s="8"/>
      <c r="HP36" s="8"/>
      <c r="HQ36" s="8"/>
      <c r="HR36" s="8"/>
      <c r="HS36" s="8"/>
      <c r="HT36" s="8">
        <v>9104.5499999999993</v>
      </c>
      <c r="HU36" s="8"/>
      <c r="HV36" s="8">
        <v>5991944.25</v>
      </c>
      <c r="HW36" s="8">
        <v>5083049.5</v>
      </c>
      <c r="HX36" s="8"/>
      <c r="HY36" s="8"/>
      <c r="HZ36" s="8"/>
      <c r="IA36" s="8"/>
      <c r="IB36" s="8"/>
      <c r="IC36" s="8"/>
      <c r="ID36" s="8">
        <v>6686090.9900000002</v>
      </c>
      <c r="IE36" s="8"/>
      <c r="IF36" s="8"/>
      <c r="IG36" s="8"/>
      <c r="IH36" s="8"/>
      <c r="II36" s="8">
        <v>3391266.08</v>
      </c>
      <c r="IJ36" s="8"/>
      <c r="IK36" s="8">
        <v>1852133.03</v>
      </c>
      <c r="IL36" s="8"/>
      <c r="IM36" s="8"/>
      <c r="IN36" s="8"/>
      <c r="IO36" s="8"/>
      <c r="IP36" s="8"/>
      <c r="IQ36" s="8"/>
      <c r="IR36" s="8"/>
      <c r="IS36" s="8"/>
      <c r="IT36" s="8">
        <v>2308488.59</v>
      </c>
      <c r="IU36" s="8">
        <v>1674191.63</v>
      </c>
      <c r="IV36" s="8">
        <v>2120801.8199999998</v>
      </c>
      <c r="IW36" s="8"/>
      <c r="IX36" s="8">
        <v>1020138.05</v>
      </c>
      <c r="IY36" s="8">
        <v>2474427.17</v>
      </c>
      <c r="IZ36" s="8"/>
      <c r="JA36" s="8"/>
      <c r="JB36" s="8"/>
      <c r="JC36" s="8">
        <v>797978.45</v>
      </c>
      <c r="JD36" s="8"/>
      <c r="JE36" s="8"/>
      <c r="JF36" s="8"/>
      <c r="JG36" s="8">
        <v>690234.71</v>
      </c>
      <c r="JH36" s="8"/>
      <c r="JI36" s="8"/>
      <c r="JJ36" s="8">
        <v>554449.71</v>
      </c>
      <c r="JK36" s="8"/>
      <c r="JL36" s="8"/>
      <c r="JM36" s="8"/>
      <c r="JN36" s="8">
        <v>1133074.29</v>
      </c>
      <c r="JO36" s="8"/>
      <c r="JP36" s="8"/>
      <c r="JQ36" s="8">
        <v>119515.31</v>
      </c>
      <c r="JR36" s="8"/>
      <c r="JS36" s="8"/>
      <c r="JT36" s="8">
        <v>453238.19</v>
      </c>
      <c r="JU36" s="8">
        <v>916047.84</v>
      </c>
      <c r="JV36" s="8">
        <v>465310.65</v>
      </c>
      <c r="JW36" s="8"/>
      <c r="JX36" s="8"/>
      <c r="JY36" s="8"/>
      <c r="JZ36" s="8"/>
      <c r="KA36" s="8">
        <v>4385174.1900000004</v>
      </c>
      <c r="KB36" s="8">
        <v>2923981.85</v>
      </c>
      <c r="KC36" s="8">
        <v>2326511.64</v>
      </c>
      <c r="KD36" s="8"/>
      <c r="KE36" s="8"/>
      <c r="KF36" s="8"/>
      <c r="KG36" s="8"/>
      <c r="KH36" s="8"/>
      <c r="KI36" s="8"/>
      <c r="KJ36" s="8"/>
      <c r="KK36" s="8"/>
      <c r="KL36" s="8"/>
      <c r="KM36" s="8">
        <v>2466638.5699999998</v>
      </c>
      <c r="KN36" s="8"/>
      <c r="KO36" s="8"/>
      <c r="KP36" s="8"/>
      <c r="KQ36" s="8"/>
      <c r="KR36" s="8"/>
      <c r="KS36" s="8"/>
      <c r="KT36" s="8"/>
      <c r="KU36" s="8">
        <v>10195712.300000001</v>
      </c>
      <c r="KV36" s="8"/>
      <c r="KW36" s="8"/>
      <c r="KX36" s="8"/>
      <c r="KY36" s="8"/>
      <c r="KZ36" s="8">
        <v>20665832.489999998</v>
      </c>
      <c r="LA36" s="8"/>
      <c r="LB36" s="8">
        <v>10521248.960000001</v>
      </c>
      <c r="LC36" s="8"/>
      <c r="LD36" s="8"/>
      <c r="LE36" s="8"/>
      <c r="LF36" s="8">
        <v>13761438.59</v>
      </c>
      <c r="LG36" s="8"/>
      <c r="LH36" s="8"/>
      <c r="LI36" s="8"/>
      <c r="LJ36" s="8"/>
      <c r="LK36" s="8">
        <v>4830568.03</v>
      </c>
      <c r="LL36" s="8"/>
      <c r="LM36" s="8">
        <v>12238144.859999999</v>
      </c>
      <c r="LN36" s="8"/>
      <c r="LO36" s="8"/>
      <c r="LP36" s="8"/>
      <c r="LQ36" s="8"/>
      <c r="LR36" s="8"/>
      <c r="LS36" s="8"/>
      <c r="LT36" s="8"/>
      <c r="LU36" s="8"/>
      <c r="LV36" s="8"/>
      <c r="LW36" s="8"/>
      <c r="LX36" s="8"/>
      <c r="LY36" s="8"/>
      <c r="LZ36" s="8">
        <v>19218040.670000002</v>
      </c>
      <c r="MA36" s="8"/>
      <c r="MB36" s="8"/>
      <c r="MC36" s="8"/>
      <c r="MD36" s="8"/>
      <c r="ME36" s="8"/>
      <c r="MF36" s="8">
        <v>32719088.780000001</v>
      </c>
      <c r="MG36" s="8"/>
      <c r="MH36" s="8"/>
      <c r="MI36" s="8"/>
      <c r="MJ36" s="8"/>
      <c r="MK36" s="8">
        <v>10505296.23</v>
      </c>
      <c r="ML36" s="8"/>
      <c r="MM36" s="8"/>
      <c r="MN36" s="8"/>
      <c r="MO36" s="8"/>
      <c r="MP36" s="8"/>
      <c r="MQ36" s="8"/>
      <c r="MR36" s="8"/>
      <c r="MS36" s="8"/>
      <c r="MT36" s="8"/>
      <c r="MU36" s="8"/>
      <c r="MV36" s="8"/>
      <c r="MW36" s="8"/>
      <c r="MX36" s="8"/>
      <c r="MY36" s="8"/>
      <c r="MZ36" s="8"/>
      <c r="NA36" s="8"/>
      <c r="NB36" s="8"/>
      <c r="NC36" s="8"/>
      <c r="ND36" s="8"/>
      <c r="NE36" s="8"/>
      <c r="NF36" s="8"/>
      <c r="NG36" s="8"/>
      <c r="NH36" s="8"/>
      <c r="NI36" s="8"/>
      <c r="NJ36" s="8">
        <v>18485063.25</v>
      </c>
      <c r="NK36" s="8"/>
      <c r="NL36" s="8"/>
      <c r="NM36" s="8"/>
      <c r="NN36" s="8"/>
      <c r="NO36" s="8"/>
      <c r="NP36" s="8"/>
      <c r="NQ36" s="8"/>
      <c r="NR36" s="8">
        <v>4178089.23</v>
      </c>
      <c r="NS36" s="8"/>
      <c r="NT36" s="8"/>
      <c r="NU36" s="8"/>
      <c r="NV36" s="8"/>
      <c r="NW36" s="8"/>
      <c r="NX36" s="8"/>
      <c r="NY36" s="8"/>
      <c r="NZ36" s="8"/>
      <c r="OA36" s="8"/>
      <c r="OB36" s="8"/>
      <c r="OC36" s="8"/>
      <c r="OD36" s="8"/>
      <c r="OE36" s="8"/>
      <c r="OF36" s="8"/>
      <c r="OG36" s="8">
        <v>10454080.550000001</v>
      </c>
      <c r="OH36" s="8"/>
      <c r="OI36" s="8"/>
      <c r="OJ36" s="8"/>
      <c r="OK36" s="8"/>
      <c r="OL36" s="8"/>
      <c r="OM36" s="8"/>
      <c r="ON36" s="8"/>
      <c r="OO36" s="8"/>
      <c r="OP36" s="8"/>
      <c r="OQ36" s="5">
        <v>298281284.76000005</v>
      </c>
    </row>
    <row r="37" spans="2:407" x14ac:dyDescent="0.2">
      <c r="B37" t="s">
        <v>101</v>
      </c>
      <c r="C37" t="s">
        <v>39</v>
      </c>
      <c r="D37" s="8">
        <v>420371.38</v>
      </c>
      <c r="E37" s="8"/>
      <c r="F37" s="8"/>
      <c r="G37" s="8"/>
      <c r="H37" s="8">
        <v>1237187.05</v>
      </c>
      <c r="I37" s="8"/>
      <c r="J37" s="8"/>
      <c r="K37" s="8">
        <v>300.22000000000003</v>
      </c>
      <c r="L37" s="8">
        <v>2364863.87</v>
      </c>
      <c r="M37" s="8"/>
      <c r="N37" s="8">
        <v>642850.96</v>
      </c>
      <c r="O37" s="8"/>
      <c r="P37" s="8"/>
      <c r="Q37" s="8"/>
      <c r="R37" s="8">
        <v>1349981.45</v>
      </c>
      <c r="S37" s="8">
        <v>2403645.79</v>
      </c>
      <c r="T37" s="8"/>
      <c r="U37" s="8"/>
      <c r="V37" s="8">
        <v>817174.73</v>
      </c>
      <c r="W37" s="8"/>
      <c r="X37" s="8"/>
      <c r="Y37" s="8"/>
      <c r="Z37" s="8">
        <v>1523597.48</v>
      </c>
      <c r="AA37" s="8">
        <v>0.27</v>
      </c>
      <c r="AB37" s="8"/>
      <c r="AC37" s="8"/>
      <c r="AD37" s="8"/>
      <c r="AE37" s="8"/>
      <c r="AF37" s="8">
        <v>1977898.66</v>
      </c>
      <c r="AG37" s="8">
        <v>256660.13</v>
      </c>
      <c r="AH37" s="8">
        <v>1065255.3</v>
      </c>
      <c r="AI37" s="8">
        <v>1140232.1399999999</v>
      </c>
      <c r="AJ37" s="8">
        <v>768694.16</v>
      </c>
      <c r="AK37" s="8">
        <v>1554315.92</v>
      </c>
      <c r="AL37" s="8"/>
      <c r="AM37" s="8"/>
      <c r="AN37" s="8"/>
      <c r="AO37" s="8"/>
      <c r="AP37" s="8"/>
      <c r="AQ37" s="8"/>
      <c r="AR37" s="8">
        <v>2102145.2000000002</v>
      </c>
      <c r="AS37" s="8"/>
      <c r="AT37" s="8"/>
      <c r="AU37" s="8"/>
      <c r="AV37" s="8">
        <v>1955671.88</v>
      </c>
      <c r="AW37" s="8"/>
      <c r="AX37" s="8"/>
      <c r="AY37" s="8"/>
      <c r="AZ37" s="8"/>
      <c r="BA37" s="8"/>
      <c r="BB37" s="8"/>
      <c r="BC37" s="8"/>
      <c r="BD37" s="8">
        <v>0.16</v>
      </c>
      <c r="BE37" s="8">
        <v>2843765.69</v>
      </c>
      <c r="BF37" s="8"/>
      <c r="BG37" s="8"/>
      <c r="BH37" s="8"/>
      <c r="BI37" s="8"/>
      <c r="BJ37" s="8">
        <v>442.2</v>
      </c>
      <c r="BK37" s="8"/>
      <c r="BL37" s="8"/>
      <c r="BM37" s="8"/>
      <c r="BN37" s="8"/>
      <c r="BO37" s="8"/>
      <c r="BP37" s="8"/>
      <c r="BQ37" s="8">
        <v>8846519.4600000009</v>
      </c>
      <c r="BR37" s="8">
        <v>5890244.3399999999</v>
      </c>
      <c r="BS37" s="8"/>
      <c r="BT37" s="8"/>
      <c r="BU37" s="8"/>
      <c r="BV37" s="8"/>
      <c r="BW37" s="8"/>
      <c r="BX37" s="8"/>
      <c r="BY37" s="8"/>
      <c r="BZ37" s="8">
        <v>2522361.58</v>
      </c>
      <c r="CA37" s="8"/>
      <c r="CB37" s="8">
        <v>5963094.4900000002</v>
      </c>
      <c r="CC37" s="8"/>
      <c r="CD37" s="8"/>
      <c r="CE37" s="8"/>
      <c r="CF37" s="8"/>
      <c r="CG37" s="8"/>
      <c r="CH37" s="8"/>
      <c r="CI37" s="8"/>
      <c r="CJ37" s="8"/>
      <c r="CK37" s="8"/>
      <c r="CL37" s="8"/>
      <c r="CM37" s="8"/>
      <c r="CN37" s="8"/>
      <c r="CO37" s="8"/>
      <c r="CP37" s="8"/>
      <c r="CQ37" s="8"/>
      <c r="CR37" s="8"/>
      <c r="CS37" s="8"/>
      <c r="CT37" s="8"/>
      <c r="CU37" s="8"/>
      <c r="CV37" s="8">
        <v>9391912.6099999994</v>
      </c>
      <c r="CW37" s="8"/>
      <c r="CX37" s="8"/>
      <c r="CY37" s="8"/>
      <c r="CZ37" s="8"/>
      <c r="DA37" s="8"/>
      <c r="DB37" s="8">
        <v>14537969.57</v>
      </c>
      <c r="DC37" s="8"/>
      <c r="DD37" s="8"/>
      <c r="DE37" s="8"/>
      <c r="DF37" s="8"/>
      <c r="DG37" s="8"/>
      <c r="DH37" s="8">
        <v>2120.98</v>
      </c>
      <c r="DI37" s="8"/>
      <c r="DJ37" s="8">
        <v>9438.7999999999993</v>
      </c>
      <c r="DK37" s="8"/>
      <c r="DL37" s="8">
        <v>2163278.89</v>
      </c>
      <c r="DM37" s="8"/>
      <c r="DN37" s="8"/>
      <c r="DO37" s="8">
        <v>2790678.76</v>
      </c>
      <c r="DP37" s="8"/>
      <c r="DQ37" s="8">
        <v>938158.67</v>
      </c>
      <c r="DR37" s="8"/>
      <c r="DS37" s="8">
        <v>1720387.36</v>
      </c>
      <c r="DT37" s="8"/>
      <c r="DU37" s="8"/>
      <c r="DV37" s="8"/>
      <c r="DW37" s="8"/>
      <c r="DX37" s="8">
        <v>1261385.3400000001</v>
      </c>
      <c r="DY37" s="8"/>
      <c r="DZ37" s="8">
        <v>3293317.54</v>
      </c>
      <c r="EA37" s="8"/>
      <c r="EB37" s="8">
        <v>5407112.8200000003</v>
      </c>
      <c r="EC37" s="8"/>
      <c r="ED37" s="8"/>
      <c r="EE37" s="8"/>
      <c r="EF37" s="8"/>
      <c r="EG37" s="8"/>
      <c r="EH37" s="8"/>
      <c r="EI37" s="8"/>
      <c r="EJ37" s="8"/>
      <c r="EK37" s="8"/>
      <c r="EL37" s="8"/>
      <c r="EM37" s="8"/>
      <c r="EN37" s="8"/>
      <c r="EO37" s="8"/>
      <c r="EP37" s="8"/>
      <c r="EQ37" s="8"/>
      <c r="ER37" s="8"/>
      <c r="ES37" s="8"/>
      <c r="ET37" s="8"/>
      <c r="EU37" s="8"/>
      <c r="EV37" s="8"/>
      <c r="EW37" s="8"/>
      <c r="EX37" s="8"/>
      <c r="EY37" s="8"/>
      <c r="EZ37" s="8"/>
      <c r="FA37" s="8"/>
      <c r="FB37" s="8"/>
      <c r="FC37" s="8"/>
      <c r="FD37" s="8"/>
      <c r="FE37" s="8"/>
      <c r="FF37" s="8"/>
      <c r="FG37" s="8"/>
      <c r="FH37" s="8"/>
      <c r="FI37" s="8"/>
      <c r="FJ37" s="8"/>
      <c r="FK37" s="8"/>
      <c r="FL37" s="8"/>
      <c r="FM37" s="8"/>
      <c r="FN37" s="8"/>
      <c r="FO37" s="8"/>
      <c r="FP37" s="8"/>
      <c r="FQ37" s="8"/>
      <c r="FR37" s="8"/>
      <c r="FS37" s="8"/>
      <c r="FT37" s="8">
        <v>13758.16</v>
      </c>
      <c r="FU37" s="8"/>
      <c r="FV37" s="8"/>
      <c r="FW37" s="8">
        <v>10069440.390000001</v>
      </c>
      <c r="FX37" s="8"/>
      <c r="FY37" s="8"/>
      <c r="FZ37" s="8"/>
      <c r="GA37" s="8"/>
      <c r="GB37" s="8"/>
      <c r="GC37" s="8">
        <v>5240726.2699999996</v>
      </c>
      <c r="GD37" s="8">
        <v>4443.18</v>
      </c>
      <c r="GE37" s="8"/>
      <c r="GF37" s="8"/>
      <c r="GG37" s="8"/>
      <c r="GH37" s="8"/>
      <c r="GI37" s="8"/>
      <c r="GJ37" s="8"/>
      <c r="GK37" s="8"/>
      <c r="GL37" s="8">
        <v>15385535.66</v>
      </c>
      <c r="GM37" s="8"/>
      <c r="GN37" s="8"/>
      <c r="GO37" s="8"/>
      <c r="GP37" s="8"/>
      <c r="GQ37" s="8">
        <v>561.15</v>
      </c>
      <c r="GR37" s="8"/>
      <c r="GS37" s="8"/>
      <c r="GT37" s="8"/>
      <c r="GU37" s="8">
        <v>4261975.54</v>
      </c>
      <c r="GV37" s="8"/>
      <c r="GW37" s="8"/>
      <c r="GX37" s="8"/>
      <c r="GY37" s="8">
        <v>3092947.82</v>
      </c>
      <c r="GZ37" s="8"/>
      <c r="HA37" s="8"/>
      <c r="HB37" s="8"/>
      <c r="HC37" s="8"/>
      <c r="HD37" s="8"/>
      <c r="HE37" s="8"/>
      <c r="HF37" s="8"/>
      <c r="HG37" s="8"/>
      <c r="HH37" s="8"/>
      <c r="HI37" s="8"/>
      <c r="HJ37" s="8"/>
      <c r="HK37" s="8"/>
      <c r="HL37" s="8"/>
      <c r="HM37" s="8"/>
      <c r="HN37" s="8"/>
      <c r="HO37" s="8"/>
      <c r="HP37" s="8"/>
      <c r="HQ37" s="8"/>
      <c r="HR37" s="8"/>
      <c r="HS37" s="8"/>
      <c r="HT37" s="8"/>
      <c r="HU37" s="8"/>
      <c r="HV37" s="8"/>
      <c r="HW37" s="8"/>
      <c r="HX37" s="8"/>
      <c r="HY37" s="8"/>
      <c r="HZ37" s="8"/>
      <c r="IA37" s="8"/>
      <c r="IB37" s="8"/>
      <c r="IC37" s="8"/>
      <c r="ID37" s="8">
        <v>1681856.42</v>
      </c>
      <c r="IE37" s="8"/>
      <c r="IF37" s="8">
        <v>1.03</v>
      </c>
      <c r="IG37" s="8"/>
      <c r="IH37" s="8"/>
      <c r="II37" s="8"/>
      <c r="IJ37" s="8"/>
      <c r="IK37" s="8"/>
      <c r="IL37" s="8">
        <v>5986597.8799999999</v>
      </c>
      <c r="IM37" s="8"/>
      <c r="IN37" s="8"/>
      <c r="IO37" s="8"/>
      <c r="IP37" s="8"/>
      <c r="IQ37" s="8">
        <v>2613488.23</v>
      </c>
      <c r="IR37" s="8">
        <v>8518613.4600000009</v>
      </c>
      <c r="IS37" s="8"/>
      <c r="IT37" s="8"/>
      <c r="IU37" s="8"/>
      <c r="IV37" s="8"/>
      <c r="IW37" s="8"/>
      <c r="IX37" s="8"/>
      <c r="IY37" s="8"/>
      <c r="IZ37" s="8"/>
      <c r="JA37" s="8">
        <v>2088269.21</v>
      </c>
      <c r="JB37" s="8"/>
      <c r="JC37" s="8">
        <v>575.48</v>
      </c>
      <c r="JD37" s="8">
        <v>1753900.4</v>
      </c>
      <c r="JE37" s="8"/>
      <c r="JF37" s="8">
        <v>0.82</v>
      </c>
      <c r="JG37" s="8"/>
      <c r="JH37" s="8"/>
      <c r="JI37" s="8"/>
      <c r="JJ37" s="8"/>
      <c r="JK37" s="8"/>
      <c r="JL37" s="8">
        <v>1882275.49</v>
      </c>
      <c r="JM37" s="8"/>
      <c r="JN37" s="8"/>
      <c r="JO37" s="8"/>
      <c r="JP37" s="8"/>
      <c r="JQ37" s="8"/>
      <c r="JR37" s="8"/>
      <c r="JS37" s="8">
        <v>4319813.3099999996</v>
      </c>
      <c r="JT37" s="8"/>
      <c r="JU37" s="8"/>
      <c r="JV37" s="8">
        <v>5543581.2199999997</v>
      </c>
      <c r="JW37" s="8"/>
      <c r="JX37" s="8"/>
      <c r="JY37" s="8"/>
      <c r="JZ37" s="8">
        <v>1287984.6499999999</v>
      </c>
      <c r="KA37" s="8">
        <v>3165772.59</v>
      </c>
      <c r="KB37" s="8"/>
      <c r="KC37" s="8"/>
      <c r="KD37" s="8"/>
      <c r="KE37" s="8"/>
      <c r="KF37" s="8"/>
      <c r="KG37" s="8"/>
      <c r="KH37" s="8"/>
      <c r="KI37" s="8"/>
      <c r="KJ37" s="8"/>
      <c r="KK37" s="8">
        <v>3824102.35</v>
      </c>
      <c r="KL37" s="8"/>
      <c r="KM37" s="8">
        <v>2733351.13</v>
      </c>
      <c r="KN37" s="8"/>
      <c r="KO37" s="8"/>
      <c r="KP37" s="8"/>
      <c r="KQ37" s="8"/>
      <c r="KR37" s="8"/>
      <c r="KS37" s="8"/>
      <c r="KT37" s="8"/>
      <c r="KU37" s="8"/>
      <c r="KV37" s="8"/>
      <c r="KW37" s="8"/>
      <c r="KX37" s="8"/>
      <c r="KY37" s="8">
        <v>32902275.829999998</v>
      </c>
      <c r="KZ37" s="8"/>
      <c r="LA37" s="8"/>
      <c r="LB37" s="8"/>
      <c r="LC37" s="8"/>
      <c r="LD37" s="8"/>
      <c r="LE37" s="8"/>
      <c r="LF37" s="8"/>
      <c r="LG37" s="8"/>
      <c r="LH37" s="8"/>
      <c r="LI37" s="8"/>
      <c r="LJ37" s="8"/>
      <c r="LK37" s="8"/>
      <c r="LL37" s="8"/>
      <c r="LM37" s="8"/>
      <c r="LN37" s="8">
        <v>28733490.559999999</v>
      </c>
      <c r="LO37" s="8"/>
      <c r="LP37" s="8"/>
      <c r="LQ37" s="8"/>
      <c r="LR37" s="8"/>
      <c r="LS37" s="8"/>
      <c r="LT37" s="8"/>
      <c r="LU37" s="8"/>
      <c r="LV37" s="8"/>
      <c r="LW37" s="8">
        <v>20266876.16</v>
      </c>
      <c r="LX37" s="8"/>
      <c r="LY37" s="8"/>
      <c r="LZ37" s="8"/>
      <c r="MA37" s="8"/>
      <c r="MB37" s="8"/>
      <c r="MC37" s="8"/>
      <c r="MD37" s="8"/>
      <c r="ME37" s="8"/>
      <c r="MF37" s="8"/>
      <c r="MG37" s="8"/>
      <c r="MH37" s="8"/>
      <c r="MI37" s="8"/>
      <c r="MJ37" s="8"/>
      <c r="MK37" s="8"/>
      <c r="ML37" s="8"/>
      <c r="MM37" s="8"/>
      <c r="MN37" s="8"/>
      <c r="MO37" s="8"/>
      <c r="MP37" s="8"/>
      <c r="MQ37" s="8"/>
      <c r="MR37" s="8"/>
      <c r="MS37" s="8"/>
      <c r="MT37" s="8"/>
      <c r="MU37" s="8"/>
      <c r="MV37" s="8"/>
      <c r="MW37" s="8"/>
      <c r="MX37" s="8"/>
      <c r="MY37" s="8"/>
      <c r="MZ37" s="8"/>
      <c r="NA37" s="8"/>
      <c r="NB37" s="8"/>
      <c r="NC37" s="8"/>
      <c r="ND37" s="8"/>
      <c r="NE37" s="8"/>
      <c r="NF37" s="8"/>
      <c r="NG37" s="8"/>
      <c r="NH37" s="8"/>
      <c r="NI37" s="8"/>
      <c r="NJ37" s="8"/>
      <c r="NK37" s="8"/>
      <c r="NL37" s="8"/>
      <c r="NM37" s="8"/>
      <c r="NN37" s="8"/>
      <c r="NO37" s="8"/>
      <c r="NP37" s="8"/>
      <c r="NQ37" s="8"/>
      <c r="NR37" s="8"/>
      <c r="NS37" s="8"/>
      <c r="NT37" s="8"/>
      <c r="NU37" s="8"/>
      <c r="NV37" s="8"/>
      <c r="NW37" s="8"/>
      <c r="NX37" s="8"/>
      <c r="NY37" s="8"/>
      <c r="NZ37" s="8"/>
      <c r="OA37" s="8"/>
      <c r="OB37" s="8"/>
      <c r="OC37" s="8"/>
      <c r="OD37" s="8"/>
      <c r="OE37" s="8"/>
      <c r="OF37" s="8"/>
      <c r="OG37" s="8"/>
      <c r="OH37" s="8"/>
      <c r="OI37" s="8"/>
      <c r="OJ37" s="8"/>
      <c r="OK37" s="8"/>
      <c r="OL37" s="8"/>
      <c r="OM37" s="8"/>
      <c r="ON37" s="8"/>
      <c r="OO37" s="8"/>
      <c r="OP37" s="8"/>
      <c r="OQ37" s="5">
        <v>254535250.24000004</v>
      </c>
    </row>
    <row r="38" spans="2:407" x14ac:dyDescent="0.2">
      <c r="B38" t="s">
        <v>102</v>
      </c>
      <c r="C38" t="s">
        <v>36</v>
      </c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  <c r="V38" s="8"/>
      <c r="W38" s="8">
        <v>1393511.78</v>
      </c>
      <c r="X38" s="8"/>
      <c r="Y38" s="8"/>
      <c r="Z38" s="8"/>
      <c r="AA38" s="8"/>
      <c r="AB38" s="8">
        <v>739727.67</v>
      </c>
      <c r="AC38" s="8"/>
      <c r="AD38" s="8">
        <v>1584340.34</v>
      </c>
      <c r="AE38" s="8"/>
      <c r="AF38" s="8">
        <v>9112.51</v>
      </c>
      <c r="AG38" s="8"/>
      <c r="AH38" s="8"/>
      <c r="AI38" s="8"/>
      <c r="AJ38" s="8"/>
      <c r="AK38" s="8">
        <v>480127.99</v>
      </c>
      <c r="AL38" s="8"/>
      <c r="AM38" s="8"/>
      <c r="AN38" s="8"/>
      <c r="AO38" s="8"/>
      <c r="AP38" s="8"/>
      <c r="AQ38" s="8"/>
      <c r="AR38" s="8">
        <v>1233.92</v>
      </c>
      <c r="AS38" s="8">
        <v>174903.76</v>
      </c>
      <c r="AT38" s="8">
        <v>327.92</v>
      </c>
      <c r="AU38" s="8"/>
      <c r="AV38" s="8">
        <v>1613502.74</v>
      </c>
      <c r="AW38" s="8"/>
      <c r="AX38" s="8">
        <v>435226.57</v>
      </c>
      <c r="AY38" s="8"/>
      <c r="AZ38" s="8"/>
      <c r="BA38" s="8"/>
      <c r="BB38" s="8"/>
      <c r="BC38" s="8">
        <v>799993.81</v>
      </c>
      <c r="BD38" s="8"/>
      <c r="BE38" s="8"/>
      <c r="BF38" s="8"/>
      <c r="BG38" s="8"/>
      <c r="BH38" s="8"/>
      <c r="BI38" s="8"/>
      <c r="BJ38" s="8">
        <v>3399966.21</v>
      </c>
      <c r="BK38" s="8"/>
      <c r="BL38" s="8"/>
      <c r="BM38" s="8"/>
      <c r="BN38" s="8"/>
      <c r="BO38" s="8"/>
      <c r="BP38" s="8"/>
      <c r="BQ38" s="8">
        <v>939572.53</v>
      </c>
      <c r="BR38" s="8">
        <v>1090798.03</v>
      </c>
      <c r="BS38" s="8"/>
      <c r="BT38" s="8">
        <v>2590967.62</v>
      </c>
      <c r="BU38" s="8"/>
      <c r="BV38" s="8"/>
      <c r="BW38" s="8">
        <v>2411324.0299999998</v>
      </c>
      <c r="BX38" s="8"/>
      <c r="BY38" s="8"/>
      <c r="BZ38" s="8"/>
      <c r="CA38" s="8"/>
      <c r="CB38" s="8"/>
      <c r="CC38" s="8">
        <v>1122217.6399999999</v>
      </c>
      <c r="CD38" s="8"/>
      <c r="CE38" s="8"/>
      <c r="CF38" s="8"/>
      <c r="CG38" s="8">
        <v>772146.66</v>
      </c>
      <c r="CH38" s="8"/>
      <c r="CI38" s="8"/>
      <c r="CJ38" s="8"/>
      <c r="CK38" s="8"/>
      <c r="CL38" s="8"/>
      <c r="CM38" s="8"/>
      <c r="CN38" s="8"/>
      <c r="CO38" s="8"/>
      <c r="CP38" s="8"/>
      <c r="CQ38" s="8"/>
      <c r="CR38" s="8"/>
      <c r="CS38" s="8"/>
      <c r="CT38" s="8"/>
      <c r="CU38" s="8"/>
      <c r="CV38" s="8"/>
      <c r="CW38" s="8"/>
      <c r="CX38" s="8"/>
      <c r="CY38" s="8"/>
      <c r="CZ38" s="8"/>
      <c r="DA38" s="8"/>
      <c r="DB38" s="8"/>
      <c r="DC38" s="8"/>
      <c r="DD38" s="8"/>
      <c r="DE38" s="8"/>
      <c r="DF38" s="8"/>
      <c r="DG38" s="8"/>
      <c r="DH38" s="8"/>
      <c r="DI38" s="8"/>
      <c r="DJ38" s="8"/>
      <c r="DK38" s="8"/>
      <c r="DL38" s="8"/>
      <c r="DM38" s="8">
        <v>1222886.51</v>
      </c>
      <c r="DN38" s="8"/>
      <c r="DO38" s="8"/>
      <c r="DP38" s="8">
        <v>2069562.69</v>
      </c>
      <c r="DQ38" s="8"/>
      <c r="DR38" s="8"/>
      <c r="DS38" s="8"/>
      <c r="DT38" s="8"/>
      <c r="DU38" s="8"/>
      <c r="DV38" s="8"/>
      <c r="DW38" s="8"/>
      <c r="DX38" s="8">
        <v>2816302.18</v>
      </c>
      <c r="DY38" s="8">
        <v>1292221.05</v>
      </c>
      <c r="DZ38" s="8">
        <v>679496.27</v>
      </c>
      <c r="EA38" s="8"/>
      <c r="EB38" s="8">
        <v>254.12</v>
      </c>
      <c r="EC38" s="8"/>
      <c r="ED38" s="8"/>
      <c r="EE38" s="8"/>
      <c r="EF38" s="8"/>
      <c r="EG38" s="8"/>
      <c r="EH38" s="8"/>
      <c r="EI38" s="8"/>
      <c r="EJ38" s="8"/>
      <c r="EK38" s="8"/>
      <c r="EL38" s="8"/>
      <c r="EM38" s="8"/>
      <c r="EN38" s="8"/>
      <c r="EO38" s="8"/>
      <c r="EP38" s="8"/>
      <c r="EQ38" s="8"/>
      <c r="ER38" s="8"/>
      <c r="ES38" s="8"/>
      <c r="ET38" s="8"/>
      <c r="EU38" s="8"/>
      <c r="EV38" s="8"/>
      <c r="EW38" s="8"/>
      <c r="EX38" s="8"/>
      <c r="EY38" s="8"/>
      <c r="EZ38" s="8"/>
      <c r="FA38" s="8"/>
      <c r="FB38" s="8"/>
      <c r="FC38" s="8"/>
      <c r="FD38" s="8"/>
      <c r="FE38" s="8"/>
      <c r="FF38" s="8"/>
      <c r="FG38" s="8"/>
      <c r="FH38" s="8"/>
      <c r="FI38" s="8"/>
      <c r="FJ38" s="8"/>
      <c r="FK38" s="8"/>
      <c r="FL38" s="8"/>
      <c r="FM38" s="8"/>
      <c r="FN38" s="8"/>
      <c r="FO38" s="8"/>
      <c r="FP38" s="8"/>
      <c r="FQ38" s="8"/>
      <c r="FR38" s="8"/>
      <c r="FS38" s="8"/>
      <c r="FT38" s="8"/>
      <c r="FU38" s="8"/>
      <c r="FV38" s="8"/>
      <c r="FW38" s="8">
        <v>4180535.78</v>
      </c>
      <c r="FX38" s="8"/>
      <c r="FY38" s="8"/>
      <c r="FZ38" s="8"/>
      <c r="GA38" s="8"/>
      <c r="GB38" s="8"/>
      <c r="GC38" s="8"/>
      <c r="GD38" s="8"/>
      <c r="GE38" s="8"/>
      <c r="GF38" s="8"/>
      <c r="GG38" s="8"/>
      <c r="GH38" s="8">
        <v>3877858.72</v>
      </c>
      <c r="GI38" s="8">
        <v>2139333.2999999998</v>
      </c>
      <c r="GJ38" s="8"/>
      <c r="GK38" s="8">
        <v>3652065.52</v>
      </c>
      <c r="GL38" s="8">
        <v>0.43</v>
      </c>
      <c r="GM38" s="8"/>
      <c r="GN38" s="8"/>
      <c r="GO38" s="8"/>
      <c r="GP38" s="8"/>
      <c r="GQ38" s="8"/>
      <c r="GR38" s="8"/>
      <c r="GS38" s="8"/>
      <c r="GT38" s="8"/>
      <c r="GU38" s="8"/>
      <c r="GV38" s="8"/>
      <c r="GW38" s="8">
        <v>4748487.3600000003</v>
      </c>
      <c r="GX38" s="8"/>
      <c r="GY38" s="8"/>
      <c r="GZ38" s="8"/>
      <c r="HA38" s="8"/>
      <c r="HB38" s="8"/>
      <c r="HC38" s="8"/>
      <c r="HD38" s="8"/>
      <c r="HE38" s="8">
        <v>3495670.73</v>
      </c>
      <c r="HF38" s="8"/>
      <c r="HG38" s="8"/>
      <c r="HH38" s="8"/>
      <c r="HI38" s="8"/>
      <c r="HJ38" s="8"/>
      <c r="HK38" s="8"/>
      <c r="HL38" s="8"/>
      <c r="HM38" s="8"/>
      <c r="HN38" s="8"/>
      <c r="HO38" s="8"/>
      <c r="HP38" s="8"/>
      <c r="HQ38" s="8">
        <v>3976277.03</v>
      </c>
      <c r="HR38" s="8"/>
      <c r="HS38" s="8"/>
      <c r="HT38" s="8"/>
      <c r="HU38" s="8">
        <v>7145644.1299999999</v>
      </c>
      <c r="HV38" s="8"/>
      <c r="HW38" s="8"/>
      <c r="HX38" s="8"/>
      <c r="HY38" s="8"/>
      <c r="HZ38" s="8">
        <v>9716.01</v>
      </c>
      <c r="IA38" s="8"/>
      <c r="IB38" s="8"/>
      <c r="IC38" s="8"/>
      <c r="ID38" s="8"/>
      <c r="IE38" s="8"/>
      <c r="IF38" s="8"/>
      <c r="IG38" s="8">
        <v>2508073.83</v>
      </c>
      <c r="IH38" s="8"/>
      <c r="II38" s="8"/>
      <c r="IJ38" s="8"/>
      <c r="IK38" s="8"/>
      <c r="IL38" s="8">
        <v>839384.29</v>
      </c>
      <c r="IM38" s="8"/>
      <c r="IN38" s="8"/>
      <c r="IO38" s="8"/>
      <c r="IP38" s="8"/>
      <c r="IQ38" s="8"/>
      <c r="IR38" s="8"/>
      <c r="IS38" s="8">
        <v>5223389.07</v>
      </c>
      <c r="IT38" s="8"/>
      <c r="IU38" s="8"/>
      <c r="IV38" s="8"/>
      <c r="IW38" s="8">
        <v>499674.07</v>
      </c>
      <c r="IX38" s="8"/>
      <c r="IY38" s="8"/>
      <c r="IZ38" s="8"/>
      <c r="JA38" s="8">
        <v>794593.99</v>
      </c>
      <c r="JB38" s="8">
        <v>889057.09</v>
      </c>
      <c r="JC38" s="8"/>
      <c r="JD38" s="8"/>
      <c r="JE38" s="8">
        <v>812626.46</v>
      </c>
      <c r="JF38" s="8"/>
      <c r="JG38" s="8"/>
      <c r="JH38" s="8"/>
      <c r="JI38" s="8"/>
      <c r="JJ38" s="8"/>
      <c r="JK38" s="8"/>
      <c r="JL38" s="8"/>
      <c r="JM38" s="8">
        <v>1787258.65</v>
      </c>
      <c r="JN38" s="8"/>
      <c r="JO38" s="8">
        <v>1072565.05</v>
      </c>
      <c r="JP38" s="8"/>
      <c r="JQ38" s="8"/>
      <c r="JR38" s="8">
        <v>652105.18999999994</v>
      </c>
      <c r="JS38" s="8"/>
      <c r="JT38" s="8"/>
      <c r="JU38" s="8"/>
      <c r="JV38" s="8">
        <v>1489259.7</v>
      </c>
      <c r="JW38" s="8"/>
      <c r="JX38" s="8"/>
      <c r="JY38" s="8"/>
      <c r="JZ38" s="8"/>
      <c r="KA38" s="8"/>
      <c r="KB38" s="8"/>
      <c r="KC38" s="8"/>
      <c r="KD38" s="8"/>
      <c r="KE38" s="8"/>
      <c r="KF38" s="8"/>
      <c r="KG38" s="8"/>
      <c r="KH38" s="8"/>
      <c r="KI38" s="8"/>
      <c r="KJ38" s="8"/>
      <c r="KK38" s="8"/>
      <c r="KL38" s="8"/>
      <c r="KM38" s="8"/>
      <c r="KN38" s="8"/>
      <c r="KO38" s="8"/>
      <c r="KP38" s="8"/>
      <c r="KQ38" s="8">
        <v>6792282.7699999996</v>
      </c>
      <c r="KR38" s="8">
        <v>5632756.7800000003</v>
      </c>
      <c r="KS38" s="8"/>
      <c r="KT38" s="8"/>
      <c r="KU38" s="8"/>
      <c r="KV38" s="8"/>
      <c r="KW38" s="8">
        <v>4276951.32</v>
      </c>
      <c r="KX38" s="8"/>
      <c r="KY38" s="8"/>
      <c r="KZ38" s="8"/>
      <c r="LA38" s="8"/>
      <c r="LB38" s="8">
        <v>10612856.4</v>
      </c>
      <c r="LC38" s="8"/>
      <c r="LD38" s="8">
        <v>2700693.88</v>
      </c>
      <c r="LE38" s="8"/>
      <c r="LF38" s="8"/>
      <c r="LG38" s="8"/>
      <c r="LH38" s="8"/>
      <c r="LI38" s="8">
        <v>3249831.58</v>
      </c>
      <c r="LJ38" s="8"/>
      <c r="LK38" s="8"/>
      <c r="LL38" s="8">
        <v>2227159.98</v>
      </c>
      <c r="LM38" s="8"/>
      <c r="LN38" s="8"/>
      <c r="LO38" s="8"/>
      <c r="LP38" s="8"/>
      <c r="LQ38" s="8"/>
      <c r="LR38" s="8"/>
      <c r="LS38" s="8">
        <v>4215746.09</v>
      </c>
      <c r="LT38" s="8"/>
      <c r="LU38" s="8"/>
      <c r="LV38" s="8"/>
      <c r="LW38" s="8"/>
      <c r="LX38" s="8"/>
      <c r="LY38" s="8"/>
      <c r="LZ38" s="8"/>
      <c r="MA38" s="8"/>
      <c r="MB38" s="8"/>
      <c r="MC38" s="8"/>
      <c r="MD38" s="8"/>
      <c r="ME38" s="8"/>
      <c r="MF38" s="8"/>
      <c r="MG38" s="8">
        <v>17164396.289999999</v>
      </c>
      <c r="MH38" s="8"/>
      <c r="MI38" s="8"/>
      <c r="MJ38" s="8">
        <v>2230.52</v>
      </c>
      <c r="MK38" s="8"/>
      <c r="ML38" s="8"/>
      <c r="MM38" s="8"/>
      <c r="MN38" s="8"/>
      <c r="MO38" s="8"/>
      <c r="MP38" s="8"/>
      <c r="MQ38" s="8"/>
      <c r="MR38" s="8"/>
      <c r="MS38" s="8"/>
      <c r="MT38" s="8"/>
      <c r="MU38" s="8"/>
      <c r="MV38" s="8"/>
      <c r="MW38" s="8"/>
      <c r="MX38" s="8"/>
      <c r="MY38" s="8"/>
      <c r="MZ38" s="8">
        <v>6663847.6600000001</v>
      </c>
      <c r="NA38" s="8"/>
      <c r="NB38" s="8">
        <v>1.59</v>
      </c>
      <c r="NC38" s="8"/>
      <c r="ND38" s="8"/>
      <c r="NE38" s="8">
        <v>0.76</v>
      </c>
      <c r="NF38" s="8"/>
      <c r="NG38" s="8"/>
      <c r="NH38" s="8"/>
      <c r="NI38" s="8"/>
      <c r="NJ38" s="8"/>
      <c r="NK38" s="8"/>
      <c r="NL38" s="8"/>
      <c r="NM38" s="8"/>
      <c r="NN38" s="8"/>
      <c r="NO38" s="8">
        <v>10576517.880000001</v>
      </c>
      <c r="NP38" s="8"/>
      <c r="NQ38" s="8"/>
      <c r="NR38" s="8"/>
      <c r="NS38" s="8"/>
      <c r="NT38" s="8"/>
      <c r="NU38" s="8"/>
      <c r="NV38" s="8"/>
      <c r="NW38" s="8"/>
      <c r="NX38" s="8"/>
      <c r="NY38" s="8"/>
      <c r="NZ38" s="8"/>
      <c r="OA38" s="8"/>
      <c r="OB38" s="8"/>
      <c r="OC38" s="8"/>
      <c r="OD38" s="8"/>
      <c r="OE38" s="8"/>
      <c r="OF38" s="8"/>
      <c r="OG38" s="8"/>
      <c r="OH38" s="8">
        <v>13755052.35</v>
      </c>
      <c r="OI38" s="8">
        <v>6101857.4800000004</v>
      </c>
      <c r="OJ38" s="8"/>
      <c r="OK38" s="8"/>
      <c r="OL38" s="8"/>
      <c r="OM38" s="8"/>
      <c r="ON38" s="8"/>
      <c r="OO38" s="8"/>
      <c r="OP38" s="8"/>
      <c r="OQ38" s="5">
        <v>171405484.27999997</v>
      </c>
    </row>
    <row r="39" spans="2:407" x14ac:dyDescent="0.2">
      <c r="B39" t="s">
        <v>103</v>
      </c>
      <c r="C39" t="s">
        <v>37</v>
      </c>
      <c r="D39" s="8"/>
      <c r="E39" s="8">
        <v>3197843.65</v>
      </c>
      <c r="F39" s="8"/>
      <c r="G39" s="8"/>
      <c r="H39" s="8"/>
      <c r="I39" s="8"/>
      <c r="J39" s="8"/>
      <c r="K39" s="8"/>
      <c r="L39" s="8"/>
      <c r="M39" s="8"/>
      <c r="N39" s="8">
        <v>226.73</v>
      </c>
      <c r="O39" s="8"/>
      <c r="P39" s="8"/>
      <c r="Q39" s="8">
        <v>5896049.2300000004</v>
      </c>
      <c r="R39" s="8"/>
      <c r="S39" s="8"/>
      <c r="T39" s="8"/>
      <c r="U39" s="8"/>
      <c r="V39" s="8">
        <v>4487522.58</v>
      </c>
      <c r="W39" s="8">
        <v>1787242.97</v>
      </c>
      <c r="X39" s="8"/>
      <c r="Y39" s="8"/>
      <c r="Z39" s="8"/>
      <c r="AA39" s="8"/>
      <c r="AB39" s="8"/>
      <c r="AC39" s="8"/>
      <c r="AD39" s="8"/>
      <c r="AE39" s="8"/>
      <c r="AF39" s="8"/>
      <c r="AG39" s="8"/>
      <c r="AH39" s="8"/>
      <c r="AI39" s="8">
        <v>1519870.91</v>
      </c>
      <c r="AJ39" s="8"/>
      <c r="AK39" s="8">
        <v>1077.69</v>
      </c>
      <c r="AL39" s="8">
        <v>851156.44</v>
      </c>
      <c r="AM39" s="8"/>
      <c r="AN39" s="8"/>
      <c r="AO39" s="8">
        <v>490242.23</v>
      </c>
      <c r="AP39" s="8"/>
      <c r="AQ39" s="8"/>
      <c r="AR39" s="8"/>
      <c r="AS39" s="8">
        <v>1714734.41</v>
      </c>
      <c r="AT39" s="8">
        <v>1217.3</v>
      </c>
      <c r="AU39" s="8"/>
      <c r="AV39" s="8"/>
      <c r="AW39" s="8"/>
      <c r="AX39" s="8">
        <v>731877.51</v>
      </c>
      <c r="AY39" s="8">
        <v>1005519.17</v>
      </c>
      <c r="AZ39" s="8">
        <v>995885.49</v>
      </c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  <c r="CH39" s="8"/>
      <c r="CI39" s="8"/>
      <c r="CJ39" s="8"/>
      <c r="CK39" s="8">
        <v>6470333.5999999996</v>
      </c>
      <c r="CL39" s="8">
        <v>2680110.14</v>
      </c>
      <c r="CM39" s="8">
        <v>4594556.6100000003</v>
      </c>
      <c r="CN39" s="8"/>
      <c r="CO39" s="8"/>
      <c r="CP39" s="8"/>
      <c r="CQ39" s="8"/>
      <c r="CR39" s="8"/>
      <c r="CS39" s="8"/>
      <c r="CT39" s="8"/>
      <c r="CU39" s="8"/>
      <c r="CV39" s="8"/>
      <c r="CW39" s="8"/>
      <c r="CX39" s="8"/>
      <c r="CY39" s="8">
        <v>3808425.42</v>
      </c>
      <c r="CZ39" s="8"/>
      <c r="DA39" s="8"/>
      <c r="DB39" s="8"/>
      <c r="DC39" s="8"/>
      <c r="DD39" s="8"/>
      <c r="DE39" s="8"/>
      <c r="DF39" s="8"/>
      <c r="DG39" s="8"/>
      <c r="DH39" s="8">
        <v>6668533.79</v>
      </c>
      <c r="DI39" s="8"/>
      <c r="DJ39" s="8"/>
      <c r="DK39" s="8"/>
      <c r="DL39" s="8">
        <v>6425368.2699999996</v>
      </c>
      <c r="DM39" s="8"/>
      <c r="DN39" s="8"/>
      <c r="DO39" s="8">
        <v>1.24</v>
      </c>
      <c r="DP39" s="8"/>
      <c r="DQ39" s="8">
        <v>16789.87</v>
      </c>
      <c r="DR39" s="8"/>
      <c r="DS39" s="8"/>
      <c r="DT39" s="8"/>
      <c r="DU39" s="8"/>
      <c r="DV39" s="8"/>
      <c r="DW39" s="8"/>
      <c r="DX39" s="8"/>
      <c r="DY39" s="8">
        <v>3730.82</v>
      </c>
      <c r="DZ39" s="8"/>
      <c r="EA39" s="8">
        <v>0.66</v>
      </c>
      <c r="EB39" s="8">
        <v>10332346.119999999</v>
      </c>
      <c r="EC39" s="8"/>
      <c r="ED39" s="8">
        <v>460.65</v>
      </c>
      <c r="EE39" s="8">
        <v>5232126.29</v>
      </c>
      <c r="EF39" s="8"/>
      <c r="EG39" s="8"/>
      <c r="EH39" s="8"/>
      <c r="EI39" s="8"/>
      <c r="EJ39" s="8"/>
      <c r="EK39" s="8"/>
      <c r="EL39" s="8">
        <v>2323.81</v>
      </c>
      <c r="EM39" s="8"/>
      <c r="EN39" s="8"/>
      <c r="EO39" s="8"/>
      <c r="EP39" s="8"/>
      <c r="EQ39" s="8"/>
      <c r="ER39" s="8"/>
      <c r="ES39" s="8"/>
      <c r="ET39" s="8"/>
      <c r="EU39" s="8">
        <v>9867617.3599999994</v>
      </c>
      <c r="EV39" s="8"/>
      <c r="EW39" s="8">
        <v>11466921.52</v>
      </c>
      <c r="EX39" s="8"/>
      <c r="EY39" s="8">
        <v>10596669.109999999</v>
      </c>
      <c r="EZ39" s="8"/>
      <c r="FA39" s="8"/>
      <c r="FB39" s="8"/>
      <c r="FC39" s="8"/>
      <c r="FD39" s="8"/>
      <c r="FE39" s="8"/>
      <c r="FF39" s="8">
        <v>9115463.3399999999</v>
      </c>
      <c r="FG39" s="8"/>
      <c r="FH39" s="8"/>
      <c r="FI39" s="8"/>
      <c r="FJ39" s="8"/>
      <c r="FK39" s="8"/>
      <c r="FL39" s="8"/>
      <c r="FM39" s="8"/>
      <c r="FN39" s="8"/>
      <c r="FO39" s="8"/>
      <c r="FP39" s="8"/>
      <c r="FQ39" s="8"/>
      <c r="FR39" s="8"/>
      <c r="FS39" s="8">
        <v>6466017.04</v>
      </c>
      <c r="FT39" s="8">
        <v>10135938.17</v>
      </c>
      <c r="FU39" s="8"/>
      <c r="FV39" s="8"/>
      <c r="FW39" s="8"/>
      <c r="FX39" s="8"/>
      <c r="FY39" s="8"/>
      <c r="FZ39" s="8"/>
      <c r="GA39" s="8"/>
      <c r="GB39" s="8"/>
      <c r="GC39" s="8"/>
      <c r="GD39" s="8"/>
      <c r="GE39" s="8"/>
      <c r="GF39" s="8">
        <v>5354119.3899999997</v>
      </c>
      <c r="GG39" s="8"/>
      <c r="GH39" s="8"/>
      <c r="GI39" s="8"/>
      <c r="GJ39" s="8"/>
      <c r="GK39" s="8"/>
      <c r="GL39" s="8"/>
      <c r="GM39" s="8"/>
      <c r="GN39" s="8"/>
      <c r="GO39" s="8"/>
      <c r="GP39" s="8"/>
      <c r="GQ39" s="8"/>
      <c r="GR39" s="8">
        <v>8733464.9600000009</v>
      </c>
      <c r="GS39" s="8">
        <v>8094928.4100000001</v>
      </c>
      <c r="GT39" s="8"/>
      <c r="GU39" s="8"/>
      <c r="GV39" s="8"/>
      <c r="GW39" s="8"/>
      <c r="GX39" s="8"/>
      <c r="GY39" s="8">
        <v>2418093.0699999998</v>
      </c>
      <c r="GZ39" s="8"/>
      <c r="HA39" s="8"/>
      <c r="HB39" s="8">
        <v>3765207</v>
      </c>
      <c r="HC39" s="8">
        <v>10708112.26</v>
      </c>
      <c r="HD39" s="8"/>
      <c r="HE39" s="8"/>
      <c r="HF39" s="8"/>
      <c r="HG39" s="8"/>
      <c r="HH39" s="8"/>
      <c r="HI39" s="8"/>
      <c r="HJ39" s="8"/>
      <c r="HK39" s="8"/>
      <c r="HL39" s="8">
        <v>1697.55</v>
      </c>
      <c r="HM39" s="8"/>
      <c r="HN39" s="8">
        <v>6261666.0499999998</v>
      </c>
      <c r="HO39" s="8"/>
      <c r="HP39" s="8"/>
      <c r="HQ39" s="8"/>
      <c r="HR39" s="8"/>
      <c r="HS39" s="8"/>
      <c r="HT39" s="8"/>
      <c r="HU39" s="8"/>
      <c r="HV39" s="8"/>
      <c r="HW39" s="8"/>
      <c r="HX39" s="8">
        <v>5378164.04</v>
      </c>
      <c r="HY39" s="8"/>
      <c r="HZ39" s="8"/>
      <c r="IA39" s="8">
        <v>210.17</v>
      </c>
      <c r="IB39" s="8"/>
      <c r="IC39" s="8"/>
      <c r="ID39" s="8"/>
      <c r="IE39" s="8"/>
      <c r="IF39" s="8">
        <v>3582737.95</v>
      </c>
      <c r="IG39" s="8"/>
      <c r="IH39" s="8"/>
      <c r="II39" s="8"/>
      <c r="IJ39" s="8"/>
      <c r="IK39" s="8"/>
      <c r="IL39" s="8"/>
      <c r="IM39" s="8"/>
      <c r="IN39" s="8">
        <v>3988857.82</v>
      </c>
      <c r="IO39" s="8"/>
      <c r="IP39" s="8"/>
      <c r="IQ39" s="8"/>
      <c r="IR39" s="8"/>
      <c r="IS39" s="8"/>
      <c r="IT39" s="8"/>
      <c r="IU39" s="8"/>
      <c r="IV39" s="8">
        <v>1866515.94</v>
      </c>
      <c r="IW39" s="8"/>
      <c r="IX39" s="8">
        <v>5249817.1399999997</v>
      </c>
      <c r="IY39" s="8"/>
      <c r="IZ39" s="8">
        <v>2273238.98</v>
      </c>
      <c r="JA39" s="8"/>
      <c r="JB39" s="8">
        <v>2758733.36</v>
      </c>
      <c r="JC39" s="8">
        <v>3987595.82</v>
      </c>
      <c r="JD39" s="8"/>
      <c r="JE39" s="8"/>
      <c r="JF39" s="8"/>
      <c r="JG39" s="8"/>
      <c r="JH39" s="8"/>
      <c r="JI39" s="8"/>
      <c r="JJ39" s="8"/>
      <c r="JK39" s="8"/>
      <c r="JL39" s="8">
        <v>3472223.16</v>
      </c>
      <c r="JM39" s="8"/>
      <c r="JN39" s="8"/>
      <c r="JO39" s="8"/>
      <c r="JP39" s="8"/>
      <c r="JQ39" s="8"/>
      <c r="JR39" s="8"/>
      <c r="JS39" s="8"/>
      <c r="JT39" s="8"/>
      <c r="JU39" s="8">
        <v>1771188.72</v>
      </c>
      <c r="JV39" s="8">
        <v>1670573.19</v>
      </c>
      <c r="JW39" s="8">
        <v>1290202.53</v>
      </c>
      <c r="JX39" s="8"/>
      <c r="JY39" s="8"/>
      <c r="JZ39" s="8"/>
      <c r="KA39" s="8">
        <v>1184440.22</v>
      </c>
      <c r="KB39" s="8"/>
      <c r="KC39" s="8"/>
      <c r="KD39" s="8"/>
      <c r="KE39" s="8"/>
      <c r="KF39" s="8"/>
      <c r="KG39" s="8"/>
      <c r="KH39" s="8"/>
      <c r="KI39" s="8">
        <v>3969514.91</v>
      </c>
      <c r="KJ39" s="8">
        <v>6209744.7300000004</v>
      </c>
      <c r="KK39" s="8">
        <v>186.18</v>
      </c>
      <c r="KL39" s="8"/>
      <c r="KM39" s="8"/>
      <c r="KN39" s="8"/>
      <c r="KO39" s="8"/>
      <c r="KP39" s="8"/>
      <c r="KQ39" s="8"/>
      <c r="KR39" s="8"/>
      <c r="KS39" s="8"/>
      <c r="KT39" s="8"/>
      <c r="KU39" s="8"/>
      <c r="KV39" s="8"/>
      <c r="KW39" s="8"/>
      <c r="KX39" s="8"/>
      <c r="KY39" s="8"/>
      <c r="KZ39" s="8"/>
      <c r="LA39" s="8"/>
      <c r="LB39" s="8"/>
      <c r="LC39" s="8"/>
      <c r="LD39" s="8"/>
      <c r="LE39" s="8"/>
      <c r="LF39" s="8"/>
      <c r="LG39" s="8"/>
      <c r="LH39" s="8"/>
      <c r="LI39" s="8"/>
      <c r="LJ39" s="8"/>
      <c r="LK39" s="8"/>
      <c r="LL39" s="8"/>
      <c r="LM39" s="8"/>
      <c r="LN39" s="8"/>
      <c r="LO39" s="8"/>
      <c r="LP39" s="8"/>
      <c r="LQ39" s="8"/>
      <c r="LR39" s="8"/>
      <c r="LS39" s="8"/>
      <c r="LT39" s="8"/>
      <c r="LU39" s="8"/>
      <c r="LV39" s="8"/>
      <c r="LW39" s="8"/>
      <c r="LX39" s="8"/>
      <c r="LY39" s="8"/>
      <c r="LZ39" s="8"/>
      <c r="MA39" s="8"/>
      <c r="MB39" s="8"/>
      <c r="MC39" s="8"/>
      <c r="MD39" s="8">
        <v>16029350.810000001</v>
      </c>
      <c r="ME39" s="8"/>
      <c r="MF39" s="8"/>
      <c r="MG39" s="8"/>
      <c r="MH39" s="8"/>
      <c r="MI39" s="8"/>
      <c r="MJ39" s="8"/>
      <c r="MK39" s="8"/>
      <c r="ML39" s="8"/>
      <c r="MM39" s="8"/>
      <c r="MN39" s="8"/>
      <c r="MO39" s="8"/>
      <c r="MP39" s="8"/>
      <c r="MQ39" s="8"/>
      <c r="MR39" s="8"/>
      <c r="MS39" s="8"/>
      <c r="MT39" s="8"/>
      <c r="MU39" s="8"/>
      <c r="MV39" s="8"/>
      <c r="MW39" s="8"/>
      <c r="MX39" s="8">
        <v>9373.6200000000008</v>
      </c>
      <c r="MY39" s="8"/>
      <c r="MZ39" s="8"/>
      <c r="NA39" s="8"/>
      <c r="NB39" s="8"/>
      <c r="NC39" s="8"/>
      <c r="ND39" s="8"/>
      <c r="NE39" s="8"/>
      <c r="NF39" s="8">
        <v>34062175.060000002</v>
      </c>
      <c r="NG39" s="8"/>
      <c r="NH39" s="8"/>
      <c r="NI39" s="8"/>
      <c r="NJ39" s="8"/>
      <c r="NK39" s="8"/>
      <c r="NL39" s="8"/>
      <c r="NM39" s="8">
        <v>25094492.199999999</v>
      </c>
      <c r="NN39" s="8"/>
      <c r="NO39" s="8"/>
      <c r="NP39" s="8"/>
      <c r="NQ39" s="8"/>
      <c r="NR39" s="8"/>
      <c r="NS39" s="8"/>
      <c r="NT39" s="8"/>
      <c r="NU39" s="8"/>
      <c r="NV39" s="8"/>
      <c r="NW39" s="8"/>
      <c r="NX39" s="8"/>
      <c r="NY39" s="8"/>
      <c r="NZ39" s="8"/>
      <c r="OA39" s="8"/>
      <c r="OB39" s="8"/>
      <c r="OC39" s="8">
        <v>7548007.0300000003</v>
      </c>
      <c r="OD39" s="8"/>
      <c r="OE39" s="8"/>
      <c r="OF39" s="8"/>
      <c r="OG39" s="8"/>
      <c r="OH39" s="8"/>
      <c r="OI39" s="8"/>
      <c r="OJ39" s="8"/>
      <c r="OK39" s="8"/>
      <c r="OL39" s="8"/>
      <c r="OM39" s="8"/>
      <c r="ON39" s="8">
        <v>20528872.75</v>
      </c>
      <c r="OO39" s="8"/>
      <c r="OP39" s="8"/>
      <c r="OQ39" s="5">
        <v>323827705.15999991</v>
      </c>
    </row>
    <row r="40" spans="2:407" x14ac:dyDescent="0.2">
      <c r="B40" t="s">
        <v>104</v>
      </c>
      <c r="C40" t="s">
        <v>40</v>
      </c>
      <c r="D40" s="8"/>
      <c r="E40" s="8"/>
      <c r="F40" s="8"/>
      <c r="G40" s="8"/>
      <c r="H40" s="8"/>
      <c r="I40" s="8"/>
      <c r="J40" s="8">
        <v>3943331.1</v>
      </c>
      <c r="K40" s="8">
        <v>769.87</v>
      </c>
      <c r="L40" s="8">
        <v>13056940.85</v>
      </c>
      <c r="M40" s="8"/>
      <c r="N40" s="8"/>
      <c r="O40" s="8">
        <v>0.44</v>
      </c>
      <c r="P40" s="8">
        <v>4395904.62</v>
      </c>
      <c r="Q40" s="8"/>
      <c r="R40" s="8">
        <v>4411657.79</v>
      </c>
      <c r="S40" s="8">
        <v>6650144.25</v>
      </c>
      <c r="T40" s="8"/>
      <c r="U40" s="8"/>
      <c r="V40" s="8">
        <v>4599752.37</v>
      </c>
      <c r="W40" s="8">
        <v>4377558.75</v>
      </c>
      <c r="X40" s="8"/>
      <c r="Y40" s="8">
        <v>160.63999999999999</v>
      </c>
      <c r="Z40" s="8">
        <v>7805225.2800000003</v>
      </c>
      <c r="AA40" s="8"/>
      <c r="AB40" s="8"/>
      <c r="AC40" s="8"/>
      <c r="AD40" s="8"/>
      <c r="AE40" s="8">
        <v>5435554.1200000001</v>
      </c>
      <c r="AF40" s="8"/>
      <c r="AG40" s="8"/>
      <c r="AH40" s="8"/>
      <c r="AI40" s="8">
        <v>3704898.45</v>
      </c>
      <c r="AJ40" s="8">
        <v>5760995.3499999996</v>
      </c>
      <c r="AK40" s="8">
        <v>354.55</v>
      </c>
      <c r="AL40" s="8">
        <v>7374136.5800000001</v>
      </c>
      <c r="AM40" s="8"/>
      <c r="AN40" s="8">
        <v>1003.58</v>
      </c>
      <c r="AO40" s="8">
        <v>3648858.82</v>
      </c>
      <c r="AP40" s="8">
        <v>0.86</v>
      </c>
      <c r="AQ40" s="8"/>
      <c r="AR40" s="8">
        <v>4991060.3499999996</v>
      </c>
      <c r="AS40" s="8"/>
      <c r="AT40" s="8">
        <v>4547109.88</v>
      </c>
      <c r="AU40" s="8"/>
      <c r="AV40" s="8"/>
      <c r="AW40" s="8"/>
      <c r="AX40" s="8"/>
      <c r="AY40" s="8"/>
      <c r="AZ40" s="8"/>
      <c r="BA40" s="8"/>
      <c r="BB40" s="8"/>
      <c r="BC40" s="8"/>
      <c r="BD40" s="8">
        <v>29908184.41</v>
      </c>
      <c r="BE40" s="8"/>
      <c r="BF40" s="8"/>
      <c r="BG40" s="8"/>
      <c r="BH40" s="8">
        <v>31233864.129999999</v>
      </c>
      <c r="BI40" s="8"/>
      <c r="BJ40" s="8"/>
      <c r="BK40" s="8"/>
      <c r="BL40" s="8"/>
      <c r="BM40" s="8"/>
      <c r="BN40" s="8"/>
      <c r="BO40" s="8">
        <v>17055022.199999999</v>
      </c>
      <c r="BP40" s="8"/>
      <c r="BQ40" s="8"/>
      <c r="BR40" s="8">
        <v>11284544.380000001</v>
      </c>
      <c r="BS40" s="8"/>
      <c r="BT40" s="8"/>
      <c r="BU40" s="8"/>
      <c r="BV40" s="8"/>
      <c r="BW40" s="8">
        <v>13966940.130000001</v>
      </c>
      <c r="BX40" s="8"/>
      <c r="BY40" s="8"/>
      <c r="BZ40" s="8"/>
      <c r="CA40" s="8"/>
      <c r="CB40" s="8"/>
      <c r="CC40" s="8"/>
      <c r="CD40" s="8"/>
      <c r="CE40" s="8"/>
      <c r="CF40" s="8"/>
      <c r="CG40" s="8">
        <v>5018.8100000000004</v>
      </c>
      <c r="CH40" s="8"/>
      <c r="CI40" s="8"/>
      <c r="CJ40" s="8"/>
      <c r="CK40" s="8">
        <v>904.97</v>
      </c>
      <c r="CL40" s="8"/>
      <c r="CM40" s="8"/>
      <c r="CN40" s="8"/>
      <c r="CO40" s="8"/>
      <c r="CP40" s="8"/>
      <c r="CQ40" s="8"/>
      <c r="CR40" s="8"/>
      <c r="CS40" s="8"/>
      <c r="CT40" s="8"/>
      <c r="CU40" s="8">
        <v>1410.78</v>
      </c>
      <c r="CV40" s="8"/>
      <c r="CW40" s="8"/>
      <c r="CX40" s="8"/>
      <c r="CY40" s="8"/>
      <c r="CZ40" s="8">
        <v>24304963.780000001</v>
      </c>
      <c r="DA40" s="8"/>
      <c r="DB40" s="8"/>
      <c r="DC40" s="8">
        <v>24333692.550000001</v>
      </c>
      <c r="DD40" s="8"/>
      <c r="DE40" s="8"/>
      <c r="DF40" s="8"/>
      <c r="DG40" s="8"/>
      <c r="DH40" s="8">
        <v>47056747.890000001</v>
      </c>
      <c r="DI40" s="8">
        <v>2160866.2400000002</v>
      </c>
      <c r="DJ40" s="8"/>
      <c r="DK40" s="8"/>
      <c r="DL40" s="8"/>
      <c r="DM40" s="8">
        <v>2014407.94</v>
      </c>
      <c r="DN40" s="8"/>
      <c r="DO40" s="8"/>
      <c r="DP40" s="8"/>
      <c r="DQ40" s="8"/>
      <c r="DR40" s="8">
        <v>4706643.12</v>
      </c>
      <c r="DS40" s="8"/>
      <c r="DT40" s="8"/>
      <c r="DU40" s="8">
        <v>21343254.57</v>
      </c>
      <c r="DV40" s="8">
        <v>6353192.0999999996</v>
      </c>
      <c r="DW40" s="8"/>
      <c r="DX40" s="8"/>
      <c r="DY40" s="8">
        <v>15562118.9</v>
      </c>
      <c r="DZ40" s="8"/>
      <c r="EA40" s="8">
        <v>9474192.8399999999</v>
      </c>
      <c r="EB40" s="8"/>
      <c r="EC40" s="8"/>
      <c r="ED40" s="8"/>
      <c r="EE40" s="8"/>
      <c r="EF40" s="8"/>
      <c r="EG40" s="8">
        <v>36865702.770000003</v>
      </c>
      <c r="EH40" s="8"/>
      <c r="EI40" s="8"/>
      <c r="EJ40" s="8">
        <v>51457899.649999999</v>
      </c>
      <c r="EK40" s="8"/>
      <c r="EL40" s="8"/>
      <c r="EM40" s="8"/>
      <c r="EN40" s="8"/>
      <c r="EO40" s="8"/>
      <c r="EP40" s="8"/>
      <c r="EQ40" s="8"/>
      <c r="ER40" s="8"/>
      <c r="ES40" s="8">
        <v>25131047.949999999</v>
      </c>
      <c r="ET40" s="8"/>
      <c r="EU40" s="8"/>
      <c r="EV40" s="8"/>
      <c r="EW40" s="8"/>
      <c r="EX40" s="8"/>
      <c r="EY40" s="8"/>
      <c r="EZ40" s="8"/>
      <c r="FA40" s="8"/>
      <c r="FB40" s="8"/>
      <c r="FC40" s="8"/>
      <c r="FD40" s="8"/>
      <c r="FE40" s="8"/>
      <c r="FF40" s="8"/>
      <c r="FG40" s="8"/>
      <c r="FH40" s="8"/>
      <c r="FI40" s="8"/>
      <c r="FJ40" s="8"/>
      <c r="FK40" s="8">
        <v>47396675.950000003</v>
      </c>
      <c r="FL40" s="8"/>
      <c r="FM40" s="8"/>
      <c r="FN40" s="8"/>
      <c r="FO40" s="8"/>
      <c r="FP40" s="8"/>
      <c r="FQ40" s="8"/>
      <c r="FR40" s="8"/>
      <c r="FS40" s="8"/>
      <c r="FT40" s="8"/>
      <c r="FU40" s="8">
        <v>33194946.879999999</v>
      </c>
      <c r="FV40" s="8"/>
      <c r="FW40" s="8"/>
      <c r="FX40" s="8"/>
      <c r="FY40" s="8"/>
      <c r="FZ40" s="8">
        <v>25066380.879999999</v>
      </c>
      <c r="GA40" s="8">
        <v>8268726.8799999999</v>
      </c>
      <c r="GB40" s="8"/>
      <c r="GC40" s="8"/>
      <c r="GD40" s="8"/>
      <c r="GE40" s="8"/>
      <c r="GF40" s="8"/>
      <c r="GG40" s="8"/>
      <c r="GH40" s="8"/>
      <c r="GI40" s="8"/>
      <c r="GJ40" s="8"/>
      <c r="GK40" s="8">
        <v>31620635.010000002</v>
      </c>
      <c r="GL40" s="8">
        <v>134.21</v>
      </c>
      <c r="GM40" s="8"/>
      <c r="GN40" s="8"/>
      <c r="GO40" s="8"/>
      <c r="GP40" s="8"/>
      <c r="GQ40" s="8">
        <v>26224818.91</v>
      </c>
      <c r="GR40" s="8"/>
      <c r="GS40" s="8"/>
      <c r="GT40" s="8"/>
      <c r="GU40" s="8"/>
      <c r="GV40" s="8"/>
      <c r="GW40" s="8">
        <v>26342193.609999999</v>
      </c>
      <c r="GX40" s="8"/>
      <c r="GY40" s="8"/>
      <c r="GZ40" s="8"/>
      <c r="HA40" s="8"/>
      <c r="HB40" s="8"/>
      <c r="HC40" s="8"/>
      <c r="HD40" s="8"/>
      <c r="HE40" s="8"/>
      <c r="HF40" s="8"/>
      <c r="HG40" s="8"/>
      <c r="HH40" s="8"/>
      <c r="HI40" s="8"/>
      <c r="HJ40" s="8"/>
      <c r="HK40" s="8"/>
      <c r="HL40" s="8"/>
      <c r="HM40" s="8">
        <v>15549190.710000001</v>
      </c>
      <c r="HN40" s="8"/>
      <c r="HO40" s="8">
        <v>11287784.07</v>
      </c>
      <c r="HP40" s="8"/>
      <c r="HQ40" s="8">
        <v>16486472.32</v>
      </c>
      <c r="HR40" s="8"/>
      <c r="HS40" s="8"/>
      <c r="HT40" s="8"/>
      <c r="HU40" s="8"/>
      <c r="HV40" s="8">
        <v>9425941.5700000003</v>
      </c>
      <c r="HW40" s="8">
        <v>11310880.460000001</v>
      </c>
      <c r="HX40" s="8">
        <v>17682180.77</v>
      </c>
      <c r="HY40" s="8"/>
      <c r="HZ40" s="8">
        <v>7070118.9000000004</v>
      </c>
      <c r="IA40" s="8">
        <v>17822997.43</v>
      </c>
      <c r="IB40" s="8"/>
      <c r="IC40" s="8"/>
      <c r="ID40" s="8"/>
      <c r="IE40" s="8">
        <v>17778519.550000001</v>
      </c>
      <c r="IF40" s="8"/>
      <c r="IG40" s="8">
        <v>26408865.07</v>
      </c>
      <c r="IH40" s="8"/>
      <c r="II40" s="8"/>
      <c r="IJ40" s="8"/>
      <c r="IK40" s="8"/>
      <c r="IL40" s="8">
        <v>540.59</v>
      </c>
      <c r="IM40" s="8">
        <v>16514896.92</v>
      </c>
      <c r="IN40" s="8"/>
      <c r="IO40" s="8"/>
      <c r="IP40" s="8"/>
      <c r="IQ40" s="8"/>
      <c r="IR40" s="8">
        <v>12321474.91</v>
      </c>
      <c r="IS40" s="8"/>
      <c r="IT40" s="8"/>
      <c r="IU40" s="8"/>
      <c r="IV40" s="8"/>
      <c r="IW40" s="8"/>
      <c r="IX40" s="8"/>
      <c r="IY40" s="8"/>
      <c r="IZ40" s="8"/>
      <c r="JA40" s="8"/>
      <c r="JB40" s="8">
        <v>2949.92</v>
      </c>
      <c r="JC40" s="8"/>
      <c r="JD40" s="8">
        <v>6545745.4299999997</v>
      </c>
      <c r="JE40" s="8"/>
      <c r="JF40" s="8"/>
      <c r="JG40" s="8"/>
      <c r="JH40" s="8"/>
      <c r="JI40" s="8"/>
      <c r="JJ40" s="8"/>
      <c r="JK40" s="8">
        <v>17605812.82</v>
      </c>
      <c r="JL40" s="8"/>
      <c r="JM40" s="8">
        <v>4022893.76</v>
      </c>
      <c r="JN40" s="8"/>
      <c r="JO40" s="8">
        <v>10760337.26</v>
      </c>
      <c r="JP40" s="8">
        <v>9915471.2699999996</v>
      </c>
      <c r="JQ40" s="8"/>
      <c r="JR40" s="8"/>
      <c r="JS40" s="8"/>
      <c r="JT40" s="8">
        <v>7296292.8899999997</v>
      </c>
      <c r="JU40" s="8"/>
      <c r="JV40" s="8"/>
      <c r="JW40" s="8"/>
      <c r="JX40" s="8"/>
      <c r="JY40" s="8"/>
      <c r="JZ40" s="8"/>
      <c r="KA40" s="8"/>
      <c r="KB40" s="8"/>
      <c r="KC40" s="8">
        <v>13854201.91</v>
      </c>
      <c r="KD40" s="8"/>
      <c r="KE40" s="8">
        <v>10374571.25</v>
      </c>
      <c r="KF40" s="8"/>
      <c r="KG40" s="8"/>
      <c r="KH40" s="8"/>
      <c r="KI40" s="8"/>
      <c r="KJ40" s="8">
        <v>8810361.6099999994</v>
      </c>
      <c r="KK40" s="8"/>
      <c r="KL40" s="8"/>
      <c r="KM40" s="8">
        <v>6606948.0899999999</v>
      </c>
      <c r="KN40" s="8"/>
      <c r="KO40" s="8"/>
      <c r="KP40" s="8"/>
      <c r="KQ40" s="8"/>
      <c r="KR40" s="8"/>
      <c r="KS40" s="8"/>
      <c r="KT40" s="8"/>
      <c r="KU40" s="8"/>
      <c r="KV40" s="8"/>
      <c r="KW40" s="8"/>
      <c r="KX40" s="8"/>
      <c r="KY40" s="8"/>
      <c r="KZ40" s="8"/>
      <c r="LA40" s="8">
        <v>134082534.41</v>
      </c>
      <c r="LB40" s="8"/>
      <c r="LC40" s="8">
        <v>59953099.600000001</v>
      </c>
      <c r="LD40" s="8"/>
      <c r="LE40" s="8"/>
      <c r="LF40" s="8"/>
      <c r="LG40" s="8"/>
      <c r="LH40" s="8"/>
      <c r="LI40" s="8"/>
      <c r="LJ40" s="8"/>
      <c r="LK40" s="8"/>
      <c r="LL40" s="8"/>
      <c r="LM40" s="8"/>
      <c r="LN40" s="8"/>
      <c r="LO40" s="8"/>
      <c r="LP40" s="8">
        <v>29297709.559999999</v>
      </c>
      <c r="LQ40" s="8"/>
      <c r="LR40" s="8"/>
      <c r="LS40" s="8">
        <v>59072483.549999997</v>
      </c>
      <c r="LT40" s="8"/>
      <c r="LU40" s="8"/>
      <c r="LV40" s="8"/>
      <c r="LW40" s="8"/>
      <c r="LX40" s="8"/>
      <c r="LY40" s="8"/>
      <c r="LZ40" s="8"/>
      <c r="MA40" s="8"/>
      <c r="MB40" s="8"/>
      <c r="MC40" s="8"/>
      <c r="MD40" s="8"/>
      <c r="ME40" s="8"/>
      <c r="MF40" s="8"/>
      <c r="MG40" s="8"/>
      <c r="MH40" s="8"/>
      <c r="MI40" s="8"/>
      <c r="MJ40" s="8"/>
      <c r="MK40" s="8"/>
      <c r="ML40" s="8"/>
      <c r="MM40" s="8"/>
      <c r="MN40" s="8"/>
      <c r="MO40" s="8"/>
      <c r="MP40" s="8"/>
      <c r="MQ40" s="8"/>
      <c r="MR40" s="8"/>
      <c r="MS40" s="8"/>
      <c r="MT40" s="8"/>
      <c r="MU40" s="8"/>
      <c r="MV40" s="8"/>
      <c r="MW40" s="8"/>
      <c r="MX40" s="8"/>
      <c r="MY40" s="8"/>
      <c r="MZ40" s="8"/>
      <c r="NA40" s="8"/>
      <c r="NB40" s="8"/>
      <c r="NC40" s="8"/>
      <c r="ND40" s="8"/>
      <c r="NE40" s="8"/>
      <c r="NF40" s="8"/>
      <c r="NG40" s="8"/>
      <c r="NH40" s="8"/>
      <c r="NI40" s="8"/>
      <c r="NJ40" s="8"/>
      <c r="NK40" s="8"/>
      <c r="NL40" s="8"/>
      <c r="NM40" s="8"/>
      <c r="NN40" s="8"/>
      <c r="NO40" s="8"/>
      <c r="NP40" s="8"/>
      <c r="NQ40" s="8">
        <v>0.69</v>
      </c>
      <c r="NR40" s="8"/>
      <c r="NS40" s="8"/>
      <c r="NT40" s="8"/>
      <c r="NU40" s="8"/>
      <c r="NV40" s="8"/>
      <c r="NW40" s="8"/>
      <c r="NX40" s="8"/>
      <c r="NY40" s="8"/>
      <c r="NZ40" s="8"/>
      <c r="OA40" s="8"/>
      <c r="OB40" s="8"/>
      <c r="OC40" s="8"/>
      <c r="OD40" s="8"/>
      <c r="OE40" s="8"/>
      <c r="OF40" s="8"/>
      <c r="OG40" s="8"/>
      <c r="OH40" s="8"/>
      <c r="OI40" s="8"/>
      <c r="OJ40" s="8"/>
      <c r="OK40" s="8"/>
      <c r="OL40" s="8"/>
      <c r="OM40" s="8"/>
      <c r="ON40" s="8"/>
      <c r="OO40" s="8"/>
      <c r="OP40" s="8"/>
      <c r="OQ40" s="5">
        <v>1214901828.2299998</v>
      </c>
    </row>
    <row r="41" spans="2:407" x14ac:dyDescent="0.2">
      <c r="B41" t="s">
        <v>105</v>
      </c>
      <c r="C41" t="s">
        <v>41</v>
      </c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  <c r="V41" s="8">
        <v>1712707.28</v>
      </c>
      <c r="W41" s="8"/>
      <c r="X41" s="8"/>
      <c r="Y41" s="8">
        <v>1605899.42</v>
      </c>
      <c r="Z41" s="8"/>
      <c r="AA41" s="8"/>
      <c r="AB41" s="8"/>
      <c r="AC41" s="8"/>
      <c r="AD41" s="8">
        <v>5570.8</v>
      </c>
      <c r="AE41" s="8">
        <v>1021027.43</v>
      </c>
      <c r="AF41" s="8"/>
      <c r="AG41" s="8">
        <v>487882.3</v>
      </c>
      <c r="AH41" s="8">
        <v>1048422.26</v>
      </c>
      <c r="AI41" s="8">
        <v>2084977.63</v>
      </c>
      <c r="AJ41" s="8">
        <v>0.12</v>
      </c>
      <c r="AK41" s="8"/>
      <c r="AL41" s="8">
        <v>1551370.85</v>
      </c>
      <c r="AM41" s="8">
        <v>1661376.62</v>
      </c>
      <c r="AN41" s="8"/>
      <c r="AO41" s="8">
        <v>1002672.04</v>
      </c>
      <c r="AP41" s="8"/>
      <c r="AQ41" s="8">
        <v>146.56</v>
      </c>
      <c r="AR41" s="8"/>
      <c r="AS41" s="8"/>
      <c r="AT41" s="8"/>
      <c r="AU41" s="8">
        <v>1219211.6299999999</v>
      </c>
      <c r="AV41" s="8"/>
      <c r="AW41" s="8">
        <v>547.65</v>
      </c>
      <c r="AX41" s="8"/>
      <c r="AY41" s="8"/>
      <c r="AZ41" s="8"/>
      <c r="BA41" s="8"/>
      <c r="BB41" s="8">
        <v>8331.39</v>
      </c>
      <c r="BC41" s="8"/>
      <c r="BD41" s="8"/>
      <c r="BE41" s="8"/>
      <c r="BF41" s="8">
        <v>6285241.2400000002</v>
      </c>
      <c r="BG41" s="8"/>
      <c r="BH41" s="8"/>
      <c r="BI41" s="8"/>
      <c r="BJ41" s="8"/>
      <c r="BK41" s="8"/>
      <c r="BL41" s="8"/>
      <c r="BM41" s="8"/>
      <c r="BN41" s="8">
        <v>2805856.32</v>
      </c>
      <c r="BO41" s="8"/>
      <c r="BP41" s="8"/>
      <c r="BQ41" s="8"/>
      <c r="BR41" s="8">
        <v>4431390.55</v>
      </c>
      <c r="BS41" s="8"/>
      <c r="BT41" s="8">
        <v>4556703.04</v>
      </c>
      <c r="BU41" s="8"/>
      <c r="BV41" s="8"/>
      <c r="BW41" s="8"/>
      <c r="BX41" s="8"/>
      <c r="BY41" s="8"/>
      <c r="BZ41" s="8"/>
      <c r="CA41" s="8"/>
      <c r="CB41" s="8">
        <v>7791901.7599999998</v>
      </c>
      <c r="CC41" s="8"/>
      <c r="CD41" s="8"/>
      <c r="CE41" s="8"/>
      <c r="CF41" s="8"/>
      <c r="CG41" s="8"/>
      <c r="CH41" s="8"/>
      <c r="CI41" s="8"/>
      <c r="CJ41" s="8"/>
      <c r="CK41" s="8"/>
      <c r="CL41" s="8">
        <v>2032083.6</v>
      </c>
      <c r="CM41" s="8"/>
      <c r="CN41" s="8"/>
      <c r="CO41" s="8"/>
      <c r="CP41" s="8">
        <v>8850.27</v>
      </c>
      <c r="CQ41" s="8"/>
      <c r="CR41" s="8">
        <v>10316576.08</v>
      </c>
      <c r="CS41" s="8"/>
      <c r="CT41" s="8">
        <v>5786554.6200000001</v>
      </c>
      <c r="CU41" s="8"/>
      <c r="CV41" s="8"/>
      <c r="CW41" s="8"/>
      <c r="CX41" s="8"/>
      <c r="CY41" s="8"/>
      <c r="CZ41" s="8"/>
      <c r="DA41" s="8"/>
      <c r="DB41" s="8"/>
      <c r="DC41" s="8"/>
      <c r="DD41" s="8"/>
      <c r="DE41" s="8"/>
      <c r="DF41" s="8"/>
      <c r="DG41" s="8"/>
      <c r="DH41" s="8">
        <v>5510864.6399999997</v>
      </c>
      <c r="DI41" s="8"/>
      <c r="DJ41" s="8"/>
      <c r="DK41" s="8"/>
      <c r="DL41" s="8"/>
      <c r="DM41" s="8"/>
      <c r="DN41" s="8"/>
      <c r="DO41" s="8"/>
      <c r="DP41" s="8"/>
      <c r="DQ41" s="8"/>
      <c r="DR41" s="8"/>
      <c r="DS41" s="8"/>
      <c r="DT41" s="8"/>
      <c r="DU41" s="8"/>
      <c r="DV41" s="8"/>
      <c r="DW41" s="8"/>
      <c r="DX41" s="8"/>
      <c r="DY41" s="8"/>
      <c r="DZ41" s="8"/>
      <c r="EA41" s="8"/>
      <c r="EB41" s="8"/>
      <c r="EC41" s="8"/>
      <c r="ED41" s="8"/>
      <c r="EE41" s="8"/>
      <c r="EF41" s="8"/>
      <c r="EG41" s="8"/>
      <c r="EH41" s="8"/>
      <c r="EI41" s="8"/>
      <c r="EJ41" s="8"/>
      <c r="EK41" s="8"/>
      <c r="EL41" s="8"/>
      <c r="EM41" s="8"/>
      <c r="EN41" s="8"/>
      <c r="EO41" s="8"/>
      <c r="EP41" s="8"/>
      <c r="EQ41" s="8"/>
      <c r="ER41" s="8"/>
      <c r="ES41" s="8"/>
      <c r="ET41" s="8"/>
      <c r="EU41" s="8"/>
      <c r="EV41" s="8"/>
      <c r="EW41" s="8"/>
      <c r="EX41" s="8"/>
      <c r="EY41" s="8"/>
      <c r="EZ41" s="8"/>
      <c r="FA41" s="8"/>
      <c r="FB41" s="8"/>
      <c r="FC41" s="8"/>
      <c r="FD41" s="8"/>
      <c r="FE41" s="8"/>
      <c r="FF41" s="8"/>
      <c r="FG41" s="8"/>
      <c r="FH41" s="8"/>
      <c r="FI41" s="8"/>
      <c r="FJ41" s="8"/>
      <c r="FK41" s="8"/>
      <c r="FL41" s="8"/>
      <c r="FM41" s="8"/>
      <c r="FN41" s="8"/>
      <c r="FO41" s="8"/>
      <c r="FP41" s="8"/>
      <c r="FQ41" s="8"/>
      <c r="FR41" s="8"/>
      <c r="FS41" s="8"/>
      <c r="FT41" s="8"/>
      <c r="FU41" s="8"/>
      <c r="FV41" s="8"/>
      <c r="FW41" s="8"/>
      <c r="FX41" s="8"/>
      <c r="FY41" s="8"/>
      <c r="FZ41" s="8"/>
      <c r="GA41" s="8"/>
      <c r="GB41" s="8"/>
      <c r="GC41" s="8"/>
      <c r="GD41" s="8"/>
      <c r="GE41" s="8"/>
      <c r="GF41" s="8"/>
      <c r="GG41" s="8"/>
      <c r="GH41" s="8"/>
      <c r="GI41" s="8"/>
      <c r="GJ41" s="8"/>
      <c r="GK41" s="8"/>
      <c r="GL41" s="8"/>
      <c r="GM41" s="8"/>
      <c r="GN41" s="8"/>
      <c r="GO41" s="8"/>
      <c r="GP41" s="8"/>
      <c r="GQ41" s="8"/>
      <c r="GR41" s="8"/>
      <c r="GS41" s="8"/>
      <c r="GT41" s="8"/>
      <c r="GU41" s="8"/>
      <c r="GV41" s="8"/>
      <c r="GW41" s="8"/>
      <c r="GX41" s="8"/>
      <c r="GY41" s="8"/>
      <c r="GZ41" s="8"/>
      <c r="HA41" s="8"/>
      <c r="HB41" s="8"/>
      <c r="HC41" s="8"/>
      <c r="HD41" s="8">
        <v>8250640.1799999997</v>
      </c>
      <c r="HE41" s="8"/>
      <c r="HF41" s="8"/>
      <c r="HG41" s="8"/>
      <c r="HH41" s="8"/>
      <c r="HI41" s="8"/>
      <c r="HJ41" s="8"/>
      <c r="HK41" s="8"/>
      <c r="HL41" s="8"/>
      <c r="HM41" s="8"/>
      <c r="HN41" s="8">
        <v>4238872.05</v>
      </c>
      <c r="HO41" s="8"/>
      <c r="HP41" s="8"/>
      <c r="HQ41" s="8"/>
      <c r="HR41" s="8">
        <v>6835573.0800000001</v>
      </c>
      <c r="HS41" s="8"/>
      <c r="HT41" s="8"/>
      <c r="HU41" s="8"/>
      <c r="HV41" s="8"/>
      <c r="HW41" s="8"/>
      <c r="HX41" s="8">
        <v>3870593.72</v>
      </c>
      <c r="HY41" s="8">
        <v>3287605.52</v>
      </c>
      <c r="HZ41" s="8"/>
      <c r="IA41" s="8"/>
      <c r="IB41" s="8"/>
      <c r="IC41" s="8"/>
      <c r="ID41" s="8"/>
      <c r="IE41" s="8"/>
      <c r="IF41" s="8"/>
      <c r="IG41" s="8"/>
      <c r="IH41" s="8">
        <v>8394309.1899999995</v>
      </c>
      <c r="II41" s="8"/>
      <c r="IJ41" s="8"/>
      <c r="IK41" s="8"/>
      <c r="IL41" s="8">
        <v>0.43</v>
      </c>
      <c r="IM41" s="8"/>
      <c r="IN41" s="8"/>
      <c r="IO41" s="8"/>
      <c r="IP41" s="8"/>
      <c r="IQ41" s="8">
        <v>0.99</v>
      </c>
      <c r="IR41" s="8"/>
      <c r="IS41" s="8"/>
      <c r="IT41" s="8"/>
      <c r="IU41" s="8"/>
      <c r="IV41" s="8"/>
      <c r="IW41" s="8"/>
      <c r="IX41" s="8"/>
      <c r="IY41" s="8"/>
      <c r="IZ41" s="8">
        <v>8245335.7599999998</v>
      </c>
      <c r="JA41" s="8">
        <v>4576583.07</v>
      </c>
      <c r="JB41" s="8"/>
      <c r="JC41" s="8"/>
      <c r="JD41" s="8"/>
      <c r="JE41" s="8">
        <v>2057636.41</v>
      </c>
      <c r="JF41" s="8">
        <v>2039235.84</v>
      </c>
      <c r="JG41" s="8"/>
      <c r="JH41" s="8"/>
      <c r="JI41" s="8"/>
      <c r="JJ41" s="8"/>
      <c r="JK41" s="8">
        <v>1350034.59</v>
      </c>
      <c r="JL41" s="8">
        <v>2464266.4500000002</v>
      </c>
      <c r="JM41" s="8"/>
      <c r="JN41" s="8"/>
      <c r="JO41" s="8"/>
      <c r="JP41" s="8"/>
      <c r="JQ41" s="8"/>
      <c r="JR41" s="8"/>
      <c r="JS41" s="8"/>
      <c r="JT41" s="8"/>
      <c r="JU41" s="8"/>
      <c r="JV41" s="8">
        <v>1622450.97</v>
      </c>
      <c r="JW41" s="8">
        <v>2158753.2000000002</v>
      </c>
      <c r="JX41" s="8"/>
      <c r="JY41" s="8">
        <v>19591.509999999998</v>
      </c>
      <c r="JZ41" s="8"/>
      <c r="KA41" s="8"/>
      <c r="KB41" s="8"/>
      <c r="KC41" s="8">
        <v>1682.87</v>
      </c>
      <c r="KD41" s="8"/>
      <c r="KE41" s="8"/>
      <c r="KF41" s="8"/>
      <c r="KG41" s="8">
        <v>3482227.64</v>
      </c>
      <c r="KH41" s="8">
        <v>8119111.8200000003</v>
      </c>
      <c r="KI41" s="8"/>
      <c r="KJ41" s="8"/>
      <c r="KK41" s="8">
        <v>981.19</v>
      </c>
      <c r="KL41" s="8"/>
      <c r="KM41" s="8"/>
      <c r="KN41" s="8"/>
      <c r="KO41" s="8">
        <v>756.07</v>
      </c>
      <c r="KP41" s="8"/>
      <c r="KQ41" s="8">
        <v>36153375.850000001</v>
      </c>
      <c r="KR41" s="8"/>
      <c r="KS41" s="8">
        <v>13487504.939999999</v>
      </c>
      <c r="KT41" s="8"/>
      <c r="KU41" s="8"/>
      <c r="KV41" s="8"/>
      <c r="KW41" s="8"/>
      <c r="KX41" s="8"/>
      <c r="KY41" s="8">
        <v>7079095.4199999999</v>
      </c>
      <c r="KZ41" s="8"/>
      <c r="LA41" s="8"/>
      <c r="LB41" s="8"/>
      <c r="LC41" s="8"/>
      <c r="LD41" s="8"/>
      <c r="LE41" s="8"/>
      <c r="LF41" s="8"/>
      <c r="LG41" s="8"/>
      <c r="LH41" s="8"/>
      <c r="LI41" s="8"/>
      <c r="LJ41" s="8"/>
      <c r="LK41" s="8"/>
      <c r="LL41" s="8"/>
      <c r="LM41" s="8">
        <v>12636641.439999999</v>
      </c>
      <c r="LN41" s="8"/>
      <c r="LO41" s="8"/>
      <c r="LP41" s="8"/>
      <c r="LQ41" s="8"/>
      <c r="LR41" s="8"/>
      <c r="LS41" s="8"/>
      <c r="LT41" s="8"/>
      <c r="LU41" s="8"/>
      <c r="LV41" s="8"/>
      <c r="LW41" s="8"/>
      <c r="LX41" s="8"/>
      <c r="LY41" s="8"/>
      <c r="LZ41" s="8"/>
      <c r="MA41" s="8">
        <v>14826864.939999999</v>
      </c>
      <c r="MB41" s="8"/>
      <c r="MC41" s="8">
        <v>8018000.0199999996</v>
      </c>
      <c r="MD41" s="8"/>
      <c r="ME41" s="8"/>
      <c r="MF41" s="8"/>
      <c r="MG41" s="8"/>
      <c r="MH41" s="8"/>
      <c r="MI41" s="8"/>
      <c r="MJ41" s="8"/>
      <c r="MK41" s="8">
        <v>11898245.6</v>
      </c>
      <c r="ML41" s="8"/>
      <c r="MM41" s="8"/>
      <c r="MN41" s="8"/>
      <c r="MO41" s="8"/>
      <c r="MP41" s="8"/>
      <c r="MQ41" s="8">
        <v>8710844.3800000008</v>
      </c>
      <c r="MR41" s="8"/>
      <c r="MS41" s="8">
        <v>5331602.3</v>
      </c>
      <c r="MT41" s="8"/>
      <c r="MU41" s="8"/>
      <c r="MV41" s="8"/>
      <c r="MW41" s="8"/>
      <c r="MX41" s="8"/>
      <c r="MY41" s="8">
        <v>3844115.3</v>
      </c>
      <c r="MZ41" s="8"/>
      <c r="NA41" s="8"/>
      <c r="NB41" s="8"/>
      <c r="NC41" s="8">
        <v>4866076.37</v>
      </c>
      <c r="ND41" s="8"/>
      <c r="NE41" s="8"/>
      <c r="NF41" s="8"/>
      <c r="NG41" s="8"/>
      <c r="NH41" s="8"/>
      <c r="NI41" s="8"/>
      <c r="NJ41" s="8"/>
      <c r="NK41" s="8"/>
      <c r="NL41" s="8"/>
      <c r="NM41" s="8"/>
      <c r="NN41" s="8">
        <v>23307223.199999999</v>
      </c>
      <c r="NO41" s="8"/>
      <c r="NP41" s="8"/>
      <c r="NQ41" s="8"/>
      <c r="NR41" s="8"/>
      <c r="NS41" s="8">
        <v>4202574.45</v>
      </c>
      <c r="NT41" s="8"/>
      <c r="NU41" s="8"/>
      <c r="NV41" s="8"/>
      <c r="NW41" s="8"/>
      <c r="NX41" s="8"/>
      <c r="NY41" s="8"/>
      <c r="NZ41" s="8"/>
      <c r="OA41" s="8"/>
      <c r="OB41" s="8"/>
      <c r="OC41" s="8"/>
      <c r="OD41" s="8"/>
      <c r="OE41" s="8"/>
      <c r="OF41" s="8"/>
      <c r="OG41" s="8"/>
      <c r="OH41" s="8"/>
      <c r="OI41" s="8"/>
      <c r="OJ41" s="8">
        <v>10005890.1</v>
      </c>
      <c r="OK41" s="8"/>
      <c r="OL41" s="8">
        <v>11312318.359999999</v>
      </c>
      <c r="OM41" s="8"/>
      <c r="ON41" s="8"/>
      <c r="OO41" s="8"/>
      <c r="OP41" s="8"/>
      <c r="OQ41" s="5">
        <v>309632781.32000005</v>
      </c>
    </row>
    <row r="42" spans="2:407" x14ac:dyDescent="0.2">
      <c r="B42" t="s">
        <v>90</v>
      </c>
      <c r="C42" t="s">
        <v>29</v>
      </c>
      <c r="D42" s="8"/>
      <c r="E42" s="8"/>
      <c r="F42" s="8"/>
      <c r="G42" s="8">
        <v>0.56999999999999995</v>
      </c>
      <c r="H42" s="8"/>
      <c r="I42" s="8"/>
      <c r="J42" s="8"/>
      <c r="K42" s="8">
        <v>3146077.02</v>
      </c>
      <c r="L42" s="8">
        <v>4890657.05</v>
      </c>
      <c r="M42" s="8"/>
      <c r="N42" s="8">
        <v>1623807.33</v>
      </c>
      <c r="O42" s="8"/>
      <c r="P42" s="8"/>
      <c r="Q42" s="8">
        <v>5541004.3700000001</v>
      </c>
      <c r="R42" s="8"/>
      <c r="S42" s="8">
        <v>5252723.95</v>
      </c>
      <c r="T42" s="8"/>
      <c r="U42" s="8">
        <v>2064430.31</v>
      </c>
      <c r="V42" s="8">
        <v>10488381.359999999</v>
      </c>
      <c r="W42" s="8"/>
      <c r="X42" s="8">
        <v>9122653.0500000007</v>
      </c>
      <c r="Y42" s="8"/>
      <c r="Z42" s="8"/>
      <c r="AA42" s="8"/>
      <c r="AB42" s="8"/>
      <c r="AC42" s="8"/>
      <c r="AD42" s="8"/>
      <c r="AE42" s="8"/>
      <c r="AF42" s="8"/>
      <c r="AG42" s="8">
        <v>1.08</v>
      </c>
      <c r="AH42" s="8"/>
      <c r="AI42" s="8"/>
      <c r="AJ42" s="8"/>
      <c r="AK42" s="8"/>
      <c r="AL42" s="8">
        <v>596.34</v>
      </c>
      <c r="AM42" s="8"/>
      <c r="AN42" s="8">
        <v>4730814.21</v>
      </c>
      <c r="AO42" s="8"/>
      <c r="AP42" s="8"/>
      <c r="AQ42" s="8">
        <v>889409.07</v>
      </c>
      <c r="AR42" s="8">
        <v>4368064.79</v>
      </c>
      <c r="AS42" s="8">
        <v>831017.45</v>
      </c>
      <c r="AT42" s="8">
        <v>2157261.83</v>
      </c>
      <c r="AU42" s="8"/>
      <c r="AV42" s="8">
        <v>1075083.98</v>
      </c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>
        <v>16605194.4</v>
      </c>
      <c r="BJ42" s="8"/>
      <c r="BK42" s="8"/>
      <c r="BL42" s="8">
        <v>22520492.739999998</v>
      </c>
      <c r="BM42" s="8"/>
      <c r="BN42" s="8"/>
      <c r="BO42" s="8"/>
      <c r="BP42" s="8"/>
      <c r="BQ42" s="8"/>
      <c r="BR42" s="8"/>
      <c r="BS42" s="8"/>
      <c r="BT42" s="8"/>
      <c r="BU42" s="8">
        <v>5695.28</v>
      </c>
      <c r="BV42" s="8">
        <v>13617850.140000001</v>
      </c>
      <c r="BW42" s="8"/>
      <c r="BX42" s="8"/>
      <c r="BY42" s="8"/>
      <c r="BZ42" s="8"/>
      <c r="CA42" s="8"/>
      <c r="CB42" s="8"/>
      <c r="CC42" s="8"/>
      <c r="CD42" s="8"/>
      <c r="CE42" s="8"/>
      <c r="CF42" s="8">
        <v>9721617.0199999996</v>
      </c>
      <c r="CG42" s="8"/>
      <c r="CH42" s="8"/>
      <c r="CI42" s="8"/>
      <c r="CJ42" s="8"/>
      <c r="CK42" s="8"/>
      <c r="CL42" s="8"/>
      <c r="CM42" s="8"/>
      <c r="CN42" s="8"/>
      <c r="CO42" s="8"/>
      <c r="CP42" s="8"/>
      <c r="CQ42" s="8"/>
      <c r="CR42" s="8"/>
      <c r="CS42" s="8"/>
      <c r="CT42" s="8"/>
      <c r="CU42" s="8"/>
      <c r="CV42" s="8"/>
      <c r="CW42" s="8"/>
      <c r="CX42" s="8"/>
      <c r="CY42" s="8"/>
      <c r="CZ42" s="8"/>
      <c r="DA42" s="8"/>
      <c r="DB42" s="8"/>
      <c r="DC42" s="8"/>
      <c r="DD42" s="8"/>
      <c r="DE42" s="8"/>
      <c r="DF42" s="8"/>
      <c r="DG42" s="8"/>
      <c r="DH42" s="8"/>
      <c r="DI42" s="8"/>
      <c r="DJ42" s="8"/>
      <c r="DK42" s="8"/>
      <c r="DL42" s="8"/>
      <c r="DM42" s="8">
        <v>0.91</v>
      </c>
      <c r="DN42" s="8"/>
      <c r="DO42" s="8"/>
      <c r="DP42" s="8"/>
      <c r="DQ42" s="8"/>
      <c r="DR42" s="8"/>
      <c r="DS42" s="8"/>
      <c r="DT42" s="8">
        <v>24949916.309999999</v>
      </c>
      <c r="DU42" s="8"/>
      <c r="DV42" s="8"/>
      <c r="DW42" s="8"/>
      <c r="DX42" s="8"/>
      <c r="DY42" s="8">
        <v>15542425.67</v>
      </c>
      <c r="DZ42" s="8"/>
      <c r="EA42" s="8"/>
      <c r="EB42" s="8"/>
      <c r="EC42" s="8"/>
      <c r="ED42" s="8"/>
      <c r="EE42" s="8"/>
      <c r="EF42" s="8"/>
      <c r="EG42" s="8"/>
      <c r="EH42" s="8"/>
      <c r="EI42" s="8"/>
      <c r="EJ42" s="8"/>
      <c r="EK42" s="8">
        <v>46261616.270000003</v>
      </c>
      <c r="EL42" s="8">
        <v>36752873.670000002</v>
      </c>
      <c r="EM42" s="8"/>
      <c r="EN42" s="8"/>
      <c r="EO42" s="8"/>
      <c r="EP42" s="8"/>
      <c r="EQ42" s="8"/>
      <c r="ER42" s="8">
        <v>1748.24</v>
      </c>
      <c r="ES42" s="8"/>
      <c r="ET42" s="8"/>
      <c r="EU42" s="8"/>
      <c r="EV42" s="8"/>
      <c r="EW42" s="8"/>
      <c r="EX42" s="8"/>
      <c r="EY42" s="8"/>
      <c r="EZ42" s="8"/>
      <c r="FA42" s="8"/>
      <c r="FB42" s="8"/>
      <c r="FC42" s="8"/>
      <c r="FD42" s="8">
        <v>30635641.010000002</v>
      </c>
      <c r="FE42" s="8"/>
      <c r="FF42" s="8"/>
      <c r="FG42" s="8"/>
      <c r="FH42" s="8"/>
      <c r="FI42" s="8"/>
      <c r="FJ42" s="8"/>
      <c r="FK42" s="8"/>
      <c r="FL42" s="8"/>
      <c r="FM42" s="8"/>
      <c r="FN42" s="8"/>
      <c r="FO42" s="8"/>
      <c r="FP42" s="8"/>
      <c r="FQ42" s="8"/>
      <c r="FR42" s="8"/>
      <c r="FS42" s="8"/>
      <c r="FT42" s="8"/>
      <c r="FU42" s="8"/>
      <c r="FV42" s="8"/>
      <c r="FW42" s="8"/>
      <c r="FX42" s="8"/>
      <c r="FY42" s="8"/>
      <c r="FZ42" s="8"/>
      <c r="GA42" s="8">
        <v>14499435.300000001</v>
      </c>
      <c r="GB42" s="8"/>
      <c r="GC42" s="8"/>
      <c r="GD42" s="8"/>
      <c r="GE42" s="8"/>
      <c r="GF42" s="8"/>
      <c r="GG42" s="8"/>
      <c r="GH42" s="8">
        <v>35949376.350000001</v>
      </c>
      <c r="GI42" s="8"/>
      <c r="GJ42" s="8"/>
      <c r="GK42" s="8"/>
      <c r="GL42" s="8">
        <v>47249258.450000003</v>
      </c>
      <c r="GM42" s="8"/>
      <c r="GN42" s="8"/>
      <c r="GO42" s="8"/>
      <c r="GP42" s="8"/>
      <c r="GQ42" s="8"/>
      <c r="GR42" s="8"/>
      <c r="GS42" s="8"/>
      <c r="GT42" s="8"/>
      <c r="GU42" s="8"/>
      <c r="GV42" s="8"/>
      <c r="GW42" s="8"/>
      <c r="GX42" s="8"/>
      <c r="GY42" s="8"/>
      <c r="GZ42" s="8"/>
      <c r="HA42" s="8"/>
      <c r="HB42" s="8"/>
      <c r="HC42" s="8"/>
      <c r="HD42" s="8">
        <v>8633681.8499999996</v>
      </c>
      <c r="HE42" s="8"/>
      <c r="HF42" s="8"/>
      <c r="HG42" s="8"/>
      <c r="HH42" s="8">
        <v>8241762.9900000002</v>
      </c>
      <c r="HI42" s="8">
        <v>15826409.32</v>
      </c>
      <c r="HJ42" s="8">
        <v>13981366.6</v>
      </c>
      <c r="HK42" s="8"/>
      <c r="HL42" s="8"/>
      <c r="HM42" s="8"/>
      <c r="HN42" s="8"/>
      <c r="HO42" s="8"/>
      <c r="HP42" s="8">
        <v>17847351.699999999</v>
      </c>
      <c r="HQ42" s="8"/>
      <c r="HR42" s="8"/>
      <c r="HS42" s="8"/>
      <c r="HT42" s="8"/>
      <c r="HU42" s="8"/>
      <c r="HV42" s="8">
        <v>1180.8900000000001</v>
      </c>
      <c r="HW42" s="8"/>
      <c r="HX42" s="8"/>
      <c r="HY42" s="8"/>
      <c r="HZ42" s="8"/>
      <c r="IA42" s="8"/>
      <c r="IB42" s="8">
        <v>4939391.2</v>
      </c>
      <c r="IC42" s="8"/>
      <c r="ID42" s="8"/>
      <c r="IE42" s="8"/>
      <c r="IF42" s="8"/>
      <c r="IG42" s="8"/>
      <c r="IH42" s="8"/>
      <c r="II42" s="8"/>
      <c r="IJ42" s="8"/>
      <c r="IK42" s="8">
        <v>12858631.220000001</v>
      </c>
      <c r="IL42" s="8">
        <v>10712889.4</v>
      </c>
      <c r="IM42" s="8"/>
      <c r="IN42" s="8"/>
      <c r="IO42" s="8"/>
      <c r="IP42" s="8"/>
      <c r="IQ42" s="8"/>
      <c r="IR42" s="8">
        <v>6707623.3899999997</v>
      </c>
      <c r="IS42" s="8"/>
      <c r="IT42" s="8"/>
      <c r="IU42" s="8"/>
      <c r="IV42" s="8">
        <v>16742172.310000001</v>
      </c>
      <c r="IW42" s="8"/>
      <c r="IX42" s="8"/>
      <c r="IY42" s="8"/>
      <c r="IZ42" s="8"/>
      <c r="JA42" s="8"/>
      <c r="JB42" s="8"/>
      <c r="JC42" s="8"/>
      <c r="JD42" s="8"/>
      <c r="JE42" s="8"/>
      <c r="JF42" s="8"/>
      <c r="JG42" s="8"/>
      <c r="JH42" s="8">
        <v>12036051.9</v>
      </c>
      <c r="JI42" s="8"/>
      <c r="JJ42" s="8"/>
      <c r="JK42" s="8"/>
      <c r="JL42" s="8">
        <v>8653896.75</v>
      </c>
      <c r="JM42" s="8"/>
      <c r="JN42" s="8">
        <v>1165.05</v>
      </c>
      <c r="JO42" s="8"/>
      <c r="JP42" s="8"/>
      <c r="JQ42" s="8"/>
      <c r="JR42" s="8"/>
      <c r="JS42" s="8"/>
      <c r="JT42" s="8">
        <v>6216405.6900000004</v>
      </c>
      <c r="JU42" s="8">
        <v>8966152.9100000001</v>
      </c>
      <c r="JV42" s="8"/>
      <c r="JW42" s="8"/>
      <c r="JX42" s="8"/>
      <c r="JY42" s="8"/>
      <c r="JZ42" s="8"/>
      <c r="KA42" s="8"/>
      <c r="KB42" s="8"/>
      <c r="KC42" s="8"/>
      <c r="KD42" s="8"/>
      <c r="KE42" s="8"/>
      <c r="KF42" s="8"/>
      <c r="KG42" s="8"/>
      <c r="KH42" s="8"/>
      <c r="KI42" s="8"/>
      <c r="KJ42" s="8"/>
      <c r="KK42" s="8"/>
      <c r="KL42" s="8"/>
      <c r="KM42" s="8"/>
      <c r="KN42" s="8"/>
      <c r="KO42" s="8">
        <v>1093.05</v>
      </c>
      <c r="KP42" s="8"/>
      <c r="KQ42" s="8"/>
      <c r="KR42" s="8">
        <v>52659252.079999998</v>
      </c>
      <c r="KS42" s="8"/>
      <c r="KT42" s="8"/>
      <c r="KU42" s="8"/>
      <c r="KV42" s="8"/>
      <c r="KW42" s="8"/>
      <c r="KX42" s="8"/>
      <c r="KY42" s="8"/>
      <c r="KZ42" s="8"/>
      <c r="LA42" s="8"/>
      <c r="LB42" s="8"/>
      <c r="LC42" s="8"/>
      <c r="LD42" s="8">
        <v>61806204.600000001</v>
      </c>
      <c r="LE42" s="8"/>
      <c r="LF42" s="8"/>
      <c r="LG42" s="8"/>
      <c r="LH42" s="8"/>
      <c r="LI42" s="8"/>
      <c r="LJ42" s="8"/>
      <c r="LK42" s="8"/>
      <c r="LL42" s="8">
        <v>16957259.66</v>
      </c>
      <c r="LM42" s="8"/>
      <c r="LN42" s="8"/>
      <c r="LO42" s="8">
        <v>46560908.93</v>
      </c>
      <c r="LP42" s="8"/>
      <c r="LQ42" s="8"/>
      <c r="LR42" s="8"/>
      <c r="LS42" s="8"/>
      <c r="LT42" s="8">
        <v>24567399.600000001</v>
      </c>
      <c r="LU42" s="8"/>
      <c r="LV42" s="8"/>
      <c r="LW42" s="8"/>
      <c r="LX42" s="8"/>
      <c r="LY42" s="8"/>
      <c r="LZ42" s="8"/>
      <c r="MA42" s="8"/>
      <c r="MB42" s="8">
        <v>22860579.109999999</v>
      </c>
      <c r="MC42" s="8">
        <v>24414224.420000002</v>
      </c>
      <c r="MD42" s="8">
        <v>261.77</v>
      </c>
      <c r="ME42" s="8"/>
      <c r="MF42" s="8"/>
      <c r="MG42" s="8"/>
      <c r="MH42" s="8"/>
      <c r="MI42" s="8"/>
      <c r="MJ42" s="8"/>
      <c r="MK42" s="8">
        <v>9331.4</v>
      </c>
      <c r="ML42" s="8"/>
      <c r="MM42" s="8"/>
      <c r="MN42" s="8"/>
      <c r="MO42" s="8"/>
      <c r="MP42" s="8"/>
      <c r="MQ42" s="8"/>
      <c r="MR42" s="8"/>
      <c r="MS42" s="8"/>
      <c r="MT42" s="8"/>
      <c r="MU42" s="8"/>
      <c r="MV42" s="8"/>
      <c r="MW42" s="8"/>
      <c r="MX42" s="8">
        <v>19573101.710000001</v>
      </c>
      <c r="MY42" s="8"/>
      <c r="MZ42" s="8">
        <v>47826164.350000001</v>
      </c>
      <c r="NA42" s="8"/>
      <c r="NB42" s="8"/>
      <c r="NC42" s="8"/>
      <c r="ND42" s="8"/>
      <c r="NE42" s="8"/>
      <c r="NF42" s="8"/>
      <c r="NG42" s="8"/>
      <c r="NH42" s="8"/>
      <c r="NI42" s="8"/>
      <c r="NJ42" s="8"/>
      <c r="NK42" s="8"/>
      <c r="NL42" s="8"/>
      <c r="NM42" s="8">
        <v>56895442.240000002</v>
      </c>
      <c r="NN42" s="8"/>
      <c r="NO42" s="8"/>
      <c r="NP42" s="8"/>
      <c r="NQ42" s="8"/>
      <c r="NR42" s="8"/>
      <c r="NS42" s="8"/>
      <c r="NT42" s="8"/>
      <c r="NU42" s="8">
        <v>14418390.699999999</v>
      </c>
      <c r="NV42" s="8"/>
      <c r="NW42" s="8">
        <v>14742659.52</v>
      </c>
      <c r="NX42" s="8">
        <v>7740452.2300000004</v>
      </c>
      <c r="NY42" s="8"/>
      <c r="NZ42" s="8"/>
      <c r="OA42" s="8"/>
      <c r="OB42" s="8"/>
      <c r="OC42" s="8">
        <v>28182381.760000002</v>
      </c>
      <c r="OD42" s="8"/>
      <c r="OE42" s="8"/>
      <c r="OF42" s="8"/>
      <c r="OG42" s="8"/>
      <c r="OH42" s="8"/>
      <c r="OI42" s="8"/>
      <c r="OJ42" s="8"/>
      <c r="OK42" s="8">
        <v>16998677.359999999</v>
      </c>
      <c r="OL42" s="8"/>
      <c r="OM42" s="8">
        <v>12063794.890000001</v>
      </c>
      <c r="ON42" s="8"/>
      <c r="OO42" s="8"/>
      <c r="OP42" s="8"/>
      <c r="OQ42" s="5">
        <v>991138838.07000005</v>
      </c>
    </row>
    <row r="43" spans="2:407" x14ac:dyDescent="0.2">
      <c r="B43" t="s">
        <v>91</v>
      </c>
      <c r="C43" t="s">
        <v>30</v>
      </c>
      <c r="D43" s="8"/>
      <c r="E43" s="8"/>
      <c r="F43" s="8"/>
      <c r="G43" s="8"/>
      <c r="H43" s="8">
        <v>103788557.56</v>
      </c>
      <c r="I43" s="8"/>
      <c r="J43" s="8">
        <v>6046.56</v>
      </c>
      <c r="K43" s="8"/>
      <c r="L43" s="8"/>
      <c r="M43" s="8"/>
      <c r="N43" s="8"/>
      <c r="O43" s="8">
        <v>10932.29</v>
      </c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/>
      <c r="AH43" s="8"/>
      <c r="AI43" s="8"/>
      <c r="AJ43" s="8"/>
      <c r="AK43" s="8"/>
      <c r="AL43" s="8">
        <v>9186488.5099999998</v>
      </c>
      <c r="AM43" s="8">
        <v>2386625.14</v>
      </c>
      <c r="AN43" s="8">
        <v>4314334.2</v>
      </c>
      <c r="AO43" s="8"/>
      <c r="AP43" s="8"/>
      <c r="AQ43" s="8"/>
      <c r="AR43" s="8"/>
      <c r="AS43" s="8"/>
      <c r="AT43" s="8"/>
      <c r="AU43" s="8">
        <v>11786592.4</v>
      </c>
      <c r="AV43" s="8">
        <v>14164989.58</v>
      </c>
      <c r="AW43" s="8">
        <v>10326043.640000001</v>
      </c>
      <c r="AX43" s="8">
        <v>9726001.5</v>
      </c>
      <c r="AY43" s="8"/>
      <c r="AZ43" s="8"/>
      <c r="BA43" s="8"/>
      <c r="BB43" s="8"/>
      <c r="BC43" s="8"/>
      <c r="BD43" s="8">
        <v>103221027.3</v>
      </c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>
        <v>54018679.600000001</v>
      </c>
      <c r="BQ43" s="8"/>
      <c r="BR43" s="8">
        <v>54302375.579999998</v>
      </c>
      <c r="BS43" s="8"/>
      <c r="BT43" s="8"/>
      <c r="BU43" s="8"/>
      <c r="BV43" s="8"/>
      <c r="BW43" s="8"/>
      <c r="BX43" s="8">
        <v>58205148.619999997</v>
      </c>
      <c r="BY43" s="8"/>
      <c r="BZ43" s="8"/>
      <c r="CA43" s="8"/>
      <c r="CB43" s="8"/>
      <c r="CC43" s="8"/>
      <c r="CD43" s="8"/>
      <c r="CE43" s="8"/>
      <c r="CF43" s="8">
        <v>36215409.170000002</v>
      </c>
      <c r="CG43" s="8"/>
      <c r="CH43" s="8"/>
      <c r="CI43" s="8"/>
      <c r="CJ43" s="8"/>
      <c r="CK43" s="8"/>
      <c r="CL43" s="8"/>
      <c r="CM43" s="8"/>
      <c r="CN43" s="8"/>
      <c r="CO43" s="8"/>
      <c r="CP43" s="8"/>
      <c r="CQ43" s="8"/>
      <c r="CR43" s="8"/>
      <c r="CS43" s="8"/>
      <c r="CT43" s="8"/>
      <c r="CU43" s="8">
        <v>67699501.120000005</v>
      </c>
      <c r="CV43" s="8"/>
      <c r="CW43" s="8"/>
      <c r="CX43" s="8"/>
      <c r="CY43" s="8"/>
      <c r="CZ43" s="8">
        <v>6096.59</v>
      </c>
      <c r="DA43" s="8"/>
      <c r="DB43" s="8"/>
      <c r="DC43" s="8"/>
      <c r="DD43" s="8"/>
      <c r="DE43" s="8">
        <v>60741452.079999998</v>
      </c>
      <c r="DF43" s="8">
        <v>147260104.49000001</v>
      </c>
      <c r="DG43" s="8"/>
      <c r="DH43" s="8"/>
      <c r="DI43" s="8"/>
      <c r="DJ43" s="8"/>
      <c r="DK43" s="8"/>
      <c r="DL43" s="8"/>
      <c r="DM43" s="8"/>
      <c r="DN43" s="8"/>
      <c r="DO43" s="8"/>
      <c r="DP43" s="8">
        <v>69361051.390000001</v>
      </c>
      <c r="DQ43" s="8">
        <v>60909810.170000002</v>
      </c>
      <c r="DR43" s="8"/>
      <c r="DS43" s="8">
        <v>806.58</v>
      </c>
      <c r="DT43" s="8"/>
      <c r="DU43" s="8"/>
      <c r="DV43" s="8"/>
      <c r="DW43" s="8"/>
      <c r="DX43" s="8"/>
      <c r="DY43" s="8"/>
      <c r="DZ43" s="8"/>
      <c r="EA43" s="8"/>
      <c r="EB43" s="8">
        <v>63337355.350000001</v>
      </c>
      <c r="EC43" s="8"/>
      <c r="ED43" s="8"/>
      <c r="EE43" s="8"/>
      <c r="EF43" s="8"/>
      <c r="EG43" s="8"/>
      <c r="EH43" s="8"/>
      <c r="EI43" s="8"/>
      <c r="EJ43" s="8"/>
      <c r="EK43" s="8"/>
      <c r="EL43" s="8"/>
      <c r="EM43" s="8">
        <v>151854478.11000001</v>
      </c>
      <c r="EN43" s="8"/>
      <c r="EO43" s="8"/>
      <c r="EP43" s="8"/>
      <c r="EQ43" s="8"/>
      <c r="ER43" s="8"/>
      <c r="ES43" s="8"/>
      <c r="ET43" s="8"/>
      <c r="EU43" s="8"/>
      <c r="EV43" s="8"/>
      <c r="EW43" s="8"/>
      <c r="EX43" s="8"/>
      <c r="EY43" s="8">
        <v>156636375.56</v>
      </c>
      <c r="EZ43" s="8"/>
      <c r="FA43" s="8"/>
      <c r="FB43" s="8">
        <v>272.64</v>
      </c>
      <c r="FC43" s="8"/>
      <c r="FD43" s="8"/>
      <c r="FE43" s="8"/>
      <c r="FF43" s="8"/>
      <c r="FG43" s="8"/>
      <c r="FH43" s="8"/>
      <c r="FI43" s="8"/>
      <c r="FJ43" s="8"/>
      <c r="FK43" s="8"/>
      <c r="FL43" s="8"/>
      <c r="FM43" s="8"/>
      <c r="FN43" s="8"/>
      <c r="FO43" s="8">
        <v>237813371.25999999</v>
      </c>
      <c r="FP43" s="8"/>
      <c r="FQ43" s="8"/>
      <c r="FR43" s="8"/>
      <c r="FS43" s="8"/>
      <c r="FT43" s="8">
        <v>124686703.73999999</v>
      </c>
      <c r="FU43" s="8"/>
      <c r="FV43" s="8"/>
      <c r="FW43" s="8"/>
      <c r="FX43" s="8"/>
      <c r="FY43" s="8"/>
      <c r="FZ43" s="8"/>
      <c r="GA43" s="8"/>
      <c r="GB43" s="8">
        <v>92367006.629999995</v>
      </c>
      <c r="GC43" s="8"/>
      <c r="GD43" s="8"/>
      <c r="GE43" s="8"/>
      <c r="GF43" s="8">
        <v>51586595.82</v>
      </c>
      <c r="GG43" s="8"/>
      <c r="GH43" s="8">
        <v>55643115.43</v>
      </c>
      <c r="GI43" s="8"/>
      <c r="GJ43" s="8">
        <v>54884523.130000003</v>
      </c>
      <c r="GK43" s="8"/>
      <c r="GL43" s="8"/>
      <c r="GM43" s="8"/>
      <c r="GN43" s="8"/>
      <c r="GO43" s="8"/>
      <c r="GP43" s="8"/>
      <c r="GQ43" s="8">
        <v>27821631.940000001</v>
      </c>
      <c r="GR43" s="8"/>
      <c r="GS43" s="8"/>
      <c r="GT43" s="8"/>
      <c r="GU43" s="8"/>
      <c r="GV43" s="8"/>
      <c r="GW43" s="8"/>
      <c r="GX43" s="8">
        <v>39194861.280000001</v>
      </c>
      <c r="GY43" s="8"/>
      <c r="GZ43" s="8"/>
      <c r="HA43" s="8"/>
      <c r="HB43" s="8"/>
      <c r="HC43" s="8"/>
      <c r="HD43" s="8"/>
      <c r="HE43" s="8"/>
      <c r="HF43" s="8"/>
      <c r="HG43" s="8"/>
      <c r="HH43" s="8"/>
      <c r="HI43" s="8"/>
      <c r="HJ43" s="8"/>
      <c r="HK43" s="8"/>
      <c r="HL43" s="8"/>
      <c r="HM43" s="8"/>
      <c r="HN43" s="8"/>
      <c r="HO43" s="8"/>
      <c r="HP43" s="8"/>
      <c r="HQ43" s="8"/>
      <c r="HR43" s="8"/>
      <c r="HS43" s="8"/>
      <c r="HT43" s="8"/>
      <c r="HU43" s="8"/>
      <c r="HV43" s="8"/>
      <c r="HW43" s="8"/>
      <c r="HX43" s="8"/>
      <c r="HY43" s="8"/>
      <c r="HZ43" s="8"/>
      <c r="IA43" s="8"/>
      <c r="IB43" s="8"/>
      <c r="IC43" s="8"/>
      <c r="ID43" s="8"/>
      <c r="IE43" s="8"/>
      <c r="IF43" s="8"/>
      <c r="IG43" s="8">
        <v>42172518.630000003</v>
      </c>
      <c r="IH43" s="8">
        <v>12011256.43</v>
      </c>
      <c r="II43" s="8"/>
      <c r="IJ43" s="8"/>
      <c r="IK43" s="8">
        <v>27547016.02</v>
      </c>
      <c r="IL43" s="8">
        <v>27316243.68</v>
      </c>
      <c r="IM43" s="8"/>
      <c r="IN43" s="8"/>
      <c r="IO43" s="8">
        <v>53118031.549999997</v>
      </c>
      <c r="IP43" s="8"/>
      <c r="IQ43" s="8"/>
      <c r="IR43" s="8">
        <v>14088207.800000001</v>
      </c>
      <c r="IS43" s="8"/>
      <c r="IT43" s="8"/>
      <c r="IU43" s="8"/>
      <c r="IV43" s="8">
        <v>22605295.550000001</v>
      </c>
      <c r="IW43" s="8"/>
      <c r="IX43" s="8"/>
      <c r="IY43" s="8"/>
      <c r="IZ43" s="8"/>
      <c r="JA43" s="8"/>
      <c r="JB43" s="8"/>
      <c r="JC43" s="8"/>
      <c r="JD43" s="8"/>
      <c r="JE43" s="8"/>
      <c r="JF43" s="8"/>
      <c r="JG43" s="8"/>
      <c r="JH43" s="8"/>
      <c r="JI43" s="8"/>
      <c r="JJ43" s="8"/>
      <c r="JK43" s="8"/>
      <c r="JL43" s="8">
        <v>62278071.990000002</v>
      </c>
      <c r="JM43" s="8"/>
      <c r="JN43" s="8"/>
      <c r="JO43" s="8"/>
      <c r="JP43" s="8">
        <v>45670266.640000001</v>
      </c>
      <c r="JQ43" s="8">
        <v>86559054.709999993</v>
      </c>
      <c r="JR43" s="8"/>
      <c r="JS43" s="8"/>
      <c r="JT43" s="8"/>
      <c r="JU43" s="8"/>
      <c r="JV43" s="8"/>
      <c r="JW43" s="8"/>
      <c r="JX43" s="8">
        <v>792.8</v>
      </c>
      <c r="JY43" s="8">
        <v>13610919.41</v>
      </c>
      <c r="JZ43" s="8">
        <v>11971268.710000001</v>
      </c>
      <c r="KA43" s="8"/>
      <c r="KB43" s="8">
        <v>32886891.530000001</v>
      </c>
      <c r="KC43" s="8"/>
      <c r="KD43" s="8">
        <v>22603441.57</v>
      </c>
      <c r="KE43" s="8">
        <v>14241020.800000001</v>
      </c>
      <c r="KF43" s="8">
        <v>12113174.439999999</v>
      </c>
      <c r="KG43" s="8">
        <v>11697469.390000001</v>
      </c>
      <c r="KH43" s="8"/>
      <c r="KI43" s="8"/>
      <c r="KJ43" s="8">
        <v>17692696.010000002</v>
      </c>
      <c r="KK43" s="8"/>
      <c r="KL43" s="8"/>
      <c r="KM43" s="8"/>
      <c r="KN43" s="8"/>
      <c r="KO43" s="8"/>
      <c r="KP43" s="8"/>
      <c r="KQ43" s="8"/>
      <c r="KR43" s="8"/>
      <c r="KS43" s="8"/>
      <c r="KT43" s="8"/>
      <c r="KU43" s="8"/>
      <c r="KV43" s="8"/>
      <c r="KW43" s="8"/>
      <c r="KX43" s="8"/>
      <c r="KY43" s="8"/>
      <c r="KZ43" s="8"/>
      <c r="LA43" s="8"/>
      <c r="LB43" s="8"/>
      <c r="LC43" s="8"/>
      <c r="LD43" s="8"/>
      <c r="LE43" s="8"/>
      <c r="LF43" s="8"/>
      <c r="LG43" s="8"/>
      <c r="LH43" s="8"/>
      <c r="LI43" s="8"/>
      <c r="LJ43" s="8"/>
      <c r="LK43" s="8"/>
      <c r="LL43" s="8"/>
      <c r="LM43" s="8"/>
      <c r="LN43" s="8"/>
      <c r="LO43" s="8"/>
      <c r="LP43" s="8"/>
      <c r="LQ43" s="8"/>
      <c r="LR43" s="8"/>
      <c r="LS43" s="8"/>
      <c r="LT43" s="8"/>
      <c r="LU43" s="8"/>
      <c r="LV43" s="8"/>
      <c r="LW43" s="8"/>
      <c r="LX43" s="8"/>
      <c r="LY43" s="8"/>
      <c r="LZ43" s="8"/>
      <c r="MA43" s="8"/>
      <c r="MB43" s="8"/>
      <c r="MC43" s="8"/>
      <c r="MD43" s="8"/>
      <c r="ME43" s="8"/>
      <c r="MF43" s="8"/>
      <c r="MG43" s="8">
        <v>348191630.41000003</v>
      </c>
      <c r="MH43" s="8"/>
      <c r="MI43" s="8"/>
      <c r="MJ43" s="8"/>
      <c r="MK43" s="8">
        <v>123210731.16</v>
      </c>
      <c r="ML43" s="8"/>
      <c r="MM43" s="8"/>
      <c r="MN43" s="8"/>
      <c r="MO43" s="8"/>
      <c r="MP43" s="8"/>
      <c r="MQ43" s="8"/>
      <c r="MR43" s="8"/>
      <c r="MS43" s="8"/>
      <c r="MT43" s="8"/>
      <c r="MU43" s="8"/>
      <c r="MV43" s="8">
        <v>101890093.94</v>
      </c>
      <c r="MW43" s="8">
        <v>224294832.65000001</v>
      </c>
      <c r="MX43" s="8"/>
      <c r="MY43" s="8"/>
      <c r="MZ43" s="8"/>
      <c r="NA43" s="8"/>
      <c r="NB43" s="8"/>
      <c r="NC43" s="8">
        <v>316.31</v>
      </c>
      <c r="ND43" s="8"/>
      <c r="NE43" s="8"/>
      <c r="NF43" s="8"/>
      <c r="NG43" s="8"/>
      <c r="NH43" s="8"/>
      <c r="NI43" s="8"/>
      <c r="NJ43" s="8"/>
      <c r="NK43" s="8"/>
      <c r="NL43" s="8"/>
      <c r="NM43" s="8"/>
      <c r="NN43" s="8"/>
      <c r="NO43" s="8"/>
      <c r="NP43" s="8"/>
      <c r="NQ43" s="8"/>
      <c r="NR43" s="8"/>
      <c r="NS43" s="8"/>
      <c r="NT43" s="8"/>
      <c r="NU43" s="8"/>
      <c r="NV43" s="8"/>
      <c r="NW43" s="8"/>
      <c r="NX43" s="8"/>
      <c r="NY43" s="8"/>
      <c r="NZ43" s="8"/>
      <c r="OA43" s="8"/>
      <c r="OB43" s="8"/>
      <c r="OC43" s="8"/>
      <c r="OD43" s="8"/>
      <c r="OE43" s="8"/>
      <c r="OF43" s="8"/>
      <c r="OG43" s="8">
        <v>229314785.52000001</v>
      </c>
      <c r="OH43" s="8"/>
      <c r="OI43" s="8"/>
      <c r="OJ43" s="8"/>
      <c r="OK43" s="8"/>
      <c r="OL43" s="8"/>
      <c r="OM43" s="8"/>
      <c r="ON43" s="8"/>
      <c r="OO43" s="8">
        <v>217600535.5</v>
      </c>
      <c r="OP43" s="8"/>
      <c r="OQ43" s="5">
        <v>3708150928.1100006</v>
      </c>
    </row>
    <row r="44" spans="2:407" x14ac:dyDescent="0.2">
      <c r="B44" t="s">
        <v>92</v>
      </c>
      <c r="C44" t="s">
        <v>31</v>
      </c>
      <c r="D44" s="8"/>
      <c r="E44" s="8"/>
      <c r="F44" s="8"/>
      <c r="G44" s="8">
        <v>5741008.0599999996</v>
      </c>
      <c r="H44" s="8"/>
      <c r="I44" s="8"/>
      <c r="J44" s="8"/>
      <c r="K44" s="8">
        <v>4080.72</v>
      </c>
      <c r="L44" s="8">
        <v>7676971.21</v>
      </c>
      <c r="M44" s="8"/>
      <c r="N44" s="8">
        <v>3681631.83</v>
      </c>
      <c r="O44" s="8"/>
      <c r="P44" s="8">
        <v>6121669.6500000004</v>
      </c>
      <c r="Q44" s="8">
        <v>4002979.15</v>
      </c>
      <c r="R44" s="8"/>
      <c r="S44" s="8">
        <v>9100958.0299999993</v>
      </c>
      <c r="T44" s="8"/>
      <c r="U44" s="8"/>
      <c r="V44" s="8">
        <v>3174834.86</v>
      </c>
      <c r="W44" s="8">
        <v>6689146.0899999999</v>
      </c>
      <c r="X44" s="8"/>
      <c r="Y44" s="8">
        <v>0.91</v>
      </c>
      <c r="Z44" s="8"/>
      <c r="AA44" s="8">
        <v>1690309.12</v>
      </c>
      <c r="AB44" s="8"/>
      <c r="AC44" s="8"/>
      <c r="AD44" s="8">
        <v>3151036.9</v>
      </c>
      <c r="AE44" s="8">
        <v>5143446.87</v>
      </c>
      <c r="AF44" s="8"/>
      <c r="AG44" s="8">
        <v>8454547.3300000001</v>
      </c>
      <c r="AH44" s="8"/>
      <c r="AI44" s="8"/>
      <c r="AJ44" s="8"/>
      <c r="AK44" s="8">
        <v>3818324.22</v>
      </c>
      <c r="AL44" s="8"/>
      <c r="AM44" s="8"/>
      <c r="AN44" s="8"/>
      <c r="AO44" s="8">
        <v>3112789.5</v>
      </c>
      <c r="AP44" s="8">
        <v>4193318.09</v>
      </c>
      <c r="AQ44" s="8">
        <v>735490.32</v>
      </c>
      <c r="AR44" s="8">
        <v>678230.35</v>
      </c>
      <c r="AS44" s="8"/>
      <c r="AT44" s="8">
        <v>1572747.88</v>
      </c>
      <c r="AU44" s="8"/>
      <c r="AV44" s="8">
        <v>5053227.0199999996</v>
      </c>
      <c r="AW44" s="8"/>
      <c r="AX44" s="8"/>
      <c r="AY44" s="8">
        <v>1649547.96</v>
      </c>
      <c r="AZ44" s="8"/>
      <c r="BA44" s="8">
        <v>9671405.6699999999</v>
      </c>
      <c r="BB44" s="8"/>
      <c r="BC44" s="8">
        <v>164.51</v>
      </c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>
        <v>5468679.6200000001</v>
      </c>
      <c r="BV44" s="8"/>
      <c r="BW44" s="8"/>
      <c r="BX44" s="8"/>
      <c r="BY44" s="8">
        <v>40694281.729999997</v>
      </c>
      <c r="BZ44" s="8">
        <v>36413303.920000002</v>
      </c>
      <c r="CA44" s="8"/>
      <c r="CB44" s="8"/>
      <c r="CC44" s="8"/>
      <c r="CD44" s="8"/>
      <c r="CE44" s="8"/>
      <c r="CF44" s="8"/>
      <c r="CG44" s="8">
        <v>9290077.5199999996</v>
      </c>
      <c r="CH44" s="8"/>
      <c r="CI44" s="8">
        <v>43145300.640000001</v>
      </c>
      <c r="CJ44" s="8"/>
      <c r="CK44" s="8"/>
      <c r="CL44" s="8"/>
      <c r="CM44" s="8">
        <v>25371988.120000001</v>
      </c>
      <c r="CN44" s="8"/>
      <c r="CO44" s="8"/>
      <c r="CP44" s="8"/>
      <c r="CQ44" s="8"/>
      <c r="CR44" s="8"/>
      <c r="CS44" s="8">
        <v>23381086.57</v>
      </c>
      <c r="CT44" s="8"/>
      <c r="CU44" s="8"/>
      <c r="CV44" s="8"/>
      <c r="CW44" s="8"/>
      <c r="CX44" s="8"/>
      <c r="CY44" s="8"/>
      <c r="CZ44" s="8"/>
      <c r="DA44" s="8"/>
      <c r="DB44" s="8"/>
      <c r="DC44" s="8"/>
      <c r="DD44" s="8"/>
      <c r="DE44" s="8"/>
      <c r="DF44" s="8"/>
      <c r="DG44" s="8"/>
      <c r="DH44" s="8"/>
      <c r="DI44" s="8"/>
      <c r="DJ44" s="8"/>
      <c r="DK44" s="8">
        <v>7740972.7599999998</v>
      </c>
      <c r="DL44" s="8">
        <v>11727497.25</v>
      </c>
      <c r="DM44" s="8">
        <v>13761295.960000001</v>
      </c>
      <c r="DN44" s="8"/>
      <c r="DO44" s="8">
        <v>6139372.3399999999</v>
      </c>
      <c r="DP44" s="8"/>
      <c r="DQ44" s="8"/>
      <c r="DR44" s="8">
        <v>5960970.6699999999</v>
      </c>
      <c r="DS44" s="8"/>
      <c r="DT44" s="8"/>
      <c r="DU44" s="8">
        <v>1.05</v>
      </c>
      <c r="DV44" s="8"/>
      <c r="DW44" s="8"/>
      <c r="DX44" s="8"/>
      <c r="DY44" s="8"/>
      <c r="DZ44" s="8">
        <v>3190769.2</v>
      </c>
      <c r="EA44" s="8"/>
      <c r="EB44" s="8">
        <v>13202387.689999999</v>
      </c>
      <c r="EC44" s="8"/>
      <c r="ED44" s="8"/>
      <c r="EE44" s="8"/>
      <c r="EF44" s="8"/>
      <c r="EG44" s="8"/>
      <c r="EH44" s="8"/>
      <c r="EI44" s="8">
        <v>13616941.41</v>
      </c>
      <c r="EJ44" s="8">
        <v>22765252.129999999</v>
      </c>
      <c r="EK44" s="8"/>
      <c r="EL44" s="8">
        <v>12189770.130000001</v>
      </c>
      <c r="EM44" s="8"/>
      <c r="EN44" s="8"/>
      <c r="EO44" s="8"/>
      <c r="EP44" s="8"/>
      <c r="EQ44" s="8"/>
      <c r="ER44" s="8"/>
      <c r="ES44" s="8"/>
      <c r="ET44" s="8">
        <v>25495349.489999998</v>
      </c>
      <c r="EU44" s="8">
        <v>19682594.190000001</v>
      </c>
      <c r="EV44" s="8"/>
      <c r="EW44" s="8">
        <v>33271670.5</v>
      </c>
      <c r="EX44" s="8"/>
      <c r="EY44" s="8">
        <v>2520.56</v>
      </c>
      <c r="EZ44" s="8"/>
      <c r="FA44" s="8"/>
      <c r="FB44" s="8"/>
      <c r="FC44" s="8"/>
      <c r="FD44" s="8">
        <v>40482568.780000001</v>
      </c>
      <c r="FE44" s="8"/>
      <c r="FF44" s="8"/>
      <c r="FG44" s="8"/>
      <c r="FH44" s="8"/>
      <c r="FI44" s="8"/>
      <c r="FJ44" s="8"/>
      <c r="FK44" s="8"/>
      <c r="FL44" s="8"/>
      <c r="FM44" s="8"/>
      <c r="FN44" s="8"/>
      <c r="FO44" s="8"/>
      <c r="FP44" s="8"/>
      <c r="FQ44" s="8">
        <v>1129.68</v>
      </c>
      <c r="FR44" s="8"/>
      <c r="FS44" s="8"/>
      <c r="FT44" s="8"/>
      <c r="FU44" s="8"/>
      <c r="FV44" s="8"/>
      <c r="FW44" s="8">
        <v>3262.86</v>
      </c>
      <c r="FX44" s="8"/>
      <c r="FY44" s="8"/>
      <c r="FZ44" s="8"/>
      <c r="GA44" s="8">
        <v>27851695.370000001</v>
      </c>
      <c r="GB44" s="8"/>
      <c r="GC44" s="8">
        <v>23624400.609999999</v>
      </c>
      <c r="GD44" s="8"/>
      <c r="GE44" s="8"/>
      <c r="GF44" s="8"/>
      <c r="GG44" s="8"/>
      <c r="GH44" s="8"/>
      <c r="GI44" s="8"/>
      <c r="GJ44" s="8"/>
      <c r="GK44" s="8"/>
      <c r="GL44" s="8"/>
      <c r="GM44" s="8"/>
      <c r="GN44" s="8">
        <v>50745289.390000001</v>
      </c>
      <c r="GO44" s="8"/>
      <c r="GP44" s="8"/>
      <c r="GQ44" s="8">
        <v>10839764.960000001</v>
      </c>
      <c r="GR44" s="8"/>
      <c r="GS44" s="8"/>
      <c r="GT44" s="8">
        <v>20426809.82</v>
      </c>
      <c r="GU44" s="8"/>
      <c r="GV44" s="8">
        <v>22969123.329999998</v>
      </c>
      <c r="GW44" s="8"/>
      <c r="GX44" s="8"/>
      <c r="GY44" s="8"/>
      <c r="GZ44" s="8"/>
      <c r="HA44" s="8">
        <v>19161941</v>
      </c>
      <c r="HB44" s="8"/>
      <c r="HC44" s="8"/>
      <c r="HD44" s="8"/>
      <c r="HE44" s="8">
        <v>10593654.140000001</v>
      </c>
      <c r="HF44" s="8">
        <v>25332960.18</v>
      </c>
      <c r="HG44" s="8"/>
      <c r="HH44" s="8"/>
      <c r="HI44" s="8"/>
      <c r="HJ44" s="8"/>
      <c r="HK44" s="8">
        <v>30388341</v>
      </c>
      <c r="HL44" s="8">
        <v>21986836.859999999</v>
      </c>
      <c r="HM44" s="8"/>
      <c r="HN44" s="8"/>
      <c r="HO44" s="8"/>
      <c r="HP44" s="8"/>
      <c r="HQ44" s="8"/>
      <c r="HR44" s="8">
        <v>1.36</v>
      </c>
      <c r="HS44" s="8"/>
      <c r="HT44" s="8"/>
      <c r="HU44" s="8"/>
      <c r="HV44" s="8"/>
      <c r="HW44" s="8"/>
      <c r="HX44" s="8">
        <v>5764.51</v>
      </c>
      <c r="HY44" s="8"/>
      <c r="HZ44" s="8"/>
      <c r="IA44" s="8"/>
      <c r="IB44" s="8"/>
      <c r="IC44" s="8"/>
      <c r="ID44" s="8"/>
      <c r="IE44" s="8"/>
      <c r="IF44" s="8"/>
      <c r="IG44" s="8"/>
      <c r="IH44" s="8"/>
      <c r="II44" s="8">
        <v>12301599.32</v>
      </c>
      <c r="IJ44" s="8"/>
      <c r="IK44" s="8"/>
      <c r="IL44" s="8"/>
      <c r="IM44" s="8">
        <v>24397450.359999999</v>
      </c>
      <c r="IN44" s="8"/>
      <c r="IO44" s="8"/>
      <c r="IP44" s="8"/>
      <c r="IQ44" s="8"/>
      <c r="IR44" s="8"/>
      <c r="IS44" s="8"/>
      <c r="IT44" s="8"/>
      <c r="IU44" s="8"/>
      <c r="IV44" s="8"/>
      <c r="IW44" s="8"/>
      <c r="IX44" s="8"/>
      <c r="IY44" s="8"/>
      <c r="IZ44" s="8">
        <v>28838527.079999998</v>
      </c>
      <c r="JA44" s="8"/>
      <c r="JB44" s="8"/>
      <c r="JC44" s="8"/>
      <c r="JD44" s="8"/>
      <c r="JE44" s="8"/>
      <c r="JF44" s="8"/>
      <c r="JG44" s="8"/>
      <c r="JH44" s="8"/>
      <c r="JI44" s="8"/>
      <c r="JJ44" s="8"/>
      <c r="JK44" s="8"/>
      <c r="JL44" s="8"/>
      <c r="JM44" s="8"/>
      <c r="JN44" s="8"/>
      <c r="JO44" s="8"/>
      <c r="JP44" s="8"/>
      <c r="JQ44" s="8"/>
      <c r="JR44" s="8"/>
      <c r="JS44" s="8"/>
      <c r="JT44" s="8"/>
      <c r="JU44" s="8"/>
      <c r="JV44" s="8"/>
      <c r="JW44" s="8"/>
      <c r="JX44" s="8"/>
      <c r="JY44" s="8">
        <v>28042537.129999999</v>
      </c>
      <c r="JZ44" s="8"/>
      <c r="KA44" s="8"/>
      <c r="KB44" s="8"/>
      <c r="KC44" s="8">
        <v>6115116.2199999997</v>
      </c>
      <c r="KD44" s="8"/>
      <c r="KE44" s="8"/>
      <c r="KF44" s="8">
        <v>104.87</v>
      </c>
      <c r="KG44" s="8"/>
      <c r="KH44" s="8"/>
      <c r="KI44" s="8"/>
      <c r="KJ44" s="8">
        <v>5266726.97</v>
      </c>
      <c r="KK44" s="8"/>
      <c r="KL44" s="8"/>
      <c r="KM44" s="8"/>
      <c r="KN44" s="8">
        <v>30279263.039999999</v>
      </c>
      <c r="KO44" s="8"/>
      <c r="KP44" s="8"/>
      <c r="KQ44" s="8"/>
      <c r="KR44" s="8"/>
      <c r="KS44" s="8"/>
      <c r="KT44" s="8"/>
      <c r="KU44" s="8"/>
      <c r="KV44" s="8"/>
      <c r="KW44" s="8">
        <v>2980.63</v>
      </c>
      <c r="KX44" s="8"/>
      <c r="KY44" s="8"/>
      <c r="KZ44" s="8"/>
      <c r="LA44" s="8"/>
      <c r="LB44" s="8"/>
      <c r="LC44" s="8"/>
      <c r="LD44" s="8"/>
      <c r="LE44" s="8"/>
      <c r="LF44" s="8"/>
      <c r="LG44" s="8"/>
      <c r="LH44" s="8"/>
      <c r="LI44" s="8"/>
      <c r="LJ44" s="8"/>
      <c r="LK44" s="8"/>
      <c r="LL44" s="8">
        <v>4201.45</v>
      </c>
      <c r="LM44" s="8">
        <v>109635352.20999999</v>
      </c>
      <c r="LN44" s="8"/>
      <c r="LO44" s="8">
        <v>71399865.230000004</v>
      </c>
      <c r="LP44" s="8"/>
      <c r="LQ44" s="8"/>
      <c r="LR44" s="8"/>
      <c r="LS44" s="8"/>
      <c r="LT44" s="8"/>
      <c r="LU44" s="8"/>
      <c r="LV44" s="8"/>
      <c r="LW44" s="8">
        <v>118913844.93000001</v>
      </c>
      <c r="LX44" s="8"/>
      <c r="LY44" s="8"/>
      <c r="LZ44" s="8"/>
      <c r="MA44" s="8"/>
      <c r="MB44" s="8">
        <v>28093113.280000001</v>
      </c>
      <c r="MC44" s="8">
        <v>59185074.799999997</v>
      </c>
      <c r="MD44" s="8">
        <v>34086763.549999997</v>
      </c>
      <c r="ME44" s="8"/>
      <c r="MF44" s="8"/>
      <c r="MG44" s="8"/>
      <c r="MH44" s="8"/>
      <c r="MI44" s="8"/>
      <c r="MJ44" s="8"/>
      <c r="MK44" s="8"/>
      <c r="ML44" s="8"/>
      <c r="MM44" s="8"/>
      <c r="MN44" s="8"/>
      <c r="MO44" s="8"/>
      <c r="MP44" s="8"/>
      <c r="MQ44" s="8"/>
      <c r="MR44" s="8"/>
      <c r="MS44" s="8"/>
      <c r="MT44" s="8"/>
      <c r="MU44" s="8">
        <v>32439479.039999999</v>
      </c>
      <c r="MV44" s="8"/>
      <c r="MW44" s="8"/>
      <c r="MX44" s="8">
        <v>78712821.870000005</v>
      </c>
      <c r="MY44" s="8"/>
      <c r="MZ44" s="8"/>
      <c r="NA44" s="8"/>
      <c r="NB44" s="8">
        <v>498.27</v>
      </c>
      <c r="NC44" s="8">
        <v>38028043.530000001</v>
      </c>
      <c r="ND44" s="8"/>
      <c r="NE44" s="8"/>
      <c r="NF44" s="8"/>
      <c r="NG44" s="8"/>
      <c r="NH44" s="8"/>
      <c r="NI44" s="8"/>
      <c r="NJ44" s="8"/>
      <c r="NK44" s="8"/>
      <c r="NL44" s="8"/>
      <c r="NM44" s="8"/>
      <c r="NN44" s="8"/>
      <c r="NO44" s="8"/>
      <c r="NP44" s="8"/>
      <c r="NQ44" s="8"/>
      <c r="NR44" s="8"/>
      <c r="NS44" s="8"/>
      <c r="NT44" s="8"/>
      <c r="NU44" s="8"/>
      <c r="NV44" s="8"/>
      <c r="NW44" s="8"/>
      <c r="NX44" s="8"/>
      <c r="NY44" s="8"/>
      <c r="NZ44" s="8"/>
      <c r="OA44" s="8"/>
      <c r="OB44" s="8"/>
      <c r="OC44" s="8"/>
      <c r="OD44" s="8"/>
      <c r="OE44" s="8"/>
      <c r="OF44" s="8"/>
      <c r="OG44" s="8"/>
      <c r="OH44" s="8"/>
      <c r="OI44" s="8"/>
      <c r="OJ44" s="8"/>
      <c r="OK44" s="8"/>
      <c r="OL44" s="8"/>
      <c r="OM44" s="8"/>
      <c r="ON44" s="8"/>
      <c r="OO44" s="8"/>
      <c r="OP44" s="8"/>
      <c r="OQ44" s="5">
        <v>1477786857.3300002</v>
      </c>
    </row>
    <row r="45" spans="2:407" x14ac:dyDescent="0.2">
      <c r="B45" t="s">
        <v>93</v>
      </c>
      <c r="C45" t="s">
        <v>32</v>
      </c>
      <c r="D45" s="8"/>
      <c r="E45" s="8"/>
      <c r="F45" s="8"/>
      <c r="G45" s="8"/>
      <c r="H45" s="8">
        <v>43746407.490000002</v>
      </c>
      <c r="I45" s="8"/>
      <c r="J45" s="8"/>
      <c r="K45" s="8"/>
      <c r="L45" s="8"/>
      <c r="M45" s="8">
        <v>13881072</v>
      </c>
      <c r="N45" s="8"/>
      <c r="O45" s="8">
        <v>29505996.550000001</v>
      </c>
      <c r="P45" s="8"/>
      <c r="Q45" s="8"/>
      <c r="R45" s="8"/>
      <c r="S45" s="8"/>
      <c r="T45" s="8">
        <v>538.73</v>
      </c>
      <c r="U45" s="8">
        <v>1014.98</v>
      </c>
      <c r="V45" s="8"/>
      <c r="W45" s="8"/>
      <c r="X45" s="8"/>
      <c r="Y45" s="8"/>
      <c r="Z45" s="8">
        <v>21849222.82</v>
      </c>
      <c r="AA45" s="8"/>
      <c r="AB45" s="8">
        <v>7932802.54</v>
      </c>
      <c r="AC45" s="8">
        <v>8495950.8399999999</v>
      </c>
      <c r="AD45" s="8">
        <v>7025006.46</v>
      </c>
      <c r="AE45" s="8"/>
      <c r="AF45" s="8"/>
      <c r="AG45" s="8">
        <v>7607276.7400000002</v>
      </c>
      <c r="AH45" s="8"/>
      <c r="AI45" s="8">
        <v>10105518.310000001</v>
      </c>
      <c r="AJ45" s="8">
        <v>12971241.17</v>
      </c>
      <c r="AK45" s="8"/>
      <c r="AL45" s="8"/>
      <c r="AM45" s="8">
        <v>3476861.81</v>
      </c>
      <c r="AN45" s="8">
        <v>9881685.7300000004</v>
      </c>
      <c r="AO45" s="8">
        <v>7930510.4100000001</v>
      </c>
      <c r="AP45" s="8"/>
      <c r="AQ45" s="8"/>
      <c r="AR45" s="8"/>
      <c r="AS45" s="8">
        <v>3083168.28</v>
      </c>
      <c r="AT45" s="8">
        <v>7877034.9299999997</v>
      </c>
      <c r="AU45" s="8">
        <v>5061983.7</v>
      </c>
      <c r="AV45" s="8"/>
      <c r="AW45" s="8"/>
      <c r="AX45" s="8">
        <v>4626908.99</v>
      </c>
      <c r="AY45" s="8"/>
      <c r="AZ45" s="8">
        <v>6375007.3200000003</v>
      </c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>
        <v>23267889.960000001</v>
      </c>
      <c r="BO45" s="8">
        <v>71005081.430000007</v>
      </c>
      <c r="BP45" s="8"/>
      <c r="BQ45" s="8">
        <v>0.98</v>
      </c>
      <c r="BR45" s="8"/>
      <c r="BS45" s="8"/>
      <c r="BT45" s="8"/>
      <c r="BU45" s="8"/>
      <c r="BV45" s="8"/>
      <c r="BW45" s="8">
        <v>43169113.810000002</v>
      </c>
      <c r="BX45" s="8"/>
      <c r="BY45" s="8"/>
      <c r="BZ45" s="8"/>
      <c r="CA45" s="8">
        <v>96723989.859999999</v>
      </c>
      <c r="CB45" s="8"/>
      <c r="CC45" s="8"/>
      <c r="CD45" s="8"/>
      <c r="CE45" s="8"/>
      <c r="CF45" s="8"/>
      <c r="CG45" s="8"/>
      <c r="CH45" s="8"/>
      <c r="CI45" s="8"/>
      <c r="CJ45" s="8"/>
      <c r="CK45" s="8"/>
      <c r="CL45" s="8"/>
      <c r="CM45" s="8"/>
      <c r="CN45" s="8"/>
      <c r="CO45" s="8"/>
      <c r="CP45" s="8">
        <v>164488794.97999999</v>
      </c>
      <c r="CQ45" s="8"/>
      <c r="CR45" s="8"/>
      <c r="CS45" s="8"/>
      <c r="CT45" s="8"/>
      <c r="CU45" s="8"/>
      <c r="CV45" s="8"/>
      <c r="CW45" s="8"/>
      <c r="CX45" s="8"/>
      <c r="CY45" s="8"/>
      <c r="CZ45" s="8"/>
      <c r="DA45" s="8"/>
      <c r="DB45" s="8"/>
      <c r="DC45" s="8">
        <v>60479403.030000001</v>
      </c>
      <c r="DD45" s="8">
        <v>1882.3</v>
      </c>
      <c r="DE45" s="8"/>
      <c r="DF45" s="8"/>
      <c r="DG45" s="8"/>
      <c r="DH45" s="8"/>
      <c r="DI45" s="8"/>
      <c r="DJ45" s="8">
        <v>30668974.52</v>
      </c>
      <c r="DK45" s="8"/>
      <c r="DL45" s="8">
        <v>20221238.66</v>
      </c>
      <c r="DM45" s="8">
        <v>943.15</v>
      </c>
      <c r="DN45" s="8"/>
      <c r="DO45" s="8">
        <v>31584707.23</v>
      </c>
      <c r="DP45" s="8"/>
      <c r="DQ45" s="8">
        <v>27898412.399999999</v>
      </c>
      <c r="DR45" s="8"/>
      <c r="DS45" s="8"/>
      <c r="DT45" s="8">
        <v>22928487.760000002</v>
      </c>
      <c r="DU45" s="8">
        <v>5642263.5599999996</v>
      </c>
      <c r="DV45" s="8">
        <v>11466928.460000001</v>
      </c>
      <c r="DW45" s="8"/>
      <c r="DX45" s="8"/>
      <c r="DY45" s="8"/>
      <c r="DZ45" s="8"/>
      <c r="EA45" s="8"/>
      <c r="EB45" s="8"/>
      <c r="EC45" s="8"/>
      <c r="ED45" s="8"/>
      <c r="EE45" s="8"/>
      <c r="EF45" s="8"/>
      <c r="EG45" s="8">
        <v>53625525.549999997</v>
      </c>
      <c r="EH45" s="8"/>
      <c r="EI45" s="8"/>
      <c r="EJ45" s="8"/>
      <c r="EK45" s="8"/>
      <c r="EL45" s="8"/>
      <c r="EM45" s="8"/>
      <c r="EN45" s="8"/>
      <c r="EO45" s="8"/>
      <c r="EP45" s="8"/>
      <c r="EQ45" s="8"/>
      <c r="ER45" s="8"/>
      <c r="ES45" s="8"/>
      <c r="ET45" s="8"/>
      <c r="EU45" s="8"/>
      <c r="EV45" s="8"/>
      <c r="EW45" s="8"/>
      <c r="EX45" s="8"/>
      <c r="EY45" s="8">
        <v>68929726.489999995</v>
      </c>
      <c r="EZ45" s="8"/>
      <c r="FA45" s="8"/>
      <c r="FB45" s="8">
        <v>127791166.28</v>
      </c>
      <c r="FC45" s="8"/>
      <c r="FD45" s="8"/>
      <c r="FE45" s="8">
        <v>106528415.16</v>
      </c>
      <c r="FF45" s="8"/>
      <c r="FG45" s="8"/>
      <c r="FH45" s="8"/>
      <c r="FI45" s="8"/>
      <c r="FJ45" s="8"/>
      <c r="FK45" s="8"/>
      <c r="FL45" s="8"/>
      <c r="FM45" s="8"/>
      <c r="FN45" s="8">
        <v>67276426.879999995</v>
      </c>
      <c r="FO45" s="8"/>
      <c r="FP45" s="8"/>
      <c r="FQ45" s="8"/>
      <c r="FR45" s="8"/>
      <c r="FS45" s="8"/>
      <c r="FT45" s="8"/>
      <c r="FU45" s="8"/>
      <c r="FV45" s="8"/>
      <c r="FW45" s="8">
        <v>115532126.70999999</v>
      </c>
      <c r="FX45" s="8"/>
      <c r="FY45" s="8"/>
      <c r="FZ45" s="8"/>
      <c r="GA45" s="8"/>
      <c r="GB45" s="8"/>
      <c r="GC45" s="8"/>
      <c r="GD45" s="8">
        <v>108090823.12</v>
      </c>
      <c r="GE45" s="8"/>
      <c r="GF45" s="8">
        <v>62235550.700000003</v>
      </c>
      <c r="GG45" s="8"/>
      <c r="GH45" s="8"/>
      <c r="GI45" s="8">
        <v>14836.54</v>
      </c>
      <c r="GJ45" s="8"/>
      <c r="GK45" s="8"/>
      <c r="GL45" s="8"/>
      <c r="GM45" s="8"/>
      <c r="GN45" s="8">
        <v>6114.78</v>
      </c>
      <c r="GO45" s="8"/>
      <c r="GP45" s="8">
        <v>6129.6</v>
      </c>
      <c r="GQ45" s="8"/>
      <c r="GR45" s="8"/>
      <c r="GS45" s="8"/>
      <c r="GT45" s="8"/>
      <c r="GU45" s="8">
        <v>94838438.379999995</v>
      </c>
      <c r="GV45" s="8"/>
      <c r="GW45" s="8"/>
      <c r="GX45" s="8"/>
      <c r="GY45" s="8"/>
      <c r="GZ45" s="8"/>
      <c r="HA45" s="8"/>
      <c r="HB45" s="8">
        <v>63528096</v>
      </c>
      <c r="HC45" s="8"/>
      <c r="HD45" s="8"/>
      <c r="HE45" s="8"/>
      <c r="HF45" s="8">
        <v>132164834.54000001</v>
      </c>
      <c r="HG45" s="8"/>
      <c r="HH45" s="8"/>
      <c r="HI45" s="8"/>
      <c r="HJ45" s="8"/>
      <c r="HK45" s="8"/>
      <c r="HL45" s="8"/>
      <c r="HM45" s="8"/>
      <c r="HN45" s="8"/>
      <c r="HO45" s="8"/>
      <c r="HP45" s="8"/>
      <c r="HQ45" s="8">
        <v>70845052.040000007</v>
      </c>
      <c r="HR45" s="8"/>
      <c r="HS45" s="8"/>
      <c r="HT45" s="8"/>
      <c r="HU45" s="8"/>
      <c r="HV45" s="8"/>
      <c r="HW45" s="8"/>
      <c r="HX45" s="8"/>
      <c r="HY45" s="8"/>
      <c r="HZ45" s="8"/>
      <c r="IA45" s="8"/>
      <c r="IB45" s="8"/>
      <c r="IC45" s="8"/>
      <c r="ID45" s="8"/>
      <c r="IE45" s="8"/>
      <c r="IF45" s="8"/>
      <c r="IG45" s="8"/>
      <c r="IH45" s="8"/>
      <c r="II45" s="8"/>
      <c r="IJ45" s="8"/>
      <c r="IK45" s="8">
        <v>28476108.59</v>
      </c>
      <c r="IL45" s="8"/>
      <c r="IM45" s="8"/>
      <c r="IN45" s="8">
        <v>38655669.420000002</v>
      </c>
      <c r="IO45" s="8"/>
      <c r="IP45" s="8"/>
      <c r="IQ45" s="8"/>
      <c r="IR45" s="8"/>
      <c r="IS45" s="8"/>
      <c r="IT45" s="8"/>
      <c r="IU45" s="8">
        <v>88295418.219999999</v>
      </c>
      <c r="IV45" s="8"/>
      <c r="IW45" s="8"/>
      <c r="IX45" s="8"/>
      <c r="IY45" s="8"/>
      <c r="IZ45" s="8"/>
      <c r="JA45" s="8"/>
      <c r="JB45" s="8"/>
      <c r="JC45" s="8"/>
      <c r="JD45" s="8">
        <v>56116293.670000002</v>
      </c>
      <c r="JE45" s="8"/>
      <c r="JF45" s="8"/>
      <c r="JG45" s="8"/>
      <c r="JH45" s="8">
        <v>0.03</v>
      </c>
      <c r="JI45" s="8"/>
      <c r="JJ45" s="8"/>
      <c r="JK45" s="8"/>
      <c r="JL45" s="8"/>
      <c r="JM45" s="8"/>
      <c r="JN45" s="8"/>
      <c r="JO45" s="8"/>
      <c r="JP45" s="8"/>
      <c r="JQ45" s="8">
        <v>42900633.189999998</v>
      </c>
      <c r="JR45" s="8"/>
      <c r="JS45" s="8"/>
      <c r="JT45" s="8"/>
      <c r="JU45" s="8"/>
      <c r="JV45" s="8"/>
      <c r="JW45" s="8"/>
      <c r="JX45" s="8">
        <v>52730045.770000003</v>
      </c>
      <c r="JY45" s="8"/>
      <c r="JZ45" s="8"/>
      <c r="KA45" s="8"/>
      <c r="KB45" s="8"/>
      <c r="KC45" s="8"/>
      <c r="KD45" s="8"/>
      <c r="KE45" s="8"/>
      <c r="KF45" s="8"/>
      <c r="KG45" s="8"/>
      <c r="KH45" s="8"/>
      <c r="KI45" s="8"/>
      <c r="KJ45" s="8"/>
      <c r="KK45" s="8"/>
      <c r="KL45" s="8"/>
      <c r="KM45" s="8"/>
      <c r="KN45" s="8">
        <v>988.32</v>
      </c>
      <c r="KO45" s="8"/>
      <c r="KP45" s="8"/>
      <c r="KQ45" s="8"/>
      <c r="KR45" s="8"/>
      <c r="KS45" s="8"/>
      <c r="KT45" s="8"/>
      <c r="KU45" s="8"/>
      <c r="KV45" s="8"/>
      <c r="KW45" s="8"/>
      <c r="KX45" s="8"/>
      <c r="KY45" s="8"/>
      <c r="KZ45" s="8"/>
      <c r="LA45" s="8"/>
      <c r="LB45" s="8"/>
      <c r="LC45" s="8"/>
      <c r="LD45" s="8"/>
      <c r="LE45" s="8"/>
      <c r="LF45" s="8"/>
      <c r="LG45" s="8">
        <v>363705623.94</v>
      </c>
      <c r="LH45" s="8"/>
      <c r="LI45" s="8"/>
      <c r="LJ45" s="8"/>
      <c r="LK45" s="8"/>
      <c r="LL45" s="8"/>
      <c r="LM45" s="8"/>
      <c r="LN45" s="8"/>
      <c r="LO45" s="8"/>
      <c r="LP45" s="8"/>
      <c r="LQ45" s="8"/>
      <c r="LR45" s="8"/>
      <c r="LS45" s="8"/>
      <c r="LT45" s="8"/>
      <c r="LU45" s="8"/>
      <c r="LV45" s="8"/>
      <c r="LW45" s="8"/>
      <c r="LX45" s="8"/>
      <c r="LY45" s="8"/>
      <c r="LZ45" s="8"/>
      <c r="MA45" s="8">
        <v>401222949.60000002</v>
      </c>
      <c r="MB45" s="8"/>
      <c r="MC45" s="8"/>
      <c r="MD45" s="8"/>
      <c r="ME45" s="8"/>
      <c r="MF45" s="8"/>
      <c r="MG45" s="8"/>
      <c r="MH45" s="8"/>
      <c r="MI45" s="8"/>
      <c r="MJ45" s="8"/>
      <c r="MK45" s="8"/>
      <c r="ML45" s="8"/>
      <c r="MM45" s="8"/>
      <c r="MN45" s="8"/>
      <c r="MO45" s="8"/>
      <c r="MP45" s="8"/>
      <c r="MQ45" s="8"/>
      <c r="MR45" s="8"/>
      <c r="MS45" s="8"/>
      <c r="MT45" s="8"/>
      <c r="MU45" s="8"/>
      <c r="MV45" s="8"/>
      <c r="MW45" s="8"/>
      <c r="MX45" s="8"/>
      <c r="MY45" s="8"/>
      <c r="MZ45" s="8"/>
      <c r="NA45" s="8"/>
      <c r="NB45" s="8"/>
      <c r="NC45" s="8"/>
      <c r="ND45" s="8"/>
      <c r="NE45" s="8"/>
      <c r="NF45" s="8"/>
      <c r="NG45" s="8"/>
      <c r="NH45" s="8"/>
      <c r="NI45" s="8"/>
      <c r="NJ45" s="8"/>
      <c r="NK45" s="8"/>
      <c r="NL45" s="8"/>
      <c r="NM45" s="8"/>
      <c r="NN45" s="8"/>
      <c r="NO45" s="8"/>
      <c r="NP45" s="8"/>
      <c r="NQ45" s="8"/>
      <c r="NR45" s="8"/>
      <c r="NS45" s="8"/>
      <c r="NT45" s="8"/>
      <c r="NU45" s="8"/>
      <c r="NV45" s="8"/>
      <c r="NW45" s="8"/>
      <c r="NX45" s="8"/>
      <c r="NY45" s="8"/>
      <c r="NZ45" s="8"/>
      <c r="OA45" s="8"/>
      <c r="OB45" s="8"/>
      <c r="OC45" s="8"/>
      <c r="OD45" s="8"/>
      <c r="OE45" s="8"/>
      <c r="OF45" s="8"/>
      <c r="OG45" s="8"/>
      <c r="OH45" s="8"/>
      <c r="OI45" s="8"/>
      <c r="OJ45" s="8"/>
      <c r="OK45" s="8"/>
      <c r="OL45" s="8"/>
      <c r="OM45" s="8"/>
      <c r="ON45" s="8"/>
      <c r="OO45" s="8"/>
      <c r="OP45" s="8"/>
      <c r="OQ45" s="5">
        <v>2964500315.4100003</v>
      </c>
    </row>
    <row r="46" spans="2:407" x14ac:dyDescent="0.2">
      <c r="B46" t="s">
        <v>94</v>
      </c>
      <c r="C46" t="s">
        <v>33</v>
      </c>
      <c r="D46" s="8"/>
      <c r="E46" s="8"/>
      <c r="F46" s="8">
        <v>7478980.9199999999</v>
      </c>
      <c r="G46" s="8">
        <v>14365911.640000001</v>
      </c>
      <c r="H46" s="8">
        <v>35022070.530000001</v>
      </c>
      <c r="I46" s="8">
        <v>10814233.82</v>
      </c>
      <c r="J46" s="8">
        <v>12931.74</v>
      </c>
      <c r="K46" s="8"/>
      <c r="L46" s="8">
        <v>7188827.9800000004</v>
      </c>
      <c r="M46" s="8"/>
      <c r="N46" s="8"/>
      <c r="O46" s="8"/>
      <c r="P46" s="8"/>
      <c r="Q46" s="8">
        <v>6782.11</v>
      </c>
      <c r="R46" s="8"/>
      <c r="S46" s="8">
        <v>5665.36</v>
      </c>
      <c r="T46" s="8"/>
      <c r="U46" s="8"/>
      <c r="V46" s="8">
        <v>5206514.91</v>
      </c>
      <c r="W46" s="8"/>
      <c r="X46" s="8">
        <v>23682301.920000002</v>
      </c>
      <c r="Y46" s="8">
        <v>10934.81</v>
      </c>
      <c r="Z46" s="8"/>
      <c r="AA46" s="8">
        <v>14880681.960000001</v>
      </c>
      <c r="AB46" s="8">
        <v>25617434.710000001</v>
      </c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>
        <v>9463050.7899999991</v>
      </c>
      <c r="AO46" s="8"/>
      <c r="AP46" s="8">
        <v>23443624.370000001</v>
      </c>
      <c r="AQ46" s="8"/>
      <c r="AR46" s="8"/>
      <c r="AS46" s="8"/>
      <c r="AT46" s="8">
        <v>14946939.27</v>
      </c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>
        <v>50241915.759999998</v>
      </c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>
        <v>38406438.969999999</v>
      </c>
      <c r="BQ46" s="8"/>
      <c r="BR46" s="8"/>
      <c r="BS46" s="8">
        <v>67028025.299999997</v>
      </c>
      <c r="BT46" s="8"/>
      <c r="BU46" s="8"/>
      <c r="BV46" s="8"/>
      <c r="BW46" s="8">
        <v>74040476.310000002</v>
      </c>
      <c r="BX46" s="8"/>
      <c r="BY46" s="8"/>
      <c r="BZ46" s="8"/>
      <c r="CA46" s="8"/>
      <c r="CB46" s="8"/>
      <c r="CC46" s="8"/>
      <c r="CD46" s="8"/>
      <c r="CE46" s="8"/>
      <c r="CF46" s="8"/>
      <c r="CG46" s="8"/>
      <c r="CH46" s="8"/>
      <c r="CI46" s="8"/>
      <c r="CJ46" s="8">
        <v>23199724.420000002</v>
      </c>
      <c r="CK46" s="8"/>
      <c r="CL46" s="8"/>
      <c r="CM46" s="8">
        <v>22235239.780000001</v>
      </c>
      <c r="CN46" s="8"/>
      <c r="CO46" s="8">
        <v>16530571.15</v>
      </c>
      <c r="CP46" s="8">
        <v>13158246.59</v>
      </c>
      <c r="CQ46" s="8"/>
      <c r="CR46" s="8"/>
      <c r="CS46" s="8"/>
      <c r="CT46" s="8"/>
      <c r="CU46" s="8">
        <v>28099210.16</v>
      </c>
      <c r="CV46" s="8"/>
      <c r="CW46" s="8"/>
      <c r="CX46" s="8"/>
      <c r="CY46" s="8"/>
      <c r="CZ46" s="8">
        <v>28612028.5</v>
      </c>
      <c r="DA46" s="8"/>
      <c r="DB46" s="8"/>
      <c r="DC46" s="8"/>
      <c r="DD46" s="8"/>
      <c r="DE46" s="8"/>
      <c r="DF46" s="8">
        <v>68484243.890000001</v>
      </c>
      <c r="DG46" s="8"/>
      <c r="DH46" s="8"/>
      <c r="DI46" s="8"/>
      <c r="DJ46" s="8"/>
      <c r="DK46" s="8">
        <v>26288286.030000001</v>
      </c>
      <c r="DL46" s="8"/>
      <c r="DM46" s="8"/>
      <c r="DN46" s="8">
        <v>28632995.280000001</v>
      </c>
      <c r="DO46" s="8"/>
      <c r="DP46" s="8"/>
      <c r="DQ46" s="8"/>
      <c r="DR46" s="8"/>
      <c r="DS46" s="8">
        <v>23106508.149999999</v>
      </c>
      <c r="DT46" s="8"/>
      <c r="DU46" s="8"/>
      <c r="DV46" s="8"/>
      <c r="DW46" s="8"/>
      <c r="DX46" s="8"/>
      <c r="DY46" s="8"/>
      <c r="DZ46" s="8">
        <v>29025864.789999999</v>
      </c>
      <c r="EA46" s="8">
        <v>20934483.670000002</v>
      </c>
      <c r="EB46" s="8">
        <v>13367698.52</v>
      </c>
      <c r="EC46" s="8"/>
      <c r="ED46" s="8"/>
      <c r="EE46" s="8"/>
      <c r="EF46" s="8"/>
      <c r="EG46" s="8"/>
      <c r="EH46" s="8"/>
      <c r="EI46" s="8"/>
      <c r="EJ46" s="8"/>
      <c r="EK46" s="8"/>
      <c r="EL46" s="8"/>
      <c r="EM46" s="8"/>
      <c r="EN46" s="8">
        <v>114377057.09</v>
      </c>
      <c r="EO46" s="8"/>
      <c r="EP46" s="8">
        <v>29379108.670000002</v>
      </c>
      <c r="EQ46" s="8"/>
      <c r="ER46" s="8">
        <v>36914252.490000002</v>
      </c>
      <c r="ES46" s="8"/>
      <c r="ET46" s="8">
        <v>41807198.630000003</v>
      </c>
      <c r="EU46" s="8"/>
      <c r="EV46" s="8"/>
      <c r="EW46" s="8"/>
      <c r="EX46" s="8"/>
      <c r="EY46" s="8"/>
      <c r="EZ46" s="8">
        <v>3773.46</v>
      </c>
      <c r="FA46" s="8"/>
      <c r="FB46" s="8"/>
      <c r="FC46" s="8"/>
      <c r="FD46" s="8">
        <v>44087439.270000003</v>
      </c>
      <c r="FE46" s="8">
        <v>78329682.010000005</v>
      </c>
      <c r="FF46" s="8"/>
      <c r="FG46" s="8"/>
      <c r="FH46" s="8"/>
      <c r="FI46" s="8"/>
      <c r="FJ46" s="8"/>
      <c r="FK46" s="8"/>
      <c r="FL46" s="8"/>
      <c r="FM46" s="8"/>
      <c r="FN46" s="8"/>
      <c r="FO46" s="8"/>
      <c r="FP46" s="8">
        <v>65425638.329999998</v>
      </c>
      <c r="FQ46" s="8"/>
      <c r="FR46" s="8"/>
      <c r="FS46" s="8"/>
      <c r="FT46" s="8"/>
      <c r="FU46" s="8"/>
      <c r="FV46" s="8"/>
      <c r="FW46" s="8"/>
      <c r="FX46" s="8"/>
      <c r="FY46" s="8"/>
      <c r="FZ46" s="8"/>
      <c r="GA46" s="8"/>
      <c r="GB46" s="8"/>
      <c r="GC46" s="8"/>
      <c r="GD46" s="8"/>
      <c r="GE46" s="8"/>
      <c r="GF46" s="8"/>
      <c r="GG46" s="8"/>
      <c r="GH46" s="8"/>
      <c r="GI46" s="8"/>
      <c r="GJ46" s="8"/>
      <c r="GK46" s="8"/>
      <c r="GL46" s="8"/>
      <c r="GM46" s="8"/>
      <c r="GN46" s="8"/>
      <c r="GO46" s="8"/>
      <c r="GP46" s="8"/>
      <c r="GQ46" s="8"/>
      <c r="GR46" s="8"/>
      <c r="GS46" s="8"/>
      <c r="GT46" s="8"/>
      <c r="GU46" s="8"/>
      <c r="GV46" s="8"/>
      <c r="GW46" s="8"/>
      <c r="GX46" s="8"/>
      <c r="GY46" s="8"/>
      <c r="GZ46" s="8"/>
      <c r="HA46" s="8"/>
      <c r="HB46" s="8"/>
      <c r="HC46" s="8"/>
      <c r="HD46" s="8">
        <v>36552431.280000001</v>
      </c>
      <c r="HE46" s="8">
        <v>3424.44</v>
      </c>
      <c r="HF46" s="8"/>
      <c r="HG46" s="8"/>
      <c r="HH46" s="8">
        <v>23294729.93</v>
      </c>
      <c r="HI46" s="8"/>
      <c r="HJ46" s="8"/>
      <c r="HK46" s="8"/>
      <c r="HL46" s="8">
        <v>39191433.969999999</v>
      </c>
      <c r="HM46" s="8"/>
      <c r="HN46" s="8"/>
      <c r="HO46" s="8"/>
      <c r="HP46" s="8">
        <v>7831447.7400000002</v>
      </c>
      <c r="HQ46" s="8"/>
      <c r="HR46" s="8"/>
      <c r="HS46" s="8"/>
      <c r="HT46" s="8"/>
      <c r="HU46" s="8">
        <v>89372173.840000004</v>
      </c>
      <c r="HV46" s="8"/>
      <c r="HW46" s="8"/>
      <c r="HX46" s="8"/>
      <c r="HY46" s="8"/>
      <c r="HZ46" s="8"/>
      <c r="IA46" s="8">
        <v>59870219.630000003</v>
      </c>
      <c r="IB46" s="8"/>
      <c r="IC46" s="8">
        <v>1319.22</v>
      </c>
      <c r="ID46" s="8"/>
      <c r="IE46" s="8">
        <v>30097423.75</v>
      </c>
      <c r="IF46" s="8"/>
      <c r="IG46" s="8"/>
      <c r="IH46" s="8">
        <v>43816045.539999999</v>
      </c>
      <c r="II46" s="8">
        <v>39692016.32</v>
      </c>
      <c r="IJ46" s="8"/>
      <c r="IK46" s="8"/>
      <c r="IL46" s="8"/>
      <c r="IM46" s="8"/>
      <c r="IN46" s="8"/>
      <c r="IO46" s="8"/>
      <c r="IP46" s="8"/>
      <c r="IQ46" s="8"/>
      <c r="IR46" s="8"/>
      <c r="IS46" s="8">
        <v>31762497.859999999</v>
      </c>
      <c r="IT46" s="8"/>
      <c r="IU46" s="8"/>
      <c r="IV46" s="8"/>
      <c r="IW46" s="8"/>
      <c r="IX46" s="8"/>
      <c r="IY46" s="8"/>
      <c r="IZ46" s="8"/>
      <c r="JA46" s="8"/>
      <c r="JB46" s="8">
        <v>13907326.24</v>
      </c>
      <c r="JC46" s="8"/>
      <c r="JD46" s="8"/>
      <c r="JE46" s="8">
        <v>24358312.579999998</v>
      </c>
      <c r="JF46" s="8"/>
      <c r="JG46" s="8"/>
      <c r="JH46" s="8">
        <v>27756195.350000001</v>
      </c>
      <c r="JI46" s="8"/>
      <c r="JJ46" s="8"/>
      <c r="JK46" s="8"/>
      <c r="JL46" s="8"/>
      <c r="JM46" s="8"/>
      <c r="JN46" s="8"/>
      <c r="JO46" s="8">
        <v>32896517.379999999</v>
      </c>
      <c r="JP46" s="8"/>
      <c r="JQ46" s="8"/>
      <c r="JR46" s="8">
        <v>13351863.17</v>
      </c>
      <c r="JS46" s="8"/>
      <c r="JT46" s="8"/>
      <c r="JU46" s="8"/>
      <c r="JV46" s="8"/>
      <c r="JW46" s="8"/>
      <c r="JX46" s="8">
        <v>20538601.920000002</v>
      </c>
      <c r="JY46" s="8"/>
      <c r="JZ46" s="8"/>
      <c r="KA46" s="8"/>
      <c r="KB46" s="8"/>
      <c r="KC46" s="8"/>
      <c r="KD46" s="8"/>
      <c r="KE46" s="8"/>
      <c r="KF46" s="8"/>
      <c r="KG46" s="8"/>
      <c r="KH46" s="8"/>
      <c r="KI46" s="8"/>
      <c r="KJ46" s="8"/>
      <c r="KK46" s="8"/>
      <c r="KL46" s="8"/>
      <c r="KM46" s="8"/>
      <c r="KN46" s="8"/>
      <c r="KO46" s="8"/>
      <c r="KP46" s="8"/>
      <c r="KQ46" s="8"/>
      <c r="KR46" s="8"/>
      <c r="KS46" s="8"/>
      <c r="KT46" s="8"/>
      <c r="KU46" s="8"/>
      <c r="KV46" s="8"/>
      <c r="KW46" s="8"/>
      <c r="KX46" s="8"/>
      <c r="KY46" s="8"/>
      <c r="KZ46" s="8"/>
      <c r="LA46" s="8">
        <v>113273957.42</v>
      </c>
      <c r="LB46" s="8"/>
      <c r="LC46" s="8"/>
      <c r="LD46" s="8">
        <v>155017513.66</v>
      </c>
      <c r="LE46" s="8"/>
      <c r="LF46" s="8">
        <v>78017572.120000005</v>
      </c>
      <c r="LG46" s="8"/>
      <c r="LH46" s="8"/>
      <c r="LI46" s="8"/>
      <c r="LJ46" s="8"/>
      <c r="LK46" s="8"/>
      <c r="LL46" s="8"/>
      <c r="LM46" s="8"/>
      <c r="LN46" s="8"/>
      <c r="LO46" s="8"/>
      <c r="LP46" s="8">
        <v>312507365.05000001</v>
      </c>
      <c r="LQ46" s="8"/>
      <c r="LR46" s="8"/>
      <c r="LS46" s="8"/>
      <c r="LT46" s="8"/>
      <c r="LU46" s="8"/>
      <c r="LV46" s="8"/>
      <c r="LW46" s="8"/>
      <c r="LX46" s="8"/>
      <c r="LY46" s="8"/>
      <c r="LZ46" s="8"/>
      <c r="MA46" s="8"/>
      <c r="MB46" s="8"/>
      <c r="MC46" s="8"/>
      <c r="MD46" s="8"/>
      <c r="ME46" s="8"/>
      <c r="MF46" s="8"/>
      <c r="MG46" s="8"/>
      <c r="MH46" s="8"/>
      <c r="MI46" s="8">
        <v>321192055.5</v>
      </c>
      <c r="MJ46" s="8"/>
      <c r="MK46" s="8"/>
      <c r="ML46" s="8"/>
      <c r="MM46" s="8">
        <v>139404449.68000001</v>
      </c>
      <c r="MN46" s="8"/>
      <c r="MO46" s="8"/>
      <c r="MP46" s="8"/>
      <c r="MQ46" s="8"/>
      <c r="MR46" s="8"/>
      <c r="MS46" s="8"/>
      <c r="MT46" s="8"/>
      <c r="MU46" s="8"/>
      <c r="MV46" s="8">
        <v>932.59</v>
      </c>
      <c r="MW46" s="8"/>
      <c r="MX46" s="8"/>
      <c r="MY46" s="8"/>
      <c r="MZ46" s="8"/>
      <c r="NA46" s="8"/>
      <c r="NB46" s="8"/>
      <c r="NC46" s="8">
        <v>133640615.53</v>
      </c>
      <c r="ND46" s="8"/>
      <c r="NE46" s="8"/>
      <c r="NF46" s="8"/>
      <c r="NG46" s="8"/>
      <c r="NH46" s="8"/>
      <c r="NI46" s="8"/>
      <c r="NJ46" s="8"/>
      <c r="NK46" s="8"/>
      <c r="NL46" s="8"/>
      <c r="NM46" s="8"/>
      <c r="NN46" s="8"/>
      <c r="NO46" s="8"/>
      <c r="NP46" s="8"/>
      <c r="NQ46" s="8">
        <v>63074541.409999996</v>
      </c>
      <c r="NR46" s="8"/>
      <c r="NS46" s="8"/>
      <c r="NT46" s="8">
        <v>39662673.560000002</v>
      </c>
      <c r="NU46" s="8"/>
      <c r="NV46" s="8"/>
      <c r="NW46" s="8"/>
      <c r="NX46" s="8">
        <v>73082855.730000004</v>
      </c>
      <c r="NY46" s="8"/>
      <c r="NZ46" s="8"/>
      <c r="OA46" s="8"/>
      <c r="OB46" s="8"/>
      <c r="OC46" s="8"/>
      <c r="OD46" s="8"/>
      <c r="OE46" s="8"/>
      <c r="OF46" s="8"/>
      <c r="OG46" s="8"/>
      <c r="OH46" s="8"/>
      <c r="OI46" s="8"/>
      <c r="OJ46" s="8">
        <v>77022539.459999993</v>
      </c>
      <c r="OK46" s="8">
        <v>107024330.54000001</v>
      </c>
      <c r="OL46" s="8"/>
      <c r="OM46" s="8"/>
      <c r="ON46" s="8"/>
      <c r="OO46" s="8"/>
      <c r="OP46" s="8"/>
      <c r="OQ46" s="5">
        <v>3321078376.4700003</v>
      </c>
    </row>
    <row r="47" spans="2:407" x14ac:dyDescent="0.2">
      <c r="B47" t="s">
        <v>95</v>
      </c>
      <c r="C47" t="s">
        <v>38</v>
      </c>
      <c r="D47" s="8"/>
      <c r="E47" s="8">
        <v>1128.28</v>
      </c>
      <c r="F47" s="8">
        <v>29454969.489999998</v>
      </c>
      <c r="G47" s="8"/>
      <c r="H47" s="8"/>
      <c r="I47" s="8"/>
      <c r="J47" s="8"/>
      <c r="K47" s="8"/>
      <c r="L47" s="8">
        <v>31500100.390000001</v>
      </c>
      <c r="M47" s="8"/>
      <c r="N47" s="8">
        <v>22208936.420000002</v>
      </c>
      <c r="O47" s="8">
        <v>96878491.909999996</v>
      </c>
      <c r="P47" s="8">
        <v>54005807.990000002</v>
      </c>
      <c r="Q47" s="8"/>
      <c r="R47" s="8"/>
      <c r="S47" s="8">
        <v>110541604.15000001</v>
      </c>
      <c r="T47" s="8"/>
      <c r="U47" s="8"/>
      <c r="V47" s="8">
        <v>320285500.79000002</v>
      </c>
      <c r="W47" s="8"/>
      <c r="X47" s="8">
        <v>6043.69</v>
      </c>
      <c r="Y47" s="8"/>
      <c r="Z47" s="8"/>
      <c r="AA47" s="8"/>
      <c r="AB47" s="8">
        <v>5695.14</v>
      </c>
      <c r="AC47" s="8"/>
      <c r="AD47" s="8"/>
      <c r="AE47" s="8"/>
      <c r="AF47" s="8"/>
      <c r="AG47" s="8"/>
      <c r="AH47" s="8"/>
      <c r="AI47" s="8"/>
      <c r="AJ47" s="8"/>
      <c r="AK47" s="8">
        <v>23522571.489999998</v>
      </c>
      <c r="AL47" s="8">
        <v>42912664.409999996</v>
      </c>
      <c r="AM47" s="8"/>
      <c r="AN47" s="8">
        <v>648.1</v>
      </c>
      <c r="AO47" s="8"/>
      <c r="AP47" s="8"/>
      <c r="AQ47" s="8"/>
      <c r="AR47" s="8">
        <v>18752448.57</v>
      </c>
      <c r="AS47" s="8"/>
      <c r="AT47" s="8">
        <v>50368086.109999999</v>
      </c>
      <c r="AU47" s="8"/>
      <c r="AV47" s="8">
        <v>42738508.840000004</v>
      </c>
      <c r="AW47" s="8"/>
      <c r="AX47" s="8">
        <v>14893047.27</v>
      </c>
      <c r="AY47" s="8">
        <v>19759026.460000001</v>
      </c>
      <c r="AZ47" s="8"/>
      <c r="BA47" s="8">
        <v>227717784.72</v>
      </c>
      <c r="BB47" s="8"/>
      <c r="BC47" s="8"/>
      <c r="BD47" s="8"/>
      <c r="BE47" s="8">
        <v>173005881.50999999</v>
      </c>
      <c r="BF47" s="8"/>
      <c r="BG47" s="8">
        <v>31042269.120000001</v>
      </c>
      <c r="BH47" s="8"/>
      <c r="BI47" s="8">
        <v>159265714.91999999</v>
      </c>
      <c r="BJ47" s="8"/>
      <c r="BK47" s="8"/>
      <c r="BL47" s="8">
        <v>182208151.40000001</v>
      </c>
      <c r="BM47" s="8"/>
      <c r="BN47" s="8"/>
      <c r="BO47" s="8"/>
      <c r="BP47" s="8"/>
      <c r="BQ47" s="8"/>
      <c r="BR47" s="8"/>
      <c r="BS47" s="8"/>
      <c r="BT47" s="8"/>
      <c r="BU47" s="8"/>
      <c r="BV47" s="8">
        <v>8831.73</v>
      </c>
      <c r="BW47" s="8"/>
      <c r="BX47" s="8"/>
      <c r="BY47" s="8"/>
      <c r="BZ47" s="8"/>
      <c r="CA47" s="8">
        <v>196689416.18000001</v>
      </c>
      <c r="CB47" s="8"/>
      <c r="CC47" s="8"/>
      <c r="CD47" s="8">
        <v>68980405.719999999</v>
      </c>
      <c r="CE47" s="8"/>
      <c r="CF47" s="8"/>
      <c r="CG47" s="8"/>
      <c r="CH47" s="8"/>
      <c r="CI47" s="8"/>
      <c r="CJ47" s="8"/>
      <c r="CK47" s="8"/>
      <c r="CL47" s="8"/>
      <c r="CM47" s="8">
        <v>167115356.22999999</v>
      </c>
      <c r="CN47" s="8"/>
      <c r="CO47" s="8"/>
      <c r="CP47" s="8"/>
      <c r="CQ47" s="8"/>
      <c r="CR47" s="8"/>
      <c r="CS47" s="8">
        <v>439357684.89999998</v>
      </c>
      <c r="CT47" s="8"/>
      <c r="CU47" s="8"/>
      <c r="CV47" s="8"/>
      <c r="CW47" s="8"/>
      <c r="CX47" s="8"/>
      <c r="CY47" s="8"/>
      <c r="CZ47" s="8"/>
      <c r="DA47" s="8"/>
      <c r="DB47" s="8"/>
      <c r="DC47" s="8">
        <v>767.57</v>
      </c>
      <c r="DD47" s="8"/>
      <c r="DE47" s="8"/>
      <c r="DF47" s="8"/>
      <c r="DG47" s="8">
        <v>240263482.66999999</v>
      </c>
      <c r="DH47" s="8"/>
      <c r="DI47" s="8">
        <v>288136216.69</v>
      </c>
      <c r="DJ47" s="8"/>
      <c r="DK47" s="8"/>
      <c r="DL47" s="8">
        <v>8577.6200000000008</v>
      </c>
      <c r="DM47" s="8"/>
      <c r="DN47" s="8"/>
      <c r="DO47" s="8">
        <v>1547.35</v>
      </c>
      <c r="DP47" s="8"/>
      <c r="DQ47" s="8">
        <v>17131.8</v>
      </c>
      <c r="DR47" s="8"/>
      <c r="DS47" s="8">
        <v>109487177.56999999</v>
      </c>
      <c r="DT47" s="8"/>
      <c r="DU47" s="8"/>
      <c r="DV47" s="8"/>
      <c r="DW47" s="8">
        <v>105624771.59999999</v>
      </c>
      <c r="DX47" s="8"/>
      <c r="DY47" s="8">
        <v>103873178.17</v>
      </c>
      <c r="DZ47" s="8"/>
      <c r="EA47" s="8"/>
      <c r="EB47" s="8"/>
      <c r="EC47" s="8"/>
      <c r="ED47" s="8"/>
      <c r="EE47" s="8"/>
      <c r="EF47" s="8">
        <v>212066869.75999999</v>
      </c>
      <c r="EG47" s="8"/>
      <c r="EH47" s="8"/>
      <c r="EI47" s="8"/>
      <c r="EJ47" s="8"/>
      <c r="EK47" s="8"/>
      <c r="EL47" s="8"/>
      <c r="EM47" s="8"/>
      <c r="EN47" s="8"/>
      <c r="EO47" s="8"/>
      <c r="EP47" s="8">
        <v>66091974.869999997</v>
      </c>
      <c r="EQ47" s="8"/>
      <c r="ER47" s="8"/>
      <c r="ES47" s="8"/>
      <c r="ET47" s="8"/>
      <c r="EU47" s="8"/>
      <c r="EV47" s="8"/>
      <c r="EW47" s="8">
        <v>0.79</v>
      </c>
      <c r="EX47" s="8"/>
      <c r="EY47" s="8"/>
      <c r="EZ47" s="8"/>
      <c r="FA47" s="8">
        <v>187128985.53999999</v>
      </c>
      <c r="FB47" s="8">
        <v>248451821.83000001</v>
      </c>
      <c r="FC47" s="8"/>
      <c r="FD47" s="8"/>
      <c r="FE47" s="8"/>
      <c r="FF47" s="8">
        <v>447538556.25</v>
      </c>
      <c r="FG47" s="8"/>
      <c r="FH47" s="8"/>
      <c r="FI47" s="8"/>
      <c r="FJ47" s="8"/>
      <c r="FK47" s="8">
        <v>416468696.72000003</v>
      </c>
      <c r="FL47" s="8">
        <v>230996319.05000001</v>
      </c>
      <c r="FM47" s="8"/>
      <c r="FN47" s="8"/>
      <c r="FO47" s="8"/>
      <c r="FP47" s="8"/>
      <c r="FQ47" s="8"/>
      <c r="FR47" s="8">
        <v>870037360.33000004</v>
      </c>
      <c r="FS47" s="8"/>
      <c r="FT47" s="8"/>
      <c r="FU47" s="8"/>
      <c r="FV47" s="8"/>
      <c r="FW47" s="8"/>
      <c r="FX47" s="8"/>
      <c r="FY47" s="8"/>
      <c r="FZ47" s="8"/>
      <c r="GA47" s="8"/>
      <c r="GB47" s="8"/>
      <c r="GC47" s="8"/>
      <c r="GD47" s="8"/>
      <c r="GE47" s="8"/>
      <c r="GF47" s="8"/>
      <c r="GG47" s="8"/>
      <c r="GH47" s="8"/>
      <c r="GI47" s="8"/>
      <c r="GJ47" s="8"/>
      <c r="GK47" s="8"/>
      <c r="GL47" s="8"/>
      <c r="GM47" s="8"/>
      <c r="GN47" s="8"/>
      <c r="GO47" s="8">
        <v>645300036.48000002</v>
      </c>
      <c r="GP47" s="8"/>
      <c r="GQ47" s="8"/>
      <c r="GR47" s="8"/>
      <c r="GS47" s="8"/>
      <c r="GT47" s="8"/>
      <c r="GU47" s="8">
        <v>9140.59</v>
      </c>
      <c r="GV47" s="8"/>
      <c r="GW47" s="8"/>
      <c r="GX47" s="8"/>
      <c r="GY47" s="8"/>
      <c r="GZ47" s="8"/>
      <c r="HA47" s="8"/>
      <c r="HB47" s="8"/>
      <c r="HC47" s="8"/>
      <c r="HD47" s="8"/>
      <c r="HE47" s="8"/>
      <c r="HF47" s="8"/>
      <c r="HG47" s="8">
        <v>528451193.01999998</v>
      </c>
      <c r="HH47" s="8"/>
      <c r="HI47" s="8"/>
      <c r="HJ47" s="8"/>
      <c r="HK47" s="8"/>
      <c r="HL47" s="8"/>
      <c r="HM47" s="8"/>
      <c r="HN47" s="8"/>
      <c r="HO47" s="8">
        <v>365800288.57999998</v>
      </c>
      <c r="HP47" s="8"/>
      <c r="HQ47" s="8"/>
      <c r="HR47" s="8"/>
      <c r="HS47" s="8"/>
      <c r="HT47" s="8"/>
      <c r="HU47" s="8"/>
      <c r="HV47" s="8"/>
      <c r="HW47" s="8">
        <v>180577015.55000001</v>
      </c>
      <c r="HX47" s="8"/>
      <c r="HY47" s="8"/>
      <c r="HZ47" s="8"/>
      <c r="IA47" s="8"/>
      <c r="IB47" s="8"/>
      <c r="IC47" s="8"/>
      <c r="ID47" s="8"/>
      <c r="IE47" s="8"/>
      <c r="IF47" s="8"/>
      <c r="IG47" s="8"/>
      <c r="IH47" s="8">
        <v>99661763.870000005</v>
      </c>
      <c r="II47" s="8"/>
      <c r="IJ47" s="8"/>
      <c r="IK47" s="8"/>
      <c r="IL47" s="8"/>
      <c r="IM47" s="8"/>
      <c r="IN47" s="8"/>
      <c r="IO47" s="8"/>
      <c r="IP47" s="8"/>
      <c r="IQ47" s="8">
        <v>206145613.06</v>
      </c>
      <c r="IR47" s="8">
        <v>99917674.629999995</v>
      </c>
      <c r="IS47" s="8"/>
      <c r="IT47" s="8">
        <v>179948005.96000001</v>
      </c>
      <c r="IU47" s="8"/>
      <c r="IV47" s="8"/>
      <c r="IW47" s="8"/>
      <c r="IX47" s="8"/>
      <c r="IY47" s="8">
        <v>92105985.420000002</v>
      </c>
      <c r="IZ47" s="8">
        <v>1145.49</v>
      </c>
      <c r="JA47" s="8"/>
      <c r="JB47" s="8"/>
      <c r="JC47" s="8"/>
      <c r="JD47" s="8">
        <v>142056556.06</v>
      </c>
      <c r="JE47" s="8"/>
      <c r="JF47" s="8"/>
      <c r="JG47" s="8"/>
      <c r="JH47" s="8">
        <v>0.48</v>
      </c>
      <c r="JI47" s="8"/>
      <c r="JJ47" s="8">
        <v>145384570.93000001</v>
      </c>
      <c r="JK47" s="8"/>
      <c r="JL47" s="8"/>
      <c r="JM47" s="8"/>
      <c r="JN47" s="8"/>
      <c r="JO47" s="8"/>
      <c r="JP47" s="8"/>
      <c r="JQ47" s="8"/>
      <c r="JR47" s="8">
        <v>147341383.78999999</v>
      </c>
      <c r="JS47" s="8">
        <v>73812859.390000001</v>
      </c>
      <c r="JT47" s="8"/>
      <c r="JU47" s="8"/>
      <c r="JV47" s="8">
        <v>87885131.040000007</v>
      </c>
      <c r="JW47" s="8"/>
      <c r="JX47" s="8"/>
      <c r="JY47" s="8"/>
      <c r="JZ47" s="8"/>
      <c r="KA47" s="8"/>
      <c r="KB47" s="8"/>
      <c r="KC47" s="8"/>
      <c r="KD47" s="8"/>
      <c r="KE47" s="8"/>
      <c r="KF47" s="8"/>
      <c r="KG47" s="8"/>
      <c r="KH47" s="8"/>
      <c r="KI47" s="8"/>
      <c r="KJ47" s="8"/>
      <c r="KK47" s="8"/>
      <c r="KL47" s="8"/>
      <c r="KM47" s="8"/>
      <c r="KN47" s="8"/>
      <c r="KO47" s="8">
        <v>246980533.16</v>
      </c>
      <c r="KP47" s="8"/>
      <c r="KQ47" s="8"/>
      <c r="KR47" s="8"/>
      <c r="KS47" s="8"/>
      <c r="KT47" s="8"/>
      <c r="KU47" s="8">
        <v>302851249.05000001</v>
      </c>
      <c r="KV47" s="8"/>
      <c r="KW47" s="8"/>
      <c r="KX47" s="8"/>
      <c r="KY47" s="8"/>
      <c r="KZ47" s="8"/>
      <c r="LA47" s="8"/>
      <c r="LB47" s="8"/>
      <c r="LC47" s="8"/>
      <c r="LD47" s="8"/>
      <c r="LE47" s="8"/>
      <c r="LF47" s="8"/>
      <c r="LG47" s="8"/>
      <c r="LH47" s="8">
        <v>4453.3900000000003</v>
      </c>
      <c r="LI47" s="8"/>
      <c r="LJ47" s="8">
        <v>170537426.47</v>
      </c>
      <c r="LK47" s="8"/>
      <c r="LL47" s="8"/>
      <c r="LM47" s="8"/>
      <c r="LN47" s="8"/>
      <c r="LO47" s="8"/>
      <c r="LP47" s="8">
        <v>662450153.88999999</v>
      </c>
      <c r="LQ47" s="8">
        <v>618274192</v>
      </c>
      <c r="LR47" s="8"/>
      <c r="LS47" s="8"/>
      <c r="LT47" s="8"/>
      <c r="LU47" s="8"/>
      <c r="LV47" s="8">
        <v>501695274.30000001</v>
      </c>
      <c r="LW47" s="8"/>
      <c r="LX47" s="8">
        <v>453887008.92000002</v>
      </c>
      <c r="LY47" s="8"/>
      <c r="LZ47" s="8"/>
      <c r="MA47" s="8"/>
      <c r="MB47" s="8"/>
      <c r="MC47" s="8"/>
      <c r="MD47" s="8"/>
      <c r="ME47" s="8"/>
      <c r="MF47" s="8"/>
      <c r="MG47" s="8"/>
      <c r="MH47" s="8"/>
      <c r="MI47" s="8"/>
      <c r="MJ47" s="8"/>
      <c r="MK47" s="8">
        <v>1184422024.6900001</v>
      </c>
      <c r="ML47" s="8">
        <v>293174841.61000001</v>
      </c>
      <c r="MM47" s="8"/>
      <c r="MN47" s="8"/>
      <c r="MO47" s="8"/>
      <c r="MP47" s="8"/>
      <c r="MQ47" s="8"/>
      <c r="MR47" s="8"/>
      <c r="MS47" s="8"/>
      <c r="MT47" s="8"/>
      <c r="MU47" s="8"/>
      <c r="MV47" s="8"/>
      <c r="MW47" s="8"/>
      <c r="MX47" s="8"/>
      <c r="MY47" s="8"/>
      <c r="MZ47" s="8"/>
      <c r="NA47" s="8"/>
      <c r="NB47" s="8"/>
      <c r="NC47" s="8"/>
      <c r="ND47" s="8"/>
      <c r="NE47" s="8"/>
      <c r="NF47" s="8"/>
      <c r="NG47" s="8"/>
      <c r="NH47" s="8"/>
      <c r="NI47" s="8"/>
      <c r="NJ47" s="8"/>
      <c r="NK47" s="8"/>
      <c r="NL47" s="8">
        <v>1067673759.35</v>
      </c>
      <c r="NM47" s="8">
        <v>4082</v>
      </c>
      <c r="NN47" s="8"/>
      <c r="NO47" s="8"/>
      <c r="NP47" s="8"/>
      <c r="NQ47" s="8"/>
      <c r="NR47" s="8"/>
      <c r="NS47" s="8"/>
      <c r="NT47" s="8"/>
      <c r="NU47" s="8"/>
      <c r="NV47" s="8"/>
      <c r="NW47" s="8"/>
      <c r="NX47" s="8"/>
      <c r="NY47" s="8"/>
      <c r="NZ47" s="8"/>
      <c r="OA47" s="8"/>
      <c r="OB47" s="8"/>
      <c r="OC47" s="8"/>
      <c r="OD47" s="8"/>
      <c r="OE47" s="8"/>
      <c r="OF47" s="8"/>
      <c r="OG47" s="8"/>
      <c r="OH47" s="8"/>
      <c r="OI47" s="8"/>
      <c r="OJ47" s="8"/>
      <c r="OK47" s="8"/>
      <c r="OL47" s="8"/>
      <c r="OM47" s="8"/>
      <c r="ON47" s="8"/>
      <c r="OO47" s="8"/>
      <c r="OP47" s="8"/>
      <c r="OQ47" s="5">
        <v>14545773575.280001</v>
      </c>
    </row>
    <row r="48" spans="2:407" x14ac:dyDescent="0.2">
      <c r="B48" t="s">
        <v>96</v>
      </c>
      <c r="C48" t="s">
        <v>44</v>
      </c>
      <c r="D48" s="8">
        <v>1716637.61</v>
      </c>
      <c r="E48" s="8">
        <v>661073.42000000004</v>
      </c>
      <c r="F48" s="8"/>
      <c r="G48" s="8">
        <v>1670876.63</v>
      </c>
      <c r="H48" s="8"/>
      <c r="I48" s="8"/>
      <c r="J48" s="8"/>
      <c r="K48" s="8">
        <v>696124.15</v>
      </c>
      <c r="L48" s="8"/>
      <c r="M48" s="8"/>
      <c r="N48" s="8">
        <v>975967.03</v>
      </c>
      <c r="O48" s="8">
        <v>8710.84</v>
      </c>
      <c r="P48" s="8"/>
      <c r="Q48" s="8">
        <v>1617037.43</v>
      </c>
      <c r="R48" s="8"/>
      <c r="S48" s="8"/>
      <c r="T48" s="8"/>
      <c r="U48" s="8"/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>
        <v>3180846.89</v>
      </c>
      <c r="AN48" s="8">
        <v>1088823.27</v>
      </c>
      <c r="AO48" s="8"/>
      <c r="AP48" s="8"/>
      <c r="AQ48" s="8">
        <v>0.77</v>
      </c>
      <c r="AR48" s="8"/>
      <c r="AS48" s="8"/>
      <c r="AT48" s="8"/>
      <c r="AU48" s="8"/>
      <c r="AV48" s="8"/>
      <c r="AW48" s="8"/>
      <c r="AX48" s="8"/>
      <c r="AY48" s="8"/>
      <c r="AZ48" s="8"/>
      <c r="BA48" s="8">
        <v>2647923.9500000002</v>
      </c>
      <c r="BB48" s="8"/>
      <c r="BC48" s="8"/>
      <c r="BD48" s="8"/>
      <c r="BE48" s="8"/>
      <c r="BF48" s="8"/>
      <c r="BG48" s="8"/>
      <c r="BH48" s="8"/>
      <c r="BI48" s="8">
        <v>4640015.75</v>
      </c>
      <c r="BJ48" s="8"/>
      <c r="BK48" s="8">
        <v>2156342.56</v>
      </c>
      <c r="BL48" s="8"/>
      <c r="BM48" s="8"/>
      <c r="BN48" s="8"/>
      <c r="BO48" s="8">
        <v>3695458.88</v>
      </c>
      <c r="BP48" s="8">
        <v>2711046.01</v>
      </c>
      <c r="BQ48" s="8"/>
      <c r="BR48" s="8"/>
      <c r="BS48" s="8"/>
      <c r="BT48" s="8">
        <v>4916238.7699999996</v>
      </c>
      <c r="BU48" s="8"/>
      <c r="BV48" s="8"/>
      <c r="BW48" s="8"/>
      <c r="BX48" s="8">
        <v>6628639.2400000002</v>
      </c>
      <c r="BY48" s="8"/>
      <c r="BZ48" s="8"/>
      <c r="CA48" s="8"/>
      <c r="CB48" s="8"/>
      <c r="CC48" s="8"/>
      <c r="CD48" s="8"/>
      <c r="CE48" s="8"/>
      <c r="CF48" s="8"/>
      <c r="CG48" s="8"/>
      <c r="CH48" s="8">
        <v>3494525.78</v>
      </c>
      <c r="CI48" s="8">
        <v>875460.66</v>
      </c>
      <c r="CJ48" s="8"/>
      <c r="CK48" s="8"/>
      <c r="CL48" s="8"/>
      <c r="CM48" s="8"/>
      <c r="CN48" s="8"/>
      <c r="CO48" s="8"/>
      <c r="CP48" s="8"/>
      <c r="CQ48" s="8">
        <v>1048086.23</v>
      </c>
      <c r="CR48" s="8"/>
      <c r="CS48" s="8"/>
      <c r="CT48" s="8">
        <v>1997445.09</v>
      </c>
      <c r="CU48" s="8"/>
      <c r="CV48" s="8"/>
      <c r="CW48" s="8"/>
      <c r="CX48" s="8"/>
      <c r="CY48" s="8">
        <v>4147.3599999999997</v>
      </c>
      <c r="CZ48" s="8"/>
      <c r="DA48" s="8"/>
      <c r="DB48" s="8"/>
      <c r="DC48" s="8"/>
      <c r="DD48" s="8">
        <v>514379.49</v>
      </c>
      <c r="DE48" s="8"/>
      <c r="DF48" s="8">
        <v>1594514.75</v>
      </c>
      <c r="DG48" s="8">
        <v>455831.49</v>
      </c>
      <c r="DH48" s="8"/>
      <c r="DI48" s="8"/>
      <c r="DJ48" s="8"/>
      <c r="DK48" s="8"/>
      <c r="DL48" s="8"/>
      <c r="DM48" s="8"/>
      <c r="DN48" s="8"/>
      <c r="DO48" s="8"/>
      <c r="DP48" s="8"/>
      <c r="DQ48" s="8"/>
      <c r="DR48" s="8"/>
      <c r="DS48" s="8"/>
      <c r="DT48" s="8"/>
      <c r="DU48" s="8">
        <v>9167503.8399999999</v>
      </c>
      <c r="DV48" s="8"/>
      <c r="DW48" s="8">
        <v>0.98</v>
      </c>
      <c r="DX48" s="8"/>
      <c r="DY48" s="8">
        <v>8766853.4199999999</v>
      </c>
      <c r="DZ48" s="8"/>
      <c r="EA48" s="8"/>
      <c r="EB48" s="8"/>
      <c r="EC48" s="8"/>
      <c r="ED48" s="8"/>
      <c r="EE48" s="8"/>
      <c r="EF48" s="8"/>
      <c r="EG48" s="8"/>
      <c r="EH48" s="8"/>
      <c r="EI48" s="8">
        <v>8770235.5099999998</v>
      </c>
      <c r="EJ48" s="8"/>
      <c r="EK48" s="8"/>
      <c r="EL48" s="8"/>
      <c r="EM48" s="8"/>
      <c r="EN48" s="8"/>
      <c r="EO48" s="8"/>
      <c r="EP48" s="8"/>
      <c r="EQ48" s="8"/>
      <c r="ER48" s="8"/>
      <c r="ES48" s="8"/>
      <c r="ET48" s="8"/>
      <c r="EU48" s="8"/>
      <c r="EV48" s="8"/>
      <c r="EW48" s="8"/>
      <c r="EX48" s="8"/>
      <c r="EY48" s="8"/>
      <c r="EZ48" s="8">
        <v>8361706.5700000003</v>
      </c>
      <c r="FA48" s="8"/>
      <c r="FB48" s="8"/>
      <c r="FC48" s="8"/>
      <c r="FD48" s="8"/>
      <c r="FE48" s="8"/>
      <c r="FF48" s="8"/>
      <c r="FG48" s="8"/>
      <c r="FH48" s="8"/>
      <c r="FI48" s="8"/>
      <c r="FJ48" s="8"/>
      <c r="FK48" s="8"/>
      <c r="FL48" s="8"/>
      <c r="FM48" s="8">
        <v>9456879.1799999997</v>
      </c>
      <c r="FN48" s="8">
        <v>5858401.6900000004</v>
      </c>
      <c r="FO48" s="8"/>
      <c r="FP48" s="8"/>
      <c r="FQ48" s="8"/>
      <c r="FR48" s="8"/>
      <c r="FS48" s="8"/>
      <c r="FT48" s="8"/>
      <c r="FU48" s="8"/>
      <c r="FV48" s="8">
        <v>2693791.4</v>
      </c>
      <c r="FW48" s="8"/>
      <c r="FX48" s="8"/>
      <c r="FY48" s="8"/>
      <c r="FZ48" s="8"/>
      <c r="GA48" s="8"/>
      <c r="GB48" s="8">
        <v>2008705.21</v>
      </c>
      <c r="GC48" s="8"/>
      <c r="GD48" s="8">
        <v>730628.4</v>
      </c>
      <c r="GE48" s="8"/>
      <c r="GF48" s="8"/>
      <c r="GG48" s="8"/>
      <c r="GH48" s="8"/>
      <c r="GI48" s="8"/>
      <c r="GJ48" s="8"/>
      <c r="GK48" s="8">
        <v>2838066.97</v>
      </c>
      <c r="GL48" s="8"/>
      <c r="GM48" s="8"/>
      <c r="GN48" s="8"/>
      <c r="GO48" s="8">
        <v>1952780.07</v>
      </c>
      <c r="GP48" s="8"/>
      <c r="GQ48" s="8"/>
      <c r="GR48" s="8"/>
      <c r="GS48" s="8"/>
      <c r="GT48" s="8"/>
      <c r="GU48" s="8"/>
      <c r="GV48" s="8"/>
      <c r="GW48" s="8">
        <v>2646987.5</v>
      </c>
      <c r="GX48" s="8">
        <v>4074299.13</v>
      </c>
      <c r="GY48" s="8">
        <v>3164048.91</v>
      </c>
      <c r="GZ48" s="8"/>
      <c r="HA48" s="8"/>
      <c r="HB48" s="8"/>
      <c r="HC48" s="8"/>
      <c r="HD48" s="8"/>
      <c r="HE48" s="8"/>
      <c r="HF48" s="8"/>
      <c r="HG48" s="8"/>
      <c r="HH48" s="8"/>
      <c r="HI48" s="8"/>
      <c r="HJ48" s="8"/>
      <c r="HK48" s="8"/>
      <c r="HL48" s="8"/>
      <c r="HM48" s="8"/>
      <c r="HN48" s="8"/>
      <c r="HO48" s="8"/>
      <c r="HP48" s="8"/>
      <c r="HQ48" s="8"/>
      <c r="HR48" s="8"/>
      <c r="HS48" s="8"/>
      <c r="HT48" s="8"/>
      <c r="HU48" s="8"/>
      <c r="HV48" s="8"/>
      <c r="HW48" s="8"/>
      <c r="HX48" s="8"/>
      <c r="HY48" s="8"/>
      <c r="HZ48" s="8"/>
      <c r="IA48" s="8"/>
      <c r="IB48" s="8"/>
      <c r="IC48" s="8"/>
      <c r="ID48" s="8"/>
      <c r="IE48" s="8"/>
      <c r="IF48" s="8"/>
      <c r="IG48" s="8"/>
      <c r="IH48" s="8"/>
      <c r="II48" s="8"/>
      <c r="IJ48" s="8"/>
      <c r="IK48" s="8"/>
      <c r="IL48" s="8"/>
      <c r="IM48" s="8"/>
      <c r="IN48" s="8"/>
      <c r="IO48" s="8">
        <v>9578580.8900000006</v>
      </c>
      <c r="IP48" s="8"/>
      <c r="IQ48" s="8"/>
      <c r="IR48" s="8">
        <v>1946789.9</v>
      </c>
      <c r="IS48" s="8"/>
      <c r="IT48" s="8"/>
      <c r="IU48" s="8"/>
      <c r="IV48" s="8"/>
      <c r="IW48" s="8"/>
      <c r="IX48" s="8">
        <v>2008527.14</v>
      </c>
      <c r="IY48" s="8">
        <v>7881.6</v>
      </c>
      <c r="IZ48" s="8"/>
      <c r="JA48" s="8"/>
      <c r="JB48" s="8"/>
      <c r="JC48" s="8">
        <v>1312757.69</v>
      </c>
      <c r="JD48" s="8">
        <v>1868808.83</v>
      </c>
      <c r="JE48" s="8"/>
      <c r="JF48" s="8">
        <v>731627.01</v>
      </c>
      <c r="JG48" s="8"/>
      <c r="JH48" s="8"/>
      <c r="JI48" s="8">
        <v>1850794.28</v>
      </c>
      <c r="JJ48" s="8"/>
      <c r="JK48" s="8"/>
      <c r="JL48" s="8"/>
      <c r="JM48" s="8"/>
      <c r="JN48" s="8"/>
      <c r="JO48" s="8">
        <v>3076197.53</v>
      </c>
      <c r="JP48" s="8"/>
      <c r="JQ48" s="8"/>
      <c r="JR48" s="8"/>
      <c r="JS48" s="8"/>
      <c r="JT48" s="8">
        <v>3063674.24</v>
      </c>
      <c r="JU48" s="8"/>
      <c r="JV48" s="8"/>
      <c r="JW48" s="8"/>
      <c r="JX48" s="8"/>
      <c r="JY48" s="8"/>
      <c r="JZ48" s="8">
        <v>1876695.96</v>
      </c>
      <c r="KA48" s="8">
        <v>864.31</v>
      </c>
      <c r="KB48" s="8">
        <v>1963393.57</v>
      </c>
      <c r="KC48" s="8"/>
      <c r="KD48" s="8"/>
      <c r="KE48" s="8"/>
      <c r="KF48" s="8"/>
      <c r="KG48" s="8">
        <v>2892597.01</v>
      </c>
      <c r="KH48" s="8">
        <v>644722.99</v>
      </c>
      <c r="KI48" s="8">
        <v>1128497.28</v>
      </c>
      <c r="KJ48" s="8"/>
      <c r="KK48" s="8"/>
      <c r="KL48" s="8">
        <v>1736040.55</v>
      </c>
      <c r="KM48" s="8">
        <v>401052.7</v>
      </c>
      <c r="KN48" s="8"/>
      <c r="KO48" s="8"/>
      <c r="KP48" s="8"/>
      <c r="KQ48" s="8"/>
      <c r="KR48" s="8"/>
      <c r="KS48" s="8"/>
      <c r="KT48" s="8"/>
      <c r="KU48" s="8"/>
      <c r="KV48" s="8"/>
      <c r="KW48" s="8"/>
      <c r="KX48" s="8"/>
      <c r="KY48" s="8"/>
      <c r="KZ48" s="8"/>
      <c r="LA48" s="8">
        <v>22589973.93</v>
      </c>
      <c r="LB48" s="8"/>
      <c r="LC48" s="8">
        <v>12432061.98</v>
      </c>
      <c r="LD48" s="8"/>
      <c r="LE48" s="8"/>
      <c r="LF48" s="8"/>
      <c r="LG48" s="8">
        <v>38094045.509999998</v>
      </c>
      <c r="LH48" s="8"/>
      <c r="LI48" s="8"/>
      <c r="LJ48" s="8"/>
      <c r="LK48" s="8"/>
      <c r="LL48" s="8"/>
      <c r="LM48" s="8"/>
      <c r="LN48" s="8"/>
      <c r="LO48" s="8"/>
      <c r="LP48" s="8"/>
      <c r="LQ48" s="8"/>
      <c r="LR48" s="8"/>
      <c r="LS48" s="8"/>
      <c r="LT48" s="8"/>
      <c r="LU48" s="8"/>
      <c r="LV48" s="8"/>
      <c r="LW48" s="8"/>
      <c r="LX48" s="8"/>
      <c r="LY48" s="8"/>
      <c r="LZ48" s="8"/>
      <c r="MA48" s="8"/>
      <c r="MB48" s="8"/>
      <c r="MC48" s="8">
        <v>17554389.350000001</v>
      </c>
      <c r="MD48" s="8"/>
      <c r="ME48" s="8">
        <v>7613911.9500000002</v>
      </c>
      <c r="MF48" s="8"/>
      <c r="MG48" s="8"/>
      <c r="MH48" s="8">
        <v>6294627.9400000004</v>
      </c>
      <c r="MI48" s="8"/>
      <c r="MJ48" s="8"/>
      <c r="MK48" s="8"/>
      <c r="ML48" s="8"/>
      <c r="MM48" s="8"/>
      <c r="MN48" s="8"/>
      <c r="MO48" s="8"/>
      <c r="MP48" s="8"/>
      <c r="MQ48" s="8"/>
      <c r="MR48" s="8">
        <v>7080402.0099999998</v>
      </c>
      <c r="MS48" s="8">
        <v>3234379.57</v>
      </c>
      <c r="MT48" s="8"/>
      <c r="MU48" s="8">
        <v>2065315.06</v>
      </c>
      <c r="MV48" s="8"/>
      <c r="MW48" s="8"/>
      <c r="MX48" s="8"/>
      <c r="MY48" s="8"/>
      <c r="MZ48" s="8"/>
      <c r="NA48" s="8"/>
      <c r="NB48" s="8"/>
      <c r="NC48" s="8"/>
      <c r="ND48" s="8"/>
      <c r="NE48" s="8"/>
      <c r="NF48" s="8"/>
      <c r="NG48" s="8"/>
      <c r="NH48" s="8"/>
      <c r="NI48" s="8"/>
      <c r="NJ48" s="8"/>
      <c r="NK48" s="8"/>
      <c r="NL48" s="8"/>
      <c r="NM48" s="8">
        <v>10047193.779999999</v>
      </c>
      <c r="NN48" s="8">
        <v>7215798.46</v>
      </c>
      <c r="NO48" s="8"/>
      <c r="NP48" s="8"/>
      <c r="NQ48" s="8"/>
      <c r="NR48" s="8"/>
      <c r="NS48" s="8"/>
      <c r="NT48" s="8"/>
      <c r="NU48" s="8"/>
      <c r="NV48" s="8"/>
      <c r="NW48" s="8"/>
      <c r="NX48" s="8"/>
      <c r="NY48" s="8"/>
      <c r="NZ48" s="8"/>
      <c r="OA48" s="8"/>
      <c r="OB48" s="8">
        <v>13181712.640000001</v>
      </c>
      <c r="OC48" s="8"/>
      <c r="OD48" s="8"/>
      <c r="OE48" s="8"/>
      <c r="OF48" s="8"/>
      <c r="OG48" s="8">
        <v>1820347.03</v>
      </c>
      <c r="OH48" s="8"/>
      <c r="OI48" s="8"/>
      <c r="OJ48" s="8"/>
      <c r="OK48" s="8"/>
      <c r="OL48" s="8"/>
      <c r="OM48" s="8"/>
      <c r="ON48" s="8"/>
      <c r="OO48" s="8">
        <v>5402085.21</v>
      </c>
      <c r="OP48" s="8"/>
      <c r="OQ48" s="5">
        <v>310202790.7299999</v>
      </c>
    </row>
    <row r="49" spans="2:407" x14ac:dyDescent="0.2">
      <c r="B49" t="s">
        <v>97</v>
      </c>
      <c r="C49" t="s">
        <v>42</v>
      </c>
      <c r="D49" s="8">
        <v>806864.33</v>
      </c>
      <c r="E49" s="8"/>
      <c r="F49" s="8"/>
      <c r="G49" s="8"/>
      <c r="H49" s="8">
        <v>1329717.48</v>
      </c>
      <c r="I49" s="8"/>
      <c r="J49" s="8">
        <v>2138960.63</v>
      </c>
      <c r="K49" s="8"/>
      <c r="L49" s="8"/>
      <c r="M49" s="8"/>
      <c r="N49" s="8"/>
      <c r="O49" s="8"/>
      <c r="P49" s="8">
        <v>825.85</v>
      </c>
      <c r="Q49" s="8"/>
      <c r="R49" s="8"/>
      <c r="S49" s="8">
        <v>1260769.1399999999</v>
      </c>
      <c r="T49" s="8">
        <v>926190.94</v>
      </c>
      <c r="U49" s="8"/>
      <c r="V49" s="8">
        <v>526994.14</v>
      </c>
      <c r="W49" s="8">
        <v>544893.93000000005</v>
      </c>
      <c r="X49" s="8"/>
      <c r="Y49" s="8"/>
      <c r="Z49" s="8">
        <v>1211248.02</v>
      </c>
      <c r="AA49" s="8">
        <v>1312006.3</v>
      </c>
      <c r="AB49" s="8"/>
      <c r="AC49" s="8">
        <v>1184070.78</v>
      </c>
      <c r="AD49" s="8"/>
      <c r="AE49" s="8"/>
      <c r="AF49" s="8"/>
      <c r="AG49" s="8"/>
      <c r="AH49" s="8">
        <v>2707.82</v>
      </c>
      <c r="AI49" s="8">
        <v>751000.33</v>
      </c>
      <c r="AJ49" s="8"/>
      <c r="AK49" s="8">
        <v>437428.4</v>
      </c>
      <c r="AL49" s="8">
        <v>1434076.46</v>
      </c>
      <c r="AM49" s="8"/>
      <c r="AN49" s="8"/>
      <c r="AO49" s="8"/>
      <c r="AP49" s="8">
        <v>832746.2</v>
      </c>
      <c r="AQ49" s="8"/>
      <c r="AR49" s="8">
        <v>1232405.82</v>
      </c>
      <c r="AS49" s="8"/>
      <c r="AT49" s="8"/>
      <c r="AU49" s="8"/>
      <c r="AV49" s="8">
        <v>12713.77</v>
      </c>
      <c r="AW49" s="8"/>
      <c r="AX49" s="8"/>
      <c r="AY49" s="8">
        <v>0.17</v>
      </c>
      <c r="AZ49" s="8"/>
      <c r="BA49" s="8"/>
      <c r="BB49" s="8"/>
      <c r="BC49" s="8"/>
      <c r="BD49" s="8"/>
      <c r="BE49" s="8">
        <v>1594462.67</v>
      </c>
      <c r="BF49" s="8"/>
      <c r="BG49" s="8">
        <v>1053.3399999999999</v>
      </c>
      <c r="BH49" s="8"/>
      <c r="BI49" s="8"/>
      <c r="BJ49" s="8">
        <v>2284257.2799999998</v>
      </c>
      <c r="BK49" s="8"/>
      <c r="BL49" s="8"/>
      <c r="BM49" s="8"/>
      <c r="BN49" s="8"/>
      <c r="BO49" s="8"/>
      <c r="BP49" s="8"/>
      <c r="BQ49" s="8"/>
      <c r="BR49" s="8"/>
      <c r="BS49" s="8">
        <v>4471956.3099999996</v>
      </c>
      <c r="BT49" s="8"/>
      <c r="BU49" s="8">
        <v>8723733.3699999992</v>
      </c>
      <c r="BV49" s="8"/>
      <c r="BW49" s="8"/>
      <c r="BX49" s="8"/>
      <c r="BY49" s="8"/>
      <c r="BZ49" s="8"/>
      <c r="CA49" s="8"/>
      <c r="CB49" s="8">
        <v>1780193.95</v>
      </c>
      <c r="CC49" s="8"/>
      <c r="CD49" s="8"/>
      <c r="CE49" s="8"/>
      <c r="CF49" s="8"/>
      <c r="CG49" s="8"/>
      <c r="CH49" s="8"/>
      <c r="CI49" s="8"/>
      <c r="CJ49" s="8">
        <v>6290.25</v>
      </c>
      <c r="CK49" s="8">
        <v>14638.88</v>
      </c>
      <c r="CL49" s="8"/>
      <c r="CM49" s="8"/>
      <c r="CN49" s="8">
        <v>6382708.7599999998</v>
      </c>
      <c r="CO49" s="8">
        <v>3580419.91</v>
      </c>
      <c r="CP49" s="8"/>
      <c r="CQ49" s="8"/>
      <c r="CR49" s="8"/>
      <c r="CS49" s="8"/>
      <c r="CT49" s="8"/>
      <c r="CU49" s="8"/>
      <c r="CV49" s="8"/>
      <c r="CW49" s="8"/>
      <c r="CX49" s="8"/>
      <c r="CY49" s="8"/>
      <c r="CZ49" s="8"/>
      <c r="DA49" s="8"/>
      <c r="DB49" s="8"/>
      <c r="DC49" s="8"/>
      <c r="DD49" s="8"/>
      <c r="DE49" s="8">
        <v>2058527.88</v>
      </c>
      <c r="DF49" s="8"/>
      <c r="DG49" s="8"/>
      <c r="DH49" s="8">
        <v>3374924.09</v>
      </c>
      <c r="DI49" s="8"/>
      <c r="DJ49" s="8">
        <v>0.02</v>
      </c>
      <c r="DK49" s="8">
        <v>1591822.09</v>
      </c>
      <c r="DL49" s="8"/>
      <c r="DM49" s="8"/>
      <c r="DN49" s="8">
        <v>1692.97</v>
      </c>
      <c r="DO49" s="8">
        <v>947090.66</v>
      </c>
      <c r="DP49" s="8"/>
      <c r="DQ49" s="8"/>
      <c r="DR49" s="8">
        <v>3022593.15</v>
      </c>
      <c r="DS49" s="8"/>
      <c r="DT49" s="8"/>
      <c r="DU49" s="8"/>
      <c r="DV49" s="8"/>
      <c r="DW49" s="8"/>
      <c r="DX49" s="8">
        <v>4653075.6399999997</v>
      </c>
      <c r="DY49" s="8">
        <v>1849854.13</v>
      </c>
      <c r="DZ49" s="8"/>
      <c r="EA49" s="8"/>
      <c r="EB49" s="8"/>
      <c r="EC49" s="8"/>
      <c r="ED49" s="8"/>
      <c r="EE49" s="8"/>
      <c r="EF49" s="8"/>
      <c r="EG49" s="8"/>
      <c r="EH49" s="8"/>
      <c r="EI49" s="8"/>
      <c r="EJ49" s="8">
        <v>5830537.6500000004</v>
      </c>
      <c r="EK49" s="8"/>
      <c r="EL49" s="8"/>
      <c r="EM49" s="8"/>
      <c r="EN49" s="8"/>
      <c r="EO49" s="8"/>
      <c r="EP49" s="8"/>
      <c r="EQ49" s="8"/>
      <c r="ER49" s="8"/>
      <c r="ES49" s="8"/>
      <c r="ET49" s="8"/>
      <c r="EU49" s="8"/>
      <c r="EV49" s="8"/>
      <c r="EW49" s="8"/>
      <c r="EX49" s="8"/>
      <c r="EY49" s="8"/>
      <c r="EZ49" s="8">
        <v>7647052.71</v>
      </c>
      <c r="FA49" s="8"/>
      <c r="FB49" s="8"/>
      <c r="FC49" s="8"/>
      <c r="FD49" s="8"/>
      <c r="FE49" s="8"/>
      <c r="FF49" s="8"/>
      <c r="FG49" s="8"/>
      <c r="FH49" s="8"/>
      <c r="FI49" s="8"/>
      <c r="FJ49" s="8"/>
      <c r="FK49" s="8"/>
      <c r="FL49" s="8"/>
      <c r="FM49" s="8"/>
      <c r="FN49" s="8"/>
      <c r="FO49" s="8"/>
      <c r="FP49" s="8">
        <v>15066300.25</v>
      </c>
      <c r="FQ49" s="8"/>
      <c r="FR49" s="8"/>
      <c r="FS49" s="8"/>
      <c r="FT49" s="8">
        <v>3366429.75</v>
      </c>
      <c r="FU49" s="8"/>
      <c r="FV49" s="8">
        <v>1772815.73</v>
      </c>
      <c r="FW49" s="8"/>
      <c r="FX49" s="8"/>
      <c r="FY49" s="8"/>
      <c r="FZ49" s="8"/>
      <c r="GA49" s="8"/>
      <c r="GB49" s="8"/>
      <c r="GC49" s="8"/>
      <c r="GD49" s="8"/>
      <c r="GE49" s="8"/>
      <c r="GF49" s="8"/>
      <c r="GG49" s="8"/>
      <c r="GH49" s="8"/>
      <c r="GI49" s="8"/>
      <c r="GJ49" s="8"/>
      <c r="GK49" s="8">
        <v>8086.39</v>
      </c>
      <c r="GL49" s="8"/>
      <c r="GM49" s="8"/>
      <c r="GN49" s="8">
        <v>5305514.1100000003</v>
      </c>
      <c r="GO49" s="8">
        <v>7185244.4900000002</v>
      </c>
      <c r="GP49" s="8"/>
      <c r="GQ49" s="8"/>
      <c r="GR49" s="8"/>
      <c r="GS49" s="8"/>
      <c r="GT49" s="8">
        <v>8345600.4800000004</v>
      </c>
      <c r="GU49" s="8"/>
      <c r="GV49" s="8">
        <v>1478407.41</v>
      </c>
      <c r="GW49" s="8"/>
      <c r="GX49" s="8"/>
      <c r="GY49" s="8"/>
      <c r="GZ49" s="8"/>
      <c r="HA49" s="8"/>
      <c r="HB49" s="8"/>
      <c r="HC49" s="8">
        <v>10112874.039999999</v>
      </c>
      <c r="HD49" s="8">
        <v>3931429.82</v>
      </c>
      <c r="HE49" s="8"/>
      <c r="HF49" s="8"/>
      <c r="HG49" s="8"/>
      <c r="HH49" s="8"/>
      <c r="HI49" s="8"/>
      <c r="HJ49" s="8"/>
      <c r="HK49" s="8">
        <v>4588799.91</v>
      </c>
      <c r="HL49" s="8"/>
      <c r="HM49" s="8"/>
      <c r="HN49" s="8"/>
      <c r="HO49" s="8">
        <v>313.85000000000002</v>
      </c>
      <c r="HP49" s="8"/>
      <c r="HQ49" s="8"/>
      <c r="HR49" s="8"/>
      <c r="HS49" s="8"/>
      <c r="HT49" s="8"/>
      <c r="HU49" s="8"/>
      <c r="HV49" s="8"/>
      <c r="HW49" s="8"/>
      <c r="HX49" s="8"/>
      <c r="HY49" s="8"/>
      <c r="HZ49" s="8"/>
      <c r="IA49" s="8"/>
      <c r="IB49" s="8"/>
      <c r="IC49" s="8"/>
      <c r="ID49" s="8"/>
      <c r="IE49" s="8"/>
      <c r="IF49" s="8"/>
      <c r="IG49" s="8"/>
      <c r="IH49" s="8"/>
      <c r="II49" s="8"/>
      <c r="IJ49" s="8"/>
      <c r="IK49" s="8"/>
      <c r="IL49" s="8"/>
      <c r="IM49" s="8">
        <v>3034538.5</v>
      </c>
      <c r="IN49" s="8">
        <v>1394496.33</v>
      </c>
      <c r="IO49" s="8"/>
      <c r="IP49" s="8">
        <v>3607432.93</v>
      </c>
      <c r="IQ49" s="8"/>
      <c r="IR49" s="8"/>
      <c r="IS49" s="8"/>
      <c r="IT49" s="8"/>
      <c r="IU49" s="8"/>
      <c r="IV49" s="8">
        <v>3513214.51</v>
      </c>
      <c r="IW49" s="8"/>
      <c r="IX49" s="8"/>
      <c r="IY49" s="8"/>
      <c r="IZ49" s="8"/>
      <c r="JA49" s="8">
        <v>2413504.61</v>
      </c>
      <c r="JB49" s="8"/>
      <c r="JC49" s="8"/>
      <c r="JD49" s="8"/>
      <c r="JE49" s="8"/>
      <c r="JF49" s="8"/>
      <c r="JG49" s="8"/>
      <c r="JH49" s="8">
        <v>1884750.28</v>
      </c>
      <c r="JI49" s="8"/>
      <c r="JJ49" s="8"/>
      <c r="JK49" s="8">
        <v>2157.92</v>
      </c>
      <c r="JL49" s="8"/>
      <c r="JM49" s="8"/>
      <c r="JN49" s="8"/>
      <c r="JO49" s="8"/>
      <c r="JP49" s="8"/>
      <c r="JQ49" s="8"/>
      <c r="JR49" s="8"/>
      <c r="JS49" s="8">
        <v>6850097.3499999996</v>
      </c>
      <c r="JT49" s="8"/>
      <c r="JU49" s="8"/>
      <c r="JV49" s="8"/>
      <c r="JW49" s="8"/>
      <c r="JX49" s="8"/>
      <c r="JY49" s="8">
        <v>1468739.51</v>
      </c>
      <c r="JZ49" s="8">
        <v>819576.72</v>
      </c>
      <c r="KA49" s="8"/>
      <c r="KB49" s="8">
        <v>1186166.23</v>
      </c>
      <c r="KC49" s="8"/>
      <c r="KD49" s="8">
        <v>762283</v>
      </c>
      <c r="KE49" s="8"/>
      <c r="KF49" s="8"/>
      <c r="KG49" s="8"/>
      <c r="KH49" s="8">
        <v>1535512.11</v>
      </c>
      <c r="KI49" s="8">
        <v>950117.8</v>
      </c>
      <c r="KJ49" s="8"/>
      <c r="KK49" s="8"/>
      <c r="KL49" s="8">
        <v>608363.01</v>
      </c>
      <c r="KM49" s="8">
        <v>955.73</v>
      </c>
      <c r="KN49" s="8"/>
      <c r="KO49" s="8"/>
      <c r="KP49" s="8"/>
      <c r="KQ49" s="8"/>
      <c r="KR49" s="8"/>
      <c r="KS49" s="8"/>
      <c r="KT49" s="8"/>
      <c r="KU49" s="8"/>
      <c r="KV49" s="8"/>
      <c r="KW49" s="8"/>
      <c r="KX49" s="8"/>
      <c r="KY49" s="8">
        <v>5295.51</v>
      </c>
      <c r="KZ49" s="8"/>
      <c r="LA49" s="8"/>
      <c r="LB49" s="8"/>
      <c r="LC49" s="8"/>
      <c r="LD49" s="8"/>
      <c r="LE49" s="8"/>
      <c r="LF49" s="8"/>
      <c r="LG49" s="8"/>
      <c r="LH49" s="8"/>
      <c r="LI49" s="8"/>
      <c r="LJ49" s="8"/>
      <c r="LK49" s="8"/>
      <c r="LL49" s="8">
        <v>12008068.85</v>
      </c>
      <c r="LM49" s="8"/>
      <c r="LN49" s="8"/>
      <c r="LO49" s="8">
        <v>9336144.4700000007</v>
      </c>
      <c r="LP49" s="8"/>
      <c r="LQ49" s="8"/>
      <c r="LR49" s="8"/>
      <c r="LS49" s="8"/>
      <c r="LT49" s="8"/>
      <c r="LU49" s="8"/>
      <c r="LV49" s="8">
        <v>18578947.699999999</v>
      </c>
      <c r="LW49" s="8"/>
      <c r="LX49" s="8">
        <v>14052967.35</v>
      </c>
      <c r="LY49" s="8"/>
      <c r="LZ49" s="8"/>
      <c r="MA49" s="8"/>
      <c r="MB49" s="8"/>
      <c r="MC49" s="8"/>
      <c r="MD49" s="8"/>
      <c r="ME49" s="8"/>
      <c r="MF49" s="8"/>
      <c r="MG49" s="8"/>
      <c r="MH49" s="8"/>
      <c r="MI49" s="8"/>
      <c r="MJ49" s="8">
        <v>4194814.4400000004</v>
      </c>
      <c r="MK49" s="8"/>
      <c r="ML49" s="8"/>
      <c r="MM49" s="8">
        <v>4344111.0599999996</v>
      </c>
      <c r="MN49" s="8"/>
      <c r="MO49" s="8"/>
      <c r="MP49" s="8"/>
      <c r="MQ49" s="8">
        <v>10289904.82</v>
      </c>
      <c r="MR49" s="8"/>
      <c r="MS49" s="8">
        <v>11332878.67</v>
      </c>
      <c r="MT49" s="8"/>
      <c r="MU49" s="8">
        <v>5169327.0199999996</v>
      </c>
      <c r="MV49" s="8"/>
      <c r="MW49" s="8"/>
      <c r="MX49" s="8"/>
      <c r="MY49" s="8"/>
      <c r="MZ49" s="8"/>
      <c r="NA49" s="8"/>
      <c r="NB49" s="8"/>
      <c r="NC49" s="8"/>
      <c r="ND49" s="8"/>
      <c r="NE49" s="8"/>
      <c r="NF49" s="8"/>
      <c r="NG49" s="8">
        <v>8823701.0999999996</v>
      </c>
      <c r="NH49" s="8"/>
      <c r="NI49" s="8"/>
      <c r="NJ49" s="8"/>
      <c r="NK49" s="8"/>
      <c r="NL49" s="8"/>
      <c r="NM49" s="8"/>
      <c r="NN49" s="8"/>
      <c r="NO49" s="8"/>
      <c r="NP49" s="8"/>
      <c r="NQ49" s="8">
        <v>0.49</v>
      </c>
      <c r="NR49" s="8"/>
      <c r="NS49" s="8">
        <v>6861406.6200000001</v>
      </c>
      <c r="NT49" s="8"/>
      <c r="NU49" s="8"/>
      <c r="NV49" s="8"/>
      <c r="NW49" s="8"/>
      <c r="NX49" s="8">
        <v>10694878.810000001</v>
      </c>
      <c r="NY49" s="8"/>
      <c r="NZ49" s="8"/>
      <c r="OA49" s="8"/>
      <c r="OB49" s="8"/>
      <c r="OC49" s="8"/>
      <c r="OD49" s="8"/>
      <c r="OE49" s="8">
        <v>3689980</v>
      </c>
      <c r="OF49" s="8"/>
      <c r="OG49" s="8"/>
      <c r="OH49" s="8"/>
      <c r="OI49" s="8"/>
      <c r="OJ49" s="8"/>
      <c r="OK49" s="8"/>
      <c r="OL49" s="8"/>
      <c r="OM49" s="8"/>
      <c r="ON49" s="8"/>
      <c r="OO49" s="8"/>
      <c r="OP49" s="8"/>
      <c r="OQ49" s="5">
        <v>286338655.89999992</v>
      </c>
    </row>
    <row r="50" spans="2:407" x14ac:dyDescent="0.2">
      <c r="B50" t="s">
        <v>62</v>
      </c>
      <c r="D50" s="5">
        <v>58919634.959999993</v>
      </c>
      <c r="E50" s="5">
        <v>46102945.729999997</v>
      </c>
      <c r="F50" s="5">
        <v>81105458.089999989</v>
      </c>
      <c r="G50" s="5">
        <v>43020408.979999997</v>
      </c>
      <c r="H50" s="5">
        <v>202278026.47999999</v>
      </c>
      <c r="I50" s="5">
        <v>25211092.16</v>
      </c>
      <c r="J50" s="5">
        <v>36913205.850000009</v>
      </c>
      <c r="K50" s="5">
        <v>43591776.599999987</v>
      </c>
      <c r="L50" s="5">
        <v>125290063.35999998</v>
      </c>
      <c r="M50" s="5">
        <v>23505912.549999997</v>
      </c>
      <c r="N50" s="5">
        <v>48249424.020000003</v>
      </c>
      <c r="O50" s="5">
        <v>127011942.34</v>
      </c>
      <c r="P50" s="5">
        <v>78256343.849999994</v>
      </c>
      <c r="Q50" s="5">
        <v>25919367.18</v>
      </c>
      <c r="R50" s="5">
        <v>25520155.279999994</v>
      </c>
      <c r="S50" s="5">
        <v>165243250.51999998</v>
      </c>
      <c r="T50" s="5">
        <v>25663438.420000002</v>
      </c>
      <c r="U50" s="5">
        <v>38166555.109999999</v>
      </c>
      <c r="V50" s="5">
        <v>410582024.81999999</v>
      </c>
      <c r="W50" s="5">
        <v>57872470.059999995</v>
      </c>
      <c r="X50" s="5">
        <v>64232741.530000001</v>
      </c>
      <c r="Y50" s="5">
        <v>9380528.0700000022</v>
      </c>
      <c r="Z50" s="5">
        <v>61177204.420000002</v>
      </c>
      <c r="AA50" s="5">
        <v>38789224.439999998</v>
      </c>
      <c r="AB50" s="5">
        <v>44828760.990000002</v>
      </c>
      <c r="AC50" s="5">
        <v>23805130.830000002</v>
      </c>
      <c r="AD50" s="5">
        <v>30866417.890000001</v>
      </c>
      <c r="AE50" s="5">
        <v>110253099.34000002</v>
      </c>
      <c r="AF50" s="5">
        <v>14787170.860000001</v>
      </c>
      <c r="AG50" s="5">
        <v>31275430.230000004</v>
      </c>
      <c r="AH50" s="5">
        <v>13889298.440000001</v>
      </c>
      <c r="AI50" s="5">
        <v>29438717.309999995</v>
      </c>
      <c r="AJ50" s="5">
        <v>46494163.879999995</v>
      </c>
      <c r="AK50" s="5">
        <v>43691456.399999999</v>
      </c>
      <c r="AL50" s="5">
        <v>71871493.399999991</v>
      </c>
      <c r="AM50" s="5">
        <v>15458500.840000002</v>
      </c>
      <c r="AN50" s="5">
        <v>38544353.439999998</v>
      </c>
      <c r="AO50" s="5">
        <v>40845997.899999999</v>
      </c>
      <c r="AP50" s="5">
        <v>49494476.510000005</v>
      </c>
      <c r="AQ50" s="5">
        <v>16524024.850000001</v>
      </c>
      <c r="AR50" s="5">
        <v>42817559.600000001</v>
      </c>
      <c r="AS50" s="5">
        <v>12890271.209999997</v>
      </c>
      <c r="AT50" s="5">
        <v>97099770.479999989</v>
      </c>
      <c r="AU50" s="5">
        <v>33245288.48</v>
      </c>
      <c r="AV50" s="5">
        <v>83532328.609999999</v>
      </c>
      <c r="AW50" s="5">
        <v>25599825.18</v>
      </c>
      <c r="AX50" s="5">
        <v>41811373.609999999</v>
      </c>
      <c r="AY50" s="5">
        <v>37688388.390000001</v>
      </c>
      <c r="AZ50" s="5">
        <v>31835391.489999998</v>
      </c>
      <c r="BA50" s="5">
        <v>265159340.21999997</v>
      </c>
      <c r="BB50" s="5">
        <v>159830892.67999998</v>
      </c>
      <c r="BC50" s="5">
        <v>9362501.1799999997</v>
      </c>
      <c r="BD50" s="5">
        <v>152567440.97999999</v>
      </c>
      <c r="BE50" s="5">
        <v>358448942.13000005</v>
      </c>
      <c r="BF50" s="5">
        <v>34714708.560000002</v>
      </c>
      <c r="BG50" s="5">
        <v>97698542.120000005</v>
      </c>
      <c r="BH50" s="5">
        <v>56465740.519999996</v>
      </c>
      <c r="BI50" s="5">
        <v>189928242.20999998</v>
      </c>
      <c r="BJ50" s="5">
        <v>137211266.96000001</v>
      </c>
      <c r="BK50" s="5">
        <v>31176907.720000003</v>
      </c>
      <c r="BL50" s="5">
        <v>208279864.44</v>
      </c>
      <c r="BM50" s="5">
        <v>29365784.760000002</v>
      </c>
      <c r="BN50" s="5">
        <v>42932241.900000006</v>
      </c>
      <c r="BO50" s="5">
        <v>109622362.22</v>
      </c>
      <c r="BP50" s="5">
        <v>136792050.75</v>
      </c>
      <c r="BQ50" s="5">
        <v>53309177.75</v>
      </c>
      <c r="BR50" s="5">
        <v>124804792.58000001</v>
      </c>
      <c r="BS50" s="5">
        <v>75853240.060000002</v>
      </c>
      <c r="BT50" s="5">
        <v>32952587.649999999</v>
      </c>
      <c r="BU50" s="5">
        <v>18587545.369999997</v>
      </c>
      <c r="BV50" s="5">
        <v>69617703.410000011</v>
      </c>
      <c r="BW50" s="5">
        <v>137943409.25</v>
      </c>
      <c r="BX50" s="5">
        <v>70345474.239999995</v>
      </c>
      <c r="BY50" s="5">
        <v>106223639.91999999</v>
      </c>
      <c r="BZ50" s="5">
        <v>77823033.769999996</v>
      </c>
      <c r="CA50" s="5">
        <v>366462496.25999999</v>
      </c>
      <c r="CB50" s="5">
        <v>45019657.530000001</v>
      </c>
      <c r="CC50" s="5">
        <v>4043433.0599999996</v>
      </c>
      <c r="CD50" s="5">
        <v>91759704.650000006</v>
      </c>
      <c r="CE50" s="5">
        <v>10888651.869999999</v>
      </c>
      <c r="CF50" s="5">
        <v>161571318.30000001</v>
      </c>
      <c r="CG50" s="5">
        <v>50752713.159999996</v>
      </c>
      <c r="CH50" s="5">
        <v>7825221.1899999995</v>
      </c>
      <c r="CI50" s="5">
        <v>72831946.150000006</v>
      </c>
      <c r="CJ50" s="5">
        <v>28357880.490000002</v>
      </c>
      <c r="CK50" s="5">
        <v>44996697.870000005</v>
      </c>
      <c r="CL50" s="5">
        <v>47701539.93</v>
      </c>
      <c r="CM50" s="5">
        <v>344167322.59999996</v>
      </c>
      <c r="CN50" s="5">
        <v>75666926.150000006</v>
      </c>
      <c r="CO50" s="5">
        <v>75290837.359999999</v>
      </c>
      <c r="CP50" s="5">
        <v>231782399.88999999</v>
      </c>
      <c r="CQ50" s="5">
        <v>49449239.839999996</v>
      </c>
      <c r="CR50" s="5">
        <v>28821192.799999997</v>
      </c>
      <c r="CS50" s="5">
        <v>534019663.53999996</v>
      </c>
      <c r="CT50" s="5">
        <v>108677871.2</v>
      </c>
      <c r="CU50" s="5">
        <v>114686078.19</v>
      </c>
      <c r="CV50" s="5">
        <v>54612921.739999995</v>
      </c>
      <c r="CW50" s="5">
        <v>15996837.939999999</v>
      </c>
      <c r="CX50" s="5">
        <v>24655718.189999998</v>
      </c>
      <c r="CY50" s="5">
        <v>11516862.809999999</v>
      </c>
      <c r="CZ50" s="5">
        <v>125032583.14</v>
      </c>
      <c r="DA50" s="5">
        <v>31189358.329999998</v>
      </c>
      <c r="DB50" s="5">
        <v>25928065.98</v>
      </c>
      <c r="DC50" s="5">
        <v>114220544.08999999</v>
      </c>
      <c r="DD50" s="5">
        <v>8220218.2599999998</v>
      </c>
      <c r="DE50" s="5">
        <v>88307423.539999992</v>
      </c>
      <c r="DF50" s="5">
        <v>330604089.56</v>
      </c>
      <c r="DG50" s="5">
        <v>249712088.25</v>
      </c>
      <c r="DH50" s="5">
        <v>99104582.969999999</v>
      </c>
      <c r="DI50" s="5">
        <v>301065303.47000003</v>
      </c>
      <c r="DJ50" s="5">
        <v>92622092.129999995</v>
      </c>
      <c r="DK50" s="5">
        <v>40427602.810000002</v>
      </c>
      <c r="DL50" s="5">
        <v>53691192.479999997</v>
      </c>
      <c r="DM50" s="5">
        <v>35658300.789999999</v>
      </c>
      <c r="DN50" s="5">
        <v>38813779.950000003</v>
      </c>
      <c r="DO50" s="5">
        <v>95875950.699999988</v>
      </c>
      <c r="DP50" s="5">
        <v>120491479.67999999</v>
      </c>
      <c r="DQ50" s="5">
        <v>132379501.08</v>
      </c>
      <c r="DR50" s="5">
        <v>36408107.600000001</v>
      </c>
      <c r="DS50" s="5">
        <v>157522553.39999998</v>
      </c>
      <c r="DT50" s="5">
        <v>147057284.53</v>
      </c>
      <c r="DU50" s="5">
        <v>51450989.489999995</v>
      </c>
      <c r="DV50" s="5">
        <v>65360713.480000004</v>
      </c>
      <c r="DW50" s="5">
        <v>174834872.54999998</v>
      </c>
      <c r="DX50" s="5">
        <v>72794115.390000001</v>
      </c>
      <c r="DY50" s="5">
        <v>228246048.36999997</v>
      </c>
      <c r="DZ50" s="5">
        <v>59407093.199999996</v>
      </c>
      <c r="EA50" s="5">
        <v>88831179.579999998</v>
      </c>
      <c r="EB50" s="5">
        <v>119392257.82000001</v>
      </c>
      <c r="EC50" s="5">
        <v>418.35</v>
      </c>
      <c r="ED50" s="5">
        <v>75786620.74000001</v>
      </c>
      <c r="EE50" s="5">
        <v>45288719.979999997</v>
      </c>
      <c r="EF50" s="5">
        <v>234799765.81999999</v>
      </c>
      <c r="EG50" s="5">
        <v>107308411.98</v>
      </c>
      <c r="EH50" s="5">
        <v>229622674.83999997</v>
      </c>
      <c r="EI50" s="5">
        <v>99753267.399999991</v>
      </c>
      <c r="EJ50" s="5">
        <v>92469535.670000002</v>
      </c>
      <c r="EK50" s="5">
        <v>72881695.020000011</v>
      </c>
      <c r="EL50" s="5">
        <v>53172731.430000007</v>
      </c>
      <c r="EM50" s="5">
        <v>207466255.37</v>
      </c>
      <c r="EN50" s="5">
        <v>338908551.56999999</v>
      </c>
      <c r="EO50" s="5">
        <v>27710870.809999999</v>
      </c>
      <c r="EP50" s="5">
        <v>121186796.47999999</v>
      </c>
      <c r="EQ50" s="5">
        <v>156677425.76999998</v>
      </c>
      <c r="ER50" s="5">
        <v>43535226.300000004</v>
      </c>
      <c r="ES50" s="5">
        <v>124009554.73999999</v>
      </c>
      <c r="ET50" s="5">
        <v>84427953.319999993</v>
      </c>
      <c r="EU50" s="5">
        <v>153635525.63999999</v>
      </c>
      <c r="EV50" s="5">
        <v>24672626.43</v>
      </c>
      <c r="EW50" s="5">
        <v>138405946.53999999</v>
      </c>
      <c r="EX50" s="5">
        <v>221840083.45000002</v>
      </c>
      <c r="EY50" s="5">
        <v>299946282.81</v>
      </c>
      <c r="EZ50" s="5">
        <v>19267472.129999999</v>
      </c>
      <c r="FA50" s="5">
        <v>187128985.53999999</v>
      </c>
      <c r="FB50" s="5">
        <v>422187290.19000006</v>
      </c>
      <c r="FC50" s="5">
        <v>35016959.93</v>
      </c>
      <c r="FD50" s="5">
        <v>143908894.68000001</v>
      </c>
      <c r="FE50" s="5">
        <v>237954148.20999998</v>
      </c>
      <c r="FF50" s="5">
        <v>477626206.92000002</v>
      </c>
      <c r="FG50" s="5">
        <v>72360615.390000001</v>
      </c>
      <c r="FH50" s="5">
        <v>23847032.350000001</v>
      </c>
      <c r="FI50" s="5">
        <v>79678748.230000004</v>
      </c>
      <c r="FJ50" s="5">
        <v>18529389.619999997</v>
      </c>
      <c r="FK50" s="5">
        <v>467937563.80000001</v>
      </c>
      <c r="FL50" s="5">
        <v>239862518.75</v>
      </c>
      <c r="FM50" s="5">
        <v>100197592.37</v>
      </c>
      <c r="FN50" s="5">
        <v>134148556.03999999</v>
      </c>
      <c r="FO50" s="5">
        <v>239806685.09</v>
      </c>
      <c r="FP50" s="5">
        <v>119473866.14</v>
      </c>
      <c r="FQ50" s="5">
        <v>8940688.1400000006</v>
      </c>
      <c r="FR50" s="5">
        <v>969131415.88</v>
      </c>
      <c r="FS50" s="5">
        <v>56925323.619999997</v>
      </c>
      <c r="FT50" s="5">
        <v>143180388.12</v>
      </c>
      <c r="FU50" s="5">
        <v>57962184.709999993</v>
      </c>
      <c r="FV50" s="5">
        <v>14665942.370000001</v>
      </c>
      <c r="FW50" s="5">
        <v>144606421.31999999</v>
      </c>
      <c r="FX50" s="5">
        <v>16770762.859999999</v>
      </c>
      <c r="FY50" s="5">
        <v>37818809.609999999</v>
      </c>
      <c r="FZ50" s="5">
        <v>43117694.200000003</v>
      </c>
      <c r="GA50" s="5">
        <v>127132429.27</v>
      </c>
      <c r="GB50" s="5">
        <v>113018017.61999999</v>
      </c>
      <c r="GC50" s="5">
        <v>28865126.879999999</v>
      </c>
      <c r="GD50" s="5">
        <v>131173380.37</v>
      </c>
      <c r="GE50" s="5">
        <v>169495353.34</v>
      </c>
      <c r="GF50" s="5">
        <v>230395132.80000001</v>
      </c>
      <c r="GG50" s="5">
        <v>21132283.100000001</v>
      </c>
      <c r="GH50" s="5">
        <v>119069213.80000001</v>
      </c>
      <c r="GI50" s="5">
        <v>17362006.879999999</v>
      </c>
      <c r="GJ50" s="5">
        <v>94715737.319999993</v>
      </c>
      <c r="GK50" s="5">
        <v>93854066.850000009</v>
      </c>
      <c r="GL50" s="5">
        <v>98985220.030000001</v>
      </c>
      <c r="GM50" s="5">
        <v>12455212.310000001</v>
      </c>
      <c r="GN50" s="5">
        <v>77494477.790000007</v>
      </c>
      <c r="GO50" s="5">
        <v>656184193.21000004</v>
      </c>
      <c r="GP50" s="5">
        <v>43405543.520000003</v>
      </c>
      <c r="GQ50" s="5">
        <v>70437495.090000004</v>
      </c>
      <c r="GR50" s="5">
        <v>23347163.130000003</v>
      </c>
      <c r="GS50" s="5">
        <v>38468524.159999996</v>
      </c>
      <c r="GT50" s="5">
        <v>52793790.859999999</v>
      </c>
      <c r="GU50" s="5">
        <v>126864411.64</v>
      </c>
      <c r="GV50" s="5">
        <v>44208069.359999992</v>
      </c>
      <c r="GW50" s="5">
        <v>39368577.399999999</v>
      </c>
      <c r="GX50" s="5">
        <v>48614377.960000001</v>
      </c>
      <c r="GY50" s="5">
        <v>64228318.320000008</v>
      </c>
      <c r="GZ50" s="5">
        <v>82584964.790000007</v>
      </c>
      <c r="HA50" s="5">
        <v>46883452.93</v>
      </c>
      <c r="HB50" s="5">
        <v>117609216.45</v>
      </c>
      <c r="HC50" s="5">
        <v>164967387.13999999</v>
      </c>
      <c r="HD50" s="5">
        <v>138814289.13</v>
      </c>
      <c r="HE50" s="5">
        <v>78098841.829999998</v>
      </c>
      <c r="HF50" s="5">
        <v>174687998.5</v>
      </c>
      <c r="HG50" s="5">
        <v>611641521.87</v>
      </c>
      <c r="HH50" s="5">
        <v>42589367.909999996</v>
      </c>
      <c r="HI50" s="5">
        <v>70229580.050000012</v>
      </c>
      <c r="HJ50" s="5">
        <v>38713959.869999997</v>
      </c>
      <c r="HK50" s="5">
        <v>148544825.84</v>
      </c>
      <c r="HL50" s="5">
        <v>98723961.289999992</v>
      </c>
      <c r="HM50" s="5">
        <v>89067377.150000006</v>
      </c>
      <c r="HN50" s="5">
        <v>50260243.379999995</v>
      </c>
      <c r="HO50" s="5">
        <v>406699650.13999999</v>
      </c>
      <c r="HP50" s="5">
        <v>40726390.600000001</v>
      </c>
      <c r="HQ50" s="5">
        <v>110447600.93000001</v>
      </c>
      <c r="HR50" s="5">
        <v>182481371.76000005</v>
      </c>
      <c r="HS50" s="5">
        <v>45036085.969999999</v>
      </c>
      <c r="HT50" s="5">
        <v>57574826.380000003</v>
      </c>
      <c r="HU50" s="5">
        <v>106426250.99000001</v>
      </c>
      <c r="HV50" s="5">
        <v>36894013.670000002</v>
      </c>
      <c r="HW50" s="5">
        <v>274826171.73000002</v>
      </c>
      <c r="HX50" s="5">
        <v>69581576.780000001</v>
      </c>
      <c r="HY50" s="5">
        <v>94690756.519999996</v>
      </c>
      <c r="HZ50" s="5">
        <v>17853443.68</v>
      </c>
      <c r="IA50" s="5">
        <v>130254517.06</v>
      </c>
      <c r="IB50" s="5">
        <v>10649601.02</v>
      </c>
      <c r="IC50" s="5">
        <v>58478937.739999995</v>
      </c>
      <c r="ID50" s="5">
        <v>53023827.080000006</v>
      </c>
      <c r="IE50" s="5">
        <v>86351294.719999999</v>
      </c>
      <c r="IF50" s="5">
        <v>2354518.3600000003</v>
      </c>
      <c r="IG50" s="5">
        <v>134432411.97999999</v>
      </c>
      <c r="IH50" s="5">
        <v>199608421.22</v>
      </c>
      <c r="II50" s="5">
        <v>69273597.49000001</v>
      </c>
      <c r="IJ50" s="5">
        <v>42592817.390000001</v>
      </c>
      <c r="IK50" s="5">
        <v>124479310.84</v>
      </c>
      <c r="IL50" s="5">
        <v>65596804.990000002</v>
      </c>
      <c r="IM50" s="5">
        <v>113651314.54000001</v>
      </c>
      <c r="IN50" s="5">
        <v>106579651.13000001</v>
      </c>
      <c r="IO50" s="5">
        <v>71603272.430000007</v>
      </c>
      <c r="IP50" s="5">
        <v>29433770.350000001</v>
      </c>
      <c r="IQ50" s="5">
        <v>227004189.19999999</v>
      </c>
      <c r="IR50" s="5">
        <v>195067849.45000002</v>
      </c>
      <c r="IS50" s="5">
        <v>65912688.539999999</v>
      </c>
      <c r="IT50" s="5">
        <v>226098571.99000001</v>
      </c>
      <c r="IU50" s="5">
        <v>115542648.83</v>
      </c>
      <c r="IV50" s="5">
        <v>78293093.180000007</v>
      </c>
      <c r="IW50" s="5">
        <v>47649314</v>
      </c>
      <c r="IX50" s="5">
        <v>21392291.910000004</v>
      </c>
      <c r="IY50" s="5">
        <v>127386301.13</v>
      </c>
      <c r="IZ50" s="5">
        <v>65021699.170000002</v>
      </c>
      <c r="JA50" s="5">
        <v>58904208.309999995</v>
      </c>
      <c r="JB50" s="5">
        <v>29325411.390000001</v>
      </c>
      <c r="JC50" s="5">
        <v>40196308.109999992</v>
      </c>
      <c r="JD50" s="5">
        <v>255277009.02000001</v>
      </c>
      <c r="JE50" s="5">
        <v>64726709.909999996</v>
      </c>
      <c r="JF50" s="5">
        <v>14206324.779999999</v>
      </c>
      <c r="JG50" s="5">
        <v>6514818.3099999996</v>
      </c>
      <c r="JH50" s="5">
        <v>64199415.480000004</v>
      </c>
      <c r="JI50" s="5">
        <v>25072362.230000004</v>
      </c>
      <c r="JJ50" s="5">
        <v>164968251.90000001</v>
      </c>
      <c r="JK50" s="5">
        <v>73144770.690000013</v>
      </c>
      <c r="JL50" s="5">
        <v>98697756.099999994</v>
      </c>
      <c r="JM50" s="5">
        <v>63849656.5</v>
      </c>
      <c r="JN50" s="5">
        <v>49550710.609999999</v>
      </c>
      <c r="JO50" s="5">
        <v>63779190.760000005</v>
      </c>
      <c r="JP50" s="5">
        <v>77154828.789999992</v>
      </c>
      <c r="JQ50" s="5">
        <v>183638643.72999999</v>
      </c>
      <c r="JR50" s="5">
        <v>177606704.12</v>
      </c>
      <c r="JS50" s="5">
        <v>92556701.25</v>
      </c>
      <c r="JT50" s="5">
        <v>17815854.82</v>
      </c>
      <c r="JU50" s="5">
        <v>23041374.120000001</v>
      </c>
      <c r="JV50" s="5">
        <v>165004722.28000003</v>
      </c>
      <c r="JW50" s="5">
        <v>9179627.1899999995</v>
      </c>
      <c r="JX50" s="5">
        <v>126579476.2</v>
      </c>
      <c r="JY50" s="5">
        <v>103759828.75</v>
      </c>
      <c r="JZ50" s="5">
        <v>56826894.660000004</v>
      </c>
      <c r="KA50" s="5">
        <v>17325216.309999999</v>
      </c>
      <c r="KB50" s="5">
        <v>59155431.530000001</v>
      </c>
      <c r="KC50" s="5">
        <v>49401556.939999998</v>
      </c>
      <c r="KD50" s="5">
        <v>57105705</v>
      </c>
      <c r="KE50" s="5">
        <v>101394456.00999999</v>
      </c>
      <c r="KF50" s="5">
        <v>130180242.67</v>
      </c>
      <c r="KG50" s="5">
        <v>33290707.939999998</v>
      </c>
      <c r="KH50" s="5">
        <v>33654011.449999996</v>
      </c>
      <c r="KI50" s="5">
        <v>67401528.399999991</v>
      </c>
      <c r="KJ50" s="5">
        <v>66764580.090000004</v>
      </c>
      <c r="KK50" s="5">
        <v>31988661.520000007</v>
      </c>
      <c r="KL50" s="5">
        <v>36184708.309999995</v>
      </c>
      <c r="KM50" s="5">
        <v>37174352.130000003</v>
      </c>
      <c r="KN50" s="5">
        <v>274818428.27000004</v>
      </c>
      <c r="KO50" s="5">
        <v>261918172.69</v>
      </c>
      <c r="KP50" s="5">
        <v>235758503.72999999</v>
      </c>
      <c r="KQ50" s="5">
        <v>85059271.25</v>
      </c>
      <c r="KR50" s="5">
        <v>58292008.859999999</v>
      </c>
      <c r="KS50" s="5">
        <v>15228828.289999999</v>
      </c>
      <c r="KT50" s="5">
        <v>256316753.98000002</v>
      </c>
      <c r="KU50" s="5">
        <v>391629200.05000001</v>
      </c>
      <c r="KV50" s="5">
        <v>48438396.380000003</v>
      </c>
      <c r="KW50" s="5">
        <v>222918089.85999998</v>
      </c>
      <c r="KX50" s="5">
        <v>190412212.37</v>
      </c>
      <c r="KY50" s="5">
        <v>189344934.87999997</v>
      </c>
      <c r="KZ50" s="5">
        <v>198962554.79000002</v>
      </c>
      <c r="LA50" s="5">
        <v>495650684.04000002</v>
      </c>
      <c r="LB50" s="5">
        <v>30505737.789999999</v>
      </c>
      <c r="LC50" s="5">
        <v>428960764.00000006</v>
      </c>
      <c r="LD50" s="5">
        <v>247286428.76999998</v>
      </c>
      <c r="LE50" s="5">
        <v>48087606.100000001</v>
      </c>
      <c r="LF50" s="5">
        <v>455870898.90999997</v>
      </c>
      <c r="LG50" s="5">
        <v>423453214.73000002</v>
      </c>
      <c r="LH50" s="5">
        <v>117601289.23</v>
      </c>
      <c r="LI50" s="5">
        <v>29197100.909999996</v>
      </c>
      <c r="LJ50" s="5">
        <v>259488511.43000001</v>
      </c>
      <c r="LK50" s="5">
        <v>119894557.86</v>
      </c>
      <c r="LL50" s="5">
        <v>62952126.970000006</v>
      </c>
      <c r="LM50" s="5">
        <v>136813449.88999999</v>
      </c>
      <c r="LN50" s="5">
        <v>128894173.59</v>
      </c>
      <c r="LO50" s="5">
        <v>158249803.17999998</v>
      </c>
      <c r="LP50" s="5">
        <v>1110773049.8</v>
      </c>
      <c r="LQ50" s="5">
        <v>797073084.67000008</v>
      </c>
      <c r="LR50" s="5">
        <v>137770104.39999998</v>
      </c>
      <c r="LS50" s="5">
        <v>63288436.669999994</v>
      </c>
      <c r="LT50" s="5">
        <v>45969009.100000001</v>
      </c>
      <c r="LU50" s="5">
        <v>56198909.300000004</v>
      </c>
      <c r="LV50" s="5">
        <v>606457539.71000004</v>
      </c>
      <c r="LW50" s="5">
        <v>234214046.69</v>
      </c>
      <c r="LX50" s="5">
        <v>583869298.96000004</v>
      </c>
      <c r="LY50" s="5">
        <v>98263819.920000002</v>
      </c>
      <c r="LZ50" s="5">
        <v>272802956.35999995</v>
      </c>
      <c r="MA50" s="5">
        <v>500367853.75</v>
      </c>
      <c r="MB50" s="5">
        <v>143642613.04000002</v>
      </c>
      <c r="MC50" s="5">
        <v>225999188.09</v>
      </c>
      <c r="MD50" s="5">
        <v>112678980.44999999</v>
      </c>
      <c r="ME50" s="5">
        <v>185968381.87</v>
      </c>
      <c r="MF50" s="5">
        <v>49702115.299999997</v>
      </c>
      <c r="MG50" s="5">
        <v>555206523.82000005</v>
      </c>
      <c r="MH50" s="5">
        <v>102415772.19</v>
      </c>
      <c r="MI50" s="5">
        <v>353564972.63999999</v>
      </c>
      <c r="MJ50" s="5">
        <v>234330832.5</v>
      </c>
      <c r="MK50" s="5">
        <v>1772978419.4900002</v>
      </c>
      <c r="ML50" s="5">
        <v>288596735.60000002</v>
      </c>
      <c r="MM50" s="5">
        <v>239540159.18000001</v>
      </c>
      <c r="MN50" s="5">
        <v>36906556.479999997</v>
      </c>
      <c r="MO50" s="5">
        <v>95677850.060000002</v>
      </c>
      <c r="MP50" s="5">
        <v>112191467.18000001</v>
      </c>
      <c r="MQ50" s="5">
        <v>74088705.069999993</v>
      </c>
      <c r="MR50" s="5">
        <v>28203534.969999999</v>
      </c>
      <c r="MS50" s="5">
        <v>239511731.74999997</v>
      </c>
      <c r="MT50" s="5">
        <v>117726329.12</v>
      </c>
      <c r="MU50" s="5">
        <v>333937730.43000001</v>
      </c>
      <c r="MV50" s="5">
        <v>101891026.53</v>
      </c>
      <c r="MW50" s="5">
        <v>292857122.00999999</v>
      </c>
      <c r="MX50" s="5">
        <v>112678119.91</v>
      </c>
      <c r="MY50" s="5">
        <v>52625046.780000001</v>
      </c>
      <c r="MZ50" s="5">
        <v>278407386.88</v>
      </c>
      <c r="NA50" s="5">
        <v>59526200.219999999</v>
      </c>
      <c r="NB50" s="5">
        <v>19851230.02</v>
      </c>
      <c r="NC50" s="5">
        <v>245501787.70000002</v>
      </c>
      <c r="ND50" s="5">
        <v>133093922.70999998</v>
      </c>
      <c r="NE50" s="5">
        <v>37859532.409999996</v>
      </c>
      <c r="NF50" s="5">
        <v>74039069.680000007</v>
      </c>
      <c r="NG50" s="5">
        <v>28693132.280000001</v>
      </c>
      <c r="NH50" s="5">
        <v>44539726.280000001</v>
      </c>
      <c r="NI50" s="5">
        <v>246507259.71000001</v>
      </c>
      <c r="NJ50" s="5">
        <v>49331372.760000005</v>
      </c>
      <c r="NK50" s="5">
        <v>44842213.480000004</v>
      </c>
      <c r="NL50" s="5">
        <v>1130164887.54</v>
      </c>
      <c r="NM50" s="5">
        <v>173023968.11000001</v>
      </c>
      <c r="NN50" s="5">
        <v>76671531.189999998</v>
      </c>
      <c r="NO50" s="5">
        <v>134668692.10000002</v>
      </c>
      <c r="NP50" s="5">
        <v>30569713.239999998</v>
      </c>
      <c r="NQ50" s="5">
        <v>121114409.55999999</v>
      </c>
      <c r="NR50" s="5">
        <v>141582219.16</v>
      </c>
      <c r="NS50" s="5">
        <v>123817172.18000002</v>
      </c>
      <c r="NT50" s="5">
        <v>154426111.19999999</v>
      </c>
      <c r="NU50" s="5">
        <v>47827643.719999999</v>
      </c>
      <c r="NV50" s="5">
        <v>26174529.18</v>
      </c>
      <c r="NW50" s="5">
        <v>22941482.059999999</v>
      </c>
      <c r="NX50" s="5">
        <v>151126846.19</v>
      </c>
      <c r="NY50" s="5">
        <v>25738254.82</v>
      </c>
      <c r="NZ50" s="5">
        <v>67735242.850000009</v>
      </c>
      <c r="OA50" s="5">
        <v>52847429.5</v>
      </c>
      <c r="OB50" s="5">
        <v>33074055.710000001</v>
      </c>
      <c r="OC50" s="5">
        <v>110052348.53</v>
      </c>
      <c r="OD50" s="5">
        <v>33735294.990000002</v>
      </c>
      <c r="OE50" s="5">
        <v>85304460.659999996</v>
      </c>
      <c r="OF50" s="5">
        <v>7199707.7599999998</v>
      </c>
      <c r="OG50" s="5">
        <v>272963699.89999998</v>
      </c>
      <c r="OH50" s="5">
        <v>52917526.410000004</v>
      </c>
      <c r="OI50" s="5">
        <v>142406957.84</v>
      </c>
      <c r="OJ50" s="5">
        <v>149176780.91</v>
      </c>
      <c r="OK50" s="5">
        <v>155394479.80000001</v>
      </c>
      <c r="OL50" s="5">
        <v>61537629.579999998</v>
      </c>
      <c r="OM50" s="5">
        <v>40013230.079999998</v>
      </c>
      <c r="ON50" s="5">
        <v>52198168.740000002</v>
      </c>
      <c r="OO50" s="5">
        <v>223002620.71000001</v>
      </c>
      <c r="OP50" s="5">
        <v>46259508.43</v>
      </c>
      <c r="OQ50" s="5">
        <v>51313258768.040001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B0A77-6DC2-450A-BE6A-97498412B9AB}">
  <sheetPr codeName="Sheet2"/>
  <dimension ref="A1:E3036"/>
  <sheetViews>
    <sheetView topLeftCell="B1" zoomScale="175" zoomScaleNormal="175" workbookViewId="0">
      <selection activeCell="D2" sqref="D2"/>
    </sheetView>
  </sheetViews>
  <sheetFormatPr baseColWidth="10" defaultColWidth="9.1640625" defaultRowHeight="13" x14ac:dyDescent="0.15"/>
  <cols>
    <col min="1" max="1" width="15.6640625" style="1" customWidth="1"/>
    <col min="2" max="2" width="52.33203125" style="1" bestFit="1" customWidth="1"/>
    <col min="3" max="3" width="34.1640625" style="1" bestFit="1" customWidth="1"/>
    <col min="4" max="4" width="20.83203125" style="1" bestFit="1" customWidth="1"/>
    <col min="5" max="5" width="22" style="1" customWidth="1"/>
    <col min="6" max="16384" width="9.1640625" style="1"/>
  </cols>
  <sheetData>
    <row r="1" spans="1:5" ht="15" x14ac:dyDescent="0.15">
      <c r="A1" s="3" t="s">
        <v>63</v>
      </c>
      <c r="B1" s="6" t="s">
        <v>0</v>
      </c>
      <c r="C1" s="6" t="s">
        <v>1</v>
      </c>
      <c r="D1" s="6" t="s">
        <v>45</v>
      </c>
      <c r="E1" s="6" t="s">
        <v>2</v>
      </c>
    </row>
    <row r="2" spans="1:5" ht="15" x14ac:dyDescent="0.2">
      <c r="A2" s="1" t="s">
        <v>85</v>
      </c>
      <c r="B2" t="s">
        <v>24</v>
      </c>
      <c r="C2" t="s">
        <v>48</v>
      </c>
      <c r="D2">
        <v>10151</v>
      </c>
      <c r="E2" s="2">
        <v>3315397.58</v>
      </c>
    </row>
    <row r="3" spans="1:5" ht="15" x14ac:dyDescent="0.2">
      <c r="A3" s="1" t="s">
        <v>84</v>
      </c>
      <c r="B3" t="s">
        <v>16</v>
      </c>
      <c r="C3" t="s">
        <v>48</v>
      </c>
      <c r="D3">
        <v>10151</v>
      </c>
      <c r="E3" s="2">
        <v>2301201.62</v>
      </c>
    </row>
    <row r="4" spans="1:5" ht="15" x14ac:dyDescent="0.2">
      <c r="A4" s="1" t="s">
        <v>80</v>
      </c>
      <c r="B4" t="s">
        <v>22</v>
      </c>
      <c r="C4" t="s">
        <v>48</v>
      </c>
      <c r="D4">
        <v>10151</v>
      </c>
      <c r="E4" s="2">
        <v>1409305.86</v>
      </c>
    </row>
    <row r="5" spans="1:5" ht="15" x14ac:dyDescent="0.2">
      <c r="A5" s="1" t="s">
        <v>74</v>
      </c>
      <c r="B5" t="s">
        <v>11</v>
      </c>
      <c r="C5" t="s">
        <v>48</v>
      </c>
      <c r="D5">
        <v>10151</v>
      </c>
      <c r="E5" s="2">
        <v>240915.91</v>
      </c>
    </row>
    <row r="6" spans="1:5" ht="15" x14ac:dyDescent="0.2">
      <c r="A6" s="1" t="s">
        <v>96</v>
      </c>
      <c r="B6" t="s">
        <v>44</v>
      </c>
      <c r="C6" t="s">
        <v>48</v>
      </c>
      <c r="D6">
        <v>10151</v>
      </c>
      <c r="E6" s="2">
        <v>1716637.61</v>
      </c>
    </row>
    <row r="7" spans="1:5" ht="15" x14ac:dyDescent="0.2">
      <c r="A7" s="1" t="s">
        <v>97</v>
      </c>
      <c r="B7" t="s">
        <v>42</v>
      </c>
      <c r="C7" t="s">
        <v>48</v>
      </c>
      <c r="D7">
        <v>10151</v>
      </c>
      <c r="E7" s="2">
        <v>806864.33</v>
      </c>
    </row>
    <row r="8" spans="1:5" ht="15" x14ac:dyDescent="0.2">
      <c r="A8" s="1" t="s">
        <v>98</v>
      </c>
      <c r="B8" t="s">
        <v>34</v>
      </c>
      <c r="C8" t="s">
        <v>48</v>
      </c>
      <c r="D8">
        <v>10151</v>
      </c>
      <c r="E8" s="2">
        <v>11109311.92</v>
      </c>
    </row>
    <row r="9" spans="1:5" ht="15" x14ac:dyDescent="0.2">
      <c r="A9" s="1" t="s">
        <v>100</v>
      </c>
      <c r="B9" t="s">
        <v>43</v>
      </c>
      <c r="C9" t="s">
        <v>48</v>
      </c>
      <c r="D9">
        <v>10151</v>
      </c>
      <c r="E9" s="2">
        <v>461.71</v>
      </c>
    </row>
    <row r="10" spans="1:5" ht="15" x14ac:dyDescent="0.2">
      <c r="A10" s="1" t="s">
        <v>78</v>
      </c>
      <c r="B10" t="s">
        <v>20</v>
      </c>
      <c r="C10" t="s">
        <v>48</v>
      </c>
      <c r="D10">
        <v>10151</v>
      </c>
      <c r="E10" s="2">
        <v>871420.05</v>
      </c>
    </row>
    <row r="11" spans="1:5" ht="15" x14ac:dyDescent="0.2">
      <c r="A11" s="1" t="s">
        <v>101</v>
      </c>
      <c r="B11" t="s">
        <v>39</v>
      </c>
      <c r="C11" t="s">
        <v>48</v>
      </c>
      <c r="D11">
        <v>10151</v>
      </c>
      <c r="E11" s="2">
        <v>420371.38</v>
      </c>
    </row>
    <row r="12" spans="1:5" ht="15" x14ac:dyDescent="0.2">
      <c r="A12" s="1" t="s">
        <v>70</v>
      </c>
      <c r="B12" t="s">
        <v>8</v>
      </c>
      <c r="C12" t="s">
        <v>48</v>
      </c>
      <c r="D12">
        <v>10151</v>
      </c>
      <c r="E12" s="2">
        <v>36727746.990000002</v>
      </c>
    </row>
    <row r="13" spans="1:5" ht="15" x14ac:dyDescent="0.2">
      <c r="A13" s="1" t="s">
        <v>67</v>
      </c>
      <c r="B13" t="s">
        <v>5</v>
      </c>
      <c r="C13" t="s">
        <v>48</v>
      </c>
      <c r="D13">
        <v>11546</v>
      </c>
      <c r="E13" s="2">
        <v>-421746.62</v>
      </c>
    </row>
    <row r="14" spans="1:5" ht="15" x14ac:dyDescent="0.2">
      <c r="A14" s="1" t="s">
        <v>79</v>
      </c>
      <c r="B14" t="s">
        <v>21</v>
      </c>
      <c r="C14" t="s">
        <v>48</v>
      </c>
      <c r="D14">
        <v>11546</v>
      </c>
      <c r="E14" s="2">
        <v>3375444.58</v>
      </c>
    </row>
    <row r="15" spans="1:5" ht="15" x14ac:dyDescent="0.2">
      <c r="A15" s="1" t="s">
        <v>89</v>
      </c>
      <c r="B15" t="s">
        <v>28</v>
      </c>
      <c r="C15" t="s">
        <v>48</v>
      </c>
      <c r="D15">
        <v>11546</v>
      </c>
      <c r="E15" s="2">
        <v>763876.38</v>
      </c>
    </row>
    <row r="16" spans="1:5" ht="15" x14ac:dyDescent="0.2">
      <c r="A16" s="1" t="s">
        <v>95</v>
      </c>
      <c r="B16" t="s">
        <v>38</v>
      </c>
      <c r="C16" t="s">
        <v>48</v>
      </c>
      <c r="D16">
        <v>11546</v>
      </c>
      <c r="E16" s="2">
        <v>1128.28</v>
      </c>
    </row>
    <row r="17" spans="1:5" ht="15" x14ac:dyDescent="0.2">
      <c r="A17" s="1" t="s">
        <v>83</v>
      </c>
      <c r="B17" t="s">
        <v>23</v>
      </c>
      <c r="C17" t="s">
        <v>48</v>
      </c>
      <c r="D17">
        <v>11546</v>
      </c>
      <c r="E17" s="2">
        <v>2108348.11</v>
      </c>
    </row>
    <row r="18" spans="1:5" ht="15" x14ac:dyDescent="0.2">
      <c r="A18" s="1" t="s">
        <v>80</v>
      </c>
      <c r="B18" t="s">
        <v>22</v>
      </c>
      <c r="C18" t="s">
        <v>48</v>
      </c>
      <c r="D18">
        <v>11546</v>
      </c>
      <c r="E18" s="2">
        <v>2229200.73</v>
      </c>
    </row>
    <row r="19" spans="1:5" ht="15" x14ac:dyDescent="0.2">
      <c r="A19" s="1" t="s">
        <v>74</v>
      </c>
      <c r="B19" t="s">
        <v>11</v>
      </c>
      <c r="C19" t="s">
        <v>48</v>
      </c>
      <c r="D19">
        <v>11546</v>
      </c>
      <c r="E19" s="2">
        <v>250039.43</v>
      </c>
    </row>
    <row r="20" spans="1:5" ht="15" x14ac:dyDescent="0.2">
      <c r="A20" s="1" t="s">
        <v>96</v>
      </c>
      <c r="B20" t="s">
        <v>44</v>
      </c>
      <c r="C20" t="s">
        <v>48</v>
      </c>
      <c r="D20">
        <v>11546</v>
      </c>
      <c r="E20" s="2">
        <v>661073.42000000004</v>
      </c>
    </row>
    <row r="21" spans="1:5" ht="15" x14ac:dyDescent="0.2">
      <c r="A21" s="1" t="s">
        <v>77</v>
      </c>
      <c r="B21" t="s">
        <v>18</v>
      </c>
      <c r="C21" t="s">
        <v>48</v>
      </c>
      <c r="D21">
        <v>11546</v>
      </c>
      <c r="E21" s="2">
        <v>0.21</v>
      </c>
    </row>
    <row r="22" spans="1:5" ht="15" x14ac:dyDescent="0.2">
      <c r="A22" s="1" t="s">
        <v>87</v>
      </c>
      <c r="B22" t="s">
        <v>26</v>
      </c>
      <c r="C22" t="s">
        <v>48</v>
      </c>
      <c r="D22">
        <v>11546</v>
      </c>
      <c r="E22" s="2">
        <v>1194730.79</v>
      </c>
    </row>
    <row r="23" spans="1:5" ht="15" x14ac:dyDescent="0.2">
      <c r="A23" s="1" t="s">
        <v>103</v>
      </c>
      <c r="B23" t="s">
        <v>37</v>
      </c>
      <c r="C23" t="s">
        <v>48</v>
      </c>
      <c r="D23">
        <v>11546</v>
      </c>
      <c r="E23" s="2">
        <v>3197843.65</v>
      </c>
    </row>
    <row r="24" spans="1:5" ht="15" x14ac:dyDescent="0.2">
      <c r="A24" s="1" t="s">
        <v>75</v>
      </c>
      <c r="B24" t="s">
        <v>19</v>
      </c>
      <c r="C24" t="s">
        <v>48</v>
      </c>
      <c r="D24">
        <v>11546</v>
      </c>
      <c r="E24" s="2">
        <v>634513.75</v>
      </c>
    </row>
    <row r="25" spans="1:5" ht="15" x14ac:dyDescent="0.2">
      <c r="A25" s="1" t="s">
        <v>70</v>
      </c>
      <c r="B25" t="s">
        <v>8</v>
      </c>
      <c r="C25" t="s">
        <v>48</v>
      </c>
      <c r="D25">
        <v>11546</v>
      </c>
      <c r="E25" s="2">
        <v>32108493.02</v>
      </c>
    </row>
    <row r="26" spans="1:5" ht="15" x14ac:dyDescent="0.2">
      <c r="A26" s="1" t="s">
        <v>94</v>
      </c>
      <c r="B26" t="s">
        <v>33</v>
      </c>
      <c r="C26" t="s">
        <v>48</v>
      </c>
      <c r="D26">
        <v>15285</v>
      </c>
      <c r="E26" s="2">
        <v>7478980.9199999999</v>
      </c>
    </row>
    <row r="27" spans="1:5" ht="15" x14ac:dyDescent="0.2">
      <c r="A27" s="1" t="s">
        <v>95</v>
      </c>
      <c r="B27" t="s">
        <v>38</v>
      </c>
      <c r="C27" t="s">
        <v>48</v>
      </c>
      <c r="D27">
        <v>15285</v>
      </c>
      <c r="E27" s="2">
        <v>29454969.489999998</v>
      </c>
    </row>
    <row r="28" spans="1:5" ht="15" x14ac:dyDescent="0.2">
      <c r="A28" s="1" t="s">
        <v>83</v>
      </c>
      <c r="B28" t="s">
        <v>23</v>
      </c>
      <c r="C28" t="s">
        <v>48</v>
      </c>
      <c r="D28">
        <v>15285</v>
      </c>
      <c r="E28" s="2">
        <v>5555140.7599999998</v>
      </c>
    </row>
    <row r="29" spans="1:5" ht="15" x14ac:dyDescent="0.2">
      <c r="A29" s="1" t="s">
        <v>72</v>
      </c>
      <c r="B29" t="s">
        <v>10</v>
      </c>
      <c r="C29" t="s">
        <v>48</v>
      </c>
      <c r="D29">
        <v>15285</v>
      </c>
      <c r="E29" s="2">
        <v>2322178.7799999998</v>
      </c>
    </row>
    <row r="30" spans="1:5" ht="15" x14ac:dyDescent="0.2">
      <c r="A30" s="1" t="s">
        <v>98</v>
      </c>
      <c r="B30" t="s">
        <v>34</v>
      </c>
      <c r="C30" t="s">
        <v>48</v>
      </c>
      <c r="D30">
        <v>15285</v>
      </c>
      <c r="E30" s="2">
        <v>340.48</v>
      </c>
    </row>
    <row r="31" spans="1:5" ht="15" x14ac:dyDescent="0.2">
      <c r="A31" s="1" t="s">
        <v>100</v>
      </c>
      <c r="B31" t="s">
        <v>43</v>
      </c>
      <c r="C31" t="s">
        <v>48</v>
      </c>
      <c r="D31">
        <v>15285</v>
      </c>
      <c r="E31" s="2">
        <v>895001.54</v>
      </c>
    </row>
    <row r="32" spans="1:5" ht="15" x14ac:dyDescent="0.2">
      <c r="A32" s="1" t="s">
        <v>78</v>
      </c>
      <c r="B32" t="s">
        <v>20</v>
      </c>
      <c r="C32" t="s">
        <v>48</v>
      </c>
      <c r="D32">
        <v>15285</v>
      </c>
      <c r="E32" s="2">
        <v>9791.74</v>
      </c>
    </row>
    <row r="33" spans="1:5" ht="15" x14ac:dyDescent="0.2">
      <c r="A33" s="1" t="s">
        <v>75</v>
      </c>
      <c r="B33" t="s">
        <v>19</v>
      </c>
      <c r="C33" t="s">
        <v>48</v>
      </c>
      <c r="D33">
        <v>15285</v>
      </c>
      <c r="E33" s="2">
        <v>2371633.8199999998</v>
      </c>
    </row>
    <row r="34" spans="1:5" ht="15" x14ac:dyDescent="0.2">
      <c r="A34" s="1" t="s">
        <v>70</v>
      </c>
      <c r="B34" t="s">
        <v>8</v>
      </c>
      <c r="C34" t="s">
        <v>48</v>
      </c>
      <c r="D34">
        <v>15285</v>
      </c>
      <c r="E34" s="2">
        <v>33017420.559999999</v>
      </c>
    </row>
    <row r="35" spans="1:5" ht="15" x14ac:dyDescent="0.2">
      <c r="A35" s="1" t="s">
        <v>90</v>
      </c>
      <c r="B35" t="s">
        <v>29</v>
      </c>
      <c r="C35" t="s">
        <v>48</v>
      </c>
      <c r="D35">
        <v>17019</v>
      </c>
      <c r="E35" s="2">
        <v>0.56999999999999995</v>
      </c>
    </row>
    <row r="36" spans="1:5" ht="15" x14ac:dyDescent="0.2">
      <c r="A36" s="1" t="s">
        <v>92</v>
      </c>
      <c r="B36" t="s">
        <v>31</v>
      </c>
      <c r="C36" t="s">
        <v>48</v>
      </c>
      <c r="D36">
        <v>17019</v>
      </c>
      <c r="E36" s="2">
        <v>5741008.0599999996</v>
      </c>
    </row>
    <row r="37" spans="1:5" ht="15" x14ac:dyDescent="0.2">
      <c r="A37" s="1" t="s">
        <v>94</v>
      </c>
      <c r="B37" t="s">
        <v>33</v>
      </c>
      <c r="C37" t="s">
        <v>48</v>
      </c>
      <c r="D37">
        <v>17019</v>
      </c>
      <c r="E37" s="2">
        <v>14365911.640000001</v>
      </c>
    </row>
    <row r="38" spans="1:5" ht="15" x14ac:dyDescent="0.2">
      <c r="A38" s="1" t="s">
        <v>85</v>
      </c>
      <c r="B38" t="s">
        <v>24</v>
      </c>
      <c r="C38" t="s">
        <v>48</v>
      </c>
      <c r="D38">
        <v>17019</v>
      </c>
      <c r="E38" s="2">
        <v>1114.6199999999999</v>
      </c>
    </row>
    <row r="39" spans="1:5" ht="15" x14ac:dyDescent="0.2">
      <c r="A39" s="1" t="s">
        <v>74</v>
      </c>
      <c r="B39" t="s">
        <v>11</v>
      </c>
      <c r="C39" t="s">
        <v>48</v>
      </c>
      <c r="D39">
        <v>17019</v>
      </c>
      <c r="E39" s="2">
        <v>330991.31</v>
      </c>
    </row>
    <row r="40" spans="1:5" ht="15" x14ac:dyDescent="0.2">
      <c r="A40" s="1" t="s">
        <v>96</v>
      </c>
      <c r="B40" t="s">
        <v>44</v>
      </c>
      <c r="C40" t="s">
        <v>48</v>
      </c>
      <c r="D40">
        <v>17019</v>
      </c>
      <c r="E40" s="2">
        <v>1670876.63</v>
      </c>
    </row>
    <row r="41" spans="1:5" ht="15" x14ac:dyDescent="0.2">
      <c r="A41" s="1" t="s">
        <v>98</v>
      </c>
      <c r="B41" t="s">
        <v>34</v>
      </c>
      <c r="C41" t="s">
        <v>48</v>
      </c>
      <c r="D41">
        <v>17019</v>
      </c>
      <c r="E41" s="2">
        <v>16195986.58</v>
      </c>
    </row>
    <row r="42" spans="1:5" ht="15" x14ac:dyDescent="0.2">
      <c r="A42" s="1" t="s">
        <v>100</v>
      </c>
      <c r="B42" t="s">
        <v>43</v>
      </c>
      <c r="C42" t="s">
        <v>48</v>
      </c>
      <c r="D42">
        <v>17019</v>
      </c>
      <c r="E42" s="2">
        <v>13336.95</v>
      </c>
    </row>
    <row r="43" spans="1:5" ht="15" x14ac:dyDescent="0.2">
      <c r="A43" s="1" t="s">
        <v>88</v>
      </c>
      <c r="B43" t="s">
        <v>27</v>
      </c>
      <c r="C43" t="s">
        <v>48</v>
      </c>
      <c r="D43">
        <v>17019</v>
      </c>
      <c r="E43" s="2">
        <v>1101688.9099999999</v>
      </c>
    </row>
    <row r="44" spans="1:5" ht="15" x14ac:dyDescent="0.2">
      <c r="A44" s="1" t="s">
        <v>70</v>
      </c>
      <c r="B44" t="s">
        <v>8</v>
      </c>
      <c r="C44" t="s">
        <v>48</v>
      </c>
      <c r="D44">
        <v>17019</v>
      </c>
      <c r="E44" s="2">
        <v>1387.9</v>
      </c>
    </row>
    <row r="45" spans="1:5" ht="15" x14ac:dyDescent="0.2">
      <c r="A45" s="1" t="s">
        <v>82</v>
      </c>
      <c r="B45" t="s">
        <v>15</v>
      </c>
      <c r="C45" t="s">
        <v>48</v>
      </c>
      <c r="D45">
        <v>17019</v>
      </c>
      <c r="E45" s="2">
        <v>3598105.81</v>
      </c>
    </row>
    <row r="46" spans="1:5" ht="15" x14ac:dyDescent="0.2">
      <c r="A46" s="1" t="s">
        <v>89</v>
      </c>
      <c r="B46" t="s">
        <v>28</v>
      </c>
      <c r="C46" t="s">
        <v>48</v>
      </c>
      <c r="D46">
        <v>21736</v>
      </c>
      <c r="E46" s="2">
        <v>2993759.05</v>
      </c>
    </row>
    <row r="47" spans="1:5" ht="15" x14ac:dyDescent="0.2">
      <c r="A47" s="1" t="s">
        <v>91</v>
      </c>
      <c r="B47" t="s">
        <v>30</v>
      </c>
      <c r="C47" t="s">
        <v>48</v>
      </c>
      <c r="D47">
        <v>21736</v>
      </c>
      <c r="E47" s="2">
        <v>103788557.56</v>
      </c>
    </row>
    <row r="48" spans="1:5" ht="15" x14ac:dyDescent="0.2">
      <c r="A48" s="1" t="s">
        <v>93</v>
      </c>
      <c r="B48" t="s">
        <v>32</v>
      </c>
      <c r="C48" t="s">
        <v>48</v>
      </c>
      <c r="D48">
        <v>21736</v>
      </c>
      <c r="E48" s="2">
        <v>43746407.490000002</v>
      </c>
    </row>
    <row r="49" spans="1:5" ht="15" x14ac:dyDescent="0.2">
      <c r="A49" s="1" t="s">
        <v>94</v>
      </c>
      <c r="B49" t="s">
        <v>33</v>
      </c>
      <c r="C49" t="s">
        <v>48</v>
      </c>
      <c r="D49">
        <v>21736</v>
      </c>
      <c r="E49" s="2">
        <v>35022070.530000001</v>
      </c>
    </row>
    <row r="50" spans="1:5" ht="15" x14ac:dyDescent="0.2">
      <c r="A50" s="1" t="s">
        <v>84</v>
      </c>
      <c r="B50" t="s">
        <v>16</v>
      </c>
      <c r="C50" t="s">
        <v>48</v>
      </c>
      <c r="D50">
        <v>21736</v>
      </c>
      <c r="E50" s="2">
        <v>5812.4</v>
      </c>
    </row>
    <row r="51" spans="1:5" ht="15" x14ac:dyDescent="0.2">
      <c r="A51" s="1" t="s">
        <v>75</v>
      </c>
      <c r="B51" t="s">
        <v>12</v>
      </c>
      <c r="C51" t="s">
        <v>48</v>
      </c>
      <c r="D51">
        <v>21736</v>
      </c>
      <c r="E51" s="2">
        <v>3224849.56</v>
      </c>
    </row>
    <row r="52" spans="1:5" ht="15" x14ac:dyDescent="0.2">
      <c r="A52" s="1" t="s">
        <v>76</v>
      </c>
      <c r="B52" t="s">
        <v>13</v>
      </c>
      <c r="C52" t="s">
        <v>48</v>
      </c>
      <c r="D52">
        <v>21736</v>
      </c>
      <c r="E52" s="2">
        <v>1650685.12</v>
      </c>
    </row>
    <row r="53" spans="1:5" ht="15" x14ac:dyDescent="0.2">
      <c r="A53" s="1" t="s">
        <v>74</v>
      </c>
      <c r="B53" t="s">
        <v>11</v>
      </c>
      <c r="C53" t="s">
        <v>48</v>
      </c>
      <c r="D53">
        <v>21736</v>
      </c>
      <c r="E53" s="2">
        <v>366688.46</v>
      </c>
    </row>
    <row r="54" spans="1:5" ht="15" x14ac:dyDescent="0.2">
      <c r="A54" s="1" t="s">
        <v>72</v>
      </c>
      <c r="B54" t="s">
        <v>10</v>
      </c>
      <c r="C54" t="s">
        <v>48</v>
      </c>
      <c r="D54">
        <v>21736</v>
      </c>
      <c r="E54" s="2">
        <v>316886.2</v>
      </c>
    </row>
    <row r="55" spans="1:5" ht="15" x14ac:dyDescent="0.2">
      <c r="A55" s="1" t="s">
        <v>97</v>
      </c>
      <c r="B55" t="s">
        <v>42</v>
      </c>
      <c r="C55" t="s">
        <v>48</v>
      </c>
      <c r="D55">
        <v>21736</v>
      </c>
      <c r="E55" s="2">
        <v>1329717.48</v>
      </c>
    </row>
    <row r="56" spans="1:5" ht="15" x14ac:dyDescent="0.2">
      <c r="A56" s="1" t="s">
        <v>78</v>
      </c>
      <c r="B56" t="s">
        <v>20</v>
      </c>
      <c r="C56" t="s">
        <v>48</v>
      </c>
      <c r="D56">
        <v>21736</v>
      </c>
      <c r="E56" s="2">
        <v>644363.80000000005</v>
      </c>
    </row>
    <row r="57" spans="1:5" ht="15" x14ac:dyDescent="0.2">
      <c r="A57" s="1" t="s">
        <v>88</v>
      </c>
      <c r="B57" t="s">
        <v>27</v>
      </c>
      <c r="C57" t="s">
        <v>48</v>
      </c>
      <c r="D57">
        <v>21736</v>
      </c>
      <c r="E57" s="2">
        <v>2707880.72</v>
      </c>
    </row>
    <row r="58" spans="1:5" ht="15" x14ac:dyDescent="0.2">
      <c r="A58" s="1" t="s">
        <v>87</v>
      </c>
      <c r="B58" t="s">
        <v>26</v>
      </c>
      <c r="C58" t="s">
        <v>48</v>
      </c>
      <c r="D58">
        <v>21736</v>
      </c>
      <c r="E58" s="2">
        <v>641140.19999999995</v>
      </c>
    </row>
    <row r="59" spans="1:5" ht="15" x14ac:dyDescent="0.2">
      <c r="A59" s="1" t="s">
        <v>73</v>
      </c>
      <c r="B59" t="s">
        <v>17</v>
      </c>
      <c r="C59" t="s">
        <v>48</v>
      </c>
      <c r="D59">
        <v>21736</v>
      </c>
      <c r="E59" s="2">
        <v>1165379.3400000001</v>
      </c>
    </row>
    <row r="60" spans="1:5" ht="15" x14ac:dyDescent="0.2">
      <c r="A60" s="1" t="s">
        <v>101</v>
      </c>
      <c r="B60" t="s">
        <v>39</v>
      </c>
      <c r="C60" t="s">
        <v>48</v>
      </c>
      <c r="D60">
        <v>21736</v>
      </c>
      <c r="E60" s="2">
        <v>1237187.05</v>
      </c>
    </row>
    <row r="61" spans="1:5" ht="15" x14ac:dyDescent="0.2">
      <c r="A61" s="1" t="s">
        <v>75</v>
      </c>
      <c r="B61" t="s">
        <v>19</v>
      </c>
      <c r="C61" t="s">
        <v>48</v>
      </c>
      <c r="D61">
        <v>21736</v>
      </c>
      <c r="E61" s="2">
        <v>3436641.52</v>
      </c>
    </row>
    <row r="62" spans="1:5" ht="15" x14ac:dyDescent="0.2">
      <c r="A62" s="1" t="s">
        <v>86</v>
      </c>
      <c r="B62" t="s">
        <v>25</v>
      </c>
      <c r="C62" t="s">
        <v>48</v>
      </c>
      <c r="D62">
        <v>30776</v>
      </c>
      <c r="E62" s="2">
        <v>1035521.54</v>
      </c>
    </row>
    <row r="63" spans="1:5" ht="15" x14ac:dyDescent="0.2">
      <c r="A63" s="1" t="s">
        <v>94</v>
      </c>
      <c r="B63" t="s">
        <v>33</v>
      </c>
      <c r="C63" t="s">
        <v>48</v>
      </c>
      <c r="D63">
        <v>30776</v>
      </c>
      <c r="E63" s="2">
        <v>10814233.82</v>
      </c>
    </row>
    <row r="64" spans="1:5" ht="15" x14ac:dyDescent="0.2">
      <c r="A64" s="1" t="s">
        <v>64</v>
      </c>
      <c r="B64" t="s">
        <v>3</v>
      </c>
      <c r="C64" t="s">
        <v>48</v>
      </c>
      <c r="D64">
        <v>30776</v>
      </c>
      <c r="E64" s="2">
        <v>0.06</v>
      </c>
    </row>
    <row r="65" spans="1:5" ht="15" x14ac:dyDescent="0.2">
      <c r="A65" s="1" t="s">
        <v>76</v>
      </c>
      <c r="B65" t="s">
        <v>13</v>
      </c>
      <c r="C65" t="s">
        <v>48</v>
      </c>
      <c r="D65">
        <v>30776</v>
      </c>
      <c r="E65" s="2">
        <v>1231091.6499999999</v>
      </c>
    </row>
    <row r="66" spans="1:5" ht="15" x14ac:dyDescent="0.2">
      <c r="A66" s="1" t="s">
        <v>72</v>
      </c>
      <c r="B66" t="s">
        <v>10</v>
      </c>
      <c r="C66" t="s">
        <v>48</v>
      </c>
      <c r="D66">
        <v>30776</v>
      </c>
      <c r="E66" s="2">
        <v>3022943.92</v>
      </c>
    </row>
    <row r="67" spans="1:5" ht="15" x14ac:dyDescent="0.2">
      <c r="A67" s="1" t="s">
        <v>68</v>
      </c>
      <c r="B67" t="s">
        <v>6</v>
      </c>
      <c r="C67" t="s">
        <v>48</v>
      </c>
      <c r="D67">
        <v>30776</v>
      </c>
      <c r="E67" s="2">
        <v>458779.49</v>
      </c>
    </row>
    <row r="68" spans="1:5" ht="15" x14ac:dyDescent="0.2">
      <c r="A68" s="1" t="s">
        <v>100</v>
      </c>
      <c r="B68" t="s">
        <v>43</v>
      </c>
      <c r="C68" t="s">
        <v>48</v>
      </c>
      <c r="D68">
        <v>30776</v>
      </c>
      <c r="E68" s="2">
        <v>342281.61</v>
      </c>
    </row>
    <row r="69" spans="1:5" ht="15" x14ac:dyDescent="0.2">
      <c r="A69" s="1" t="s">
        <v>81</v>
      </c>
      <c r="B69" t="s">
        <v>14</v>
      </c>
      <c r="C69" t="s">
        <v>48</v>
      </c>
      <c r="D69">
        <v>30776</v>
      </c>
      <c r="E69" s="2">
        <v>6500567.4199999999</v>
      </c>
    </row>
    <row r="70" spans="1:5" ht="15" x14ac:dyDescent="0.2">
      <c r="A70" s="1" t="s">
        <v>87</v>
      </c>
      <c r="B70" t="s">
        <v>26</v>
      </c>
      <c r="C70" t="s">
        <v>48</v>
      </c>
      <c r="D70">
        <v>30776</v>
      </c>
      <c r="E70" s="2">
        <v>1805670.73</v>
      </c>
    </row>
    <row r="71" spans="1:5" ht="15" x14ac:dyDescent="0.2">
      <c r="A71" s="1" t="s">
        <v>71</v>
      </c>
      <c r="B71" t="s">
        <v>9</v>
      </c>
      <c r="C71" t="s">
        <v>48</v>
      </c>
      <c r="D71">
        <v>30776</v>
      </c>
      <c r="E71" s="2">
        <v>1.92</v>
      </c>
    </row>
    <row r="72" spans="1:5" ht="15" x14ac:dyDescent="0.2">
      <c r="A72" s="1" t="s">
        <v>66</v>
      </c>
      <c r="B72" t="s">
        <v>47</v>
      </c>
      <c r="C72" t="s">
        <v>48</v>
      </c>
      <c r="D72">
        <v>34613</v>
      </c>
      <c r="E72" s="2">
        <v>686240.69</v>
      </c>
    </row>
    <row r="73" spans="1:5" ht="15" x14ac:dyDescent="0.2">
      <c r="A73" s="1" t="s">
        <v>91</v>
      </c>
      <c r="B73" t="s">
        <v>30</v>
      </c>
      <c r="C73" t="s">
        <v>48</v>
      </c>
      <c r="D73">
        <v>34613</v>
      </c>
      <c r="E73" s="2">
        <v>6046.56</v>
      </c>
    </row>
    <row r="74" spans="1:5" ht="15" x14ac:dyDescent="0.2">
      <c r="A74" s="1" t="s">
        <v>94</v>
      </c>
      <c r="B74" t="s">
        <v>33</v>
      </c>
      <c r="C74" t="s">
        <v>48</v>
      </c>
      <c r="D74">
        <v>34613</v>
      </c>
      <c r="E74" s="2">
        <v>12931.74</v>
      </c>
    </row>
    <row r="75" spans="1:5" ht="15" x14ac:dyDescent="0.2">
      <c r="A75" s="1" t="s">
        <v>76</v>
      </c>
      <c r="B75" t="s">
        <v>13</v>
      </c>
      <c r="C75" t="s">
        <v>48</v>
      </c>
      <c r="D75">
        <v>34613</v>
      </c>
      <c r="E75" s="2">
        <v>1796683.51</v>
      </c>
    </row>
    <row r="76" spans="1:5" ht="15" x14ac:dyDescent="0.2">
      <c r="A76" s="1" t="s">
        <v>83</v>
      </c>
      <c r="B76" t="s">
        <v>23</v>
      </c>
      <c r="C76" t="s">
        <v>48</v>
      </c>
      <c r="D76">
        <v>34613</v>
      </c>
      <c r="E76" s="2">
        <v>743.69</v>
      </c>
    </row>
    <row r="77" spans="1:5" ht="15" x14ac:dyDescent="0.2">
      <c r="A77" s="1" t="s">
        <v>74</v>
      </c>
      <c r="B77" t="s">
        <v>11</v>
      </c>
      <c r="C77" t="s">
        <v>48</v>
      </c>
      <c r="D77">
        <v>34613</v>
      </c>
      <c r="E77" s="2">
        <v>109474.58</v>
      </c>
    </row>
    <row r="78" spans="1:5" ht="15" x14ac:dyDescent="0.2">
      <c r="A78" s="1" t="s">
        <v>72</v>
      </c>
      <c r="B78" t="s">
        <v>10</v>
      </c>
      <c r="C78" t="s">
        <v>48</v>
      </c>
      <c r="D78">
        <v>34613</v>
      </c>
      <c r="E78" s="2">
        <v>1494471.66</v>
      </c>
    </row>
    <row r="79" spans="1:5" ht="15" x14ac:dyDescent="0.2">
      <c r="A79" s="1" t="s">
        <v>97</v>
      </c>
      <c r="B79" t="s">
        <v>42</v>
      </c>
      <c r="C79" t="s">
        <v>48</v>
      </c>
      <c r="D79">
        <v>34613</v>
      </c>
      <c r="E79" s="2">
        <v>2138960.63</v>
      </c>
    </row>
    <row r="80" spans="1:5" ht="15" x14ac:dyDescent="0.2">
      <c r="A80" s="1" t="s">
        <v>99</v>
      </c>
      <c r="B80" t="s">
        <v>35</v>
      </c>
      <c r="C80" t="s">
        <v>48</v>
      </c>
      <c r="D80">
        <v>34613</v>
      </c>
      <c r="E80" s="2">
        <v>16763519.789999999</v>
      </c>
    </row>
    <row r="81" spans="1:5" ht="15" x14ac:dyDescent="0.2">
      <c r="A81" s="1" t="s">
        <v>77</v>
      </c>
      <c r="B81" t="s">
        <v>18</v>
      </c>
      <c r="C81" t="s">
        <v>48</v>
      </c>
      <c r="D81">
        <v>34613</v>
      </c>
      <c r="E81" s="2">
        <v>7221418.0300000003</v>
      </c>
    </row>
    <row r="82" spans="1:5" ht="15" x14ac:dyDescent="0.2">
      <c r="A82" s="1" t="s">
        <v>100</v>
      </c>
      <c r="B82" t="s">
        <v>43</v>
      </c>
      <c r="C82" t="s">
        <v>48</v>
      </c>
      <c r="D82">
        <v>34613</v>
      </c>
      <c r="E82" s="2">
        <v>339769.32</v>
      </c>
    </row>
    <row r="83" spans="1:5" ht="15" x14ac:dyDescent="0.2">
      <c r="A83" s="1" t="s">
        <v>81</v>
      </c>
      <c r="B83" t="s">
        <v>14</v>
      </c>
      <c r="C83" t="s">
        <v>48</v>
      </c>
      <c r="D83">
        <v>34613</v>
      </c>
      <c r="E83" s="2">
        <v>18717.689999999999</v>
      </c>
    </row>
    <row r="84" spans="1:5" ht="15" x14ac:dyDescent="0.2">
      <c r="A84" s="1" t="s">
        <v>78</v>
      </c>
      <c r="B84" t="s">
        <v>20</v>
      </c>
      <c r="C84" t="s">
        <v>48</v>
      </c>
      <c r="D84">
        <v>34613</v>
      </c>
      <c r="E84" s="2">
        <v>3852.41</v>
      </c>
    </row>
    <row r="85" spans="1:5" ht="15" x14ac:dyDescent="0.2">
      <c r="A85" s="1" t="s">
        <v>88</v>
      </c>
      <c r="B85" t="s">
        <v>27</v>
      </c>
      <c r="C85" t="s">
        <v>48</v>
      </c>
      <c r="D85">
        <v>34613</v>
      </c>
      <c r="E85" s="2">
        <v>1541915.71</v>
      </c>
    </row>
    <row r="86" spans="1:5" ht="15" x14ac:dyDescent="0.2">
      <c r="A86" s="1" t="s">
        <v>73</v>
      </c>
      <c r="B86" t="s">
        <v>17</v>
      </c>
      <c r="C86" t="s">
        <v>48</v>
      </c>
      <c r="D86">
        <v>34613</v>
      </c>
      <c r="E86" s="2">
        <v>835128.74</v>
      </c>
    </row>
    <row r="87" spans="1:5" ht="15" x14ac:dyDescent="0.2">
      <c r="A87" s="1" t="s">
        <v>104</v>
      </c>
      <c r="B87" t="s">
        <v>40</v>
      </c>
      <c r="C87" t="s">
        <v>48</v>
      </c>
      <c r="D87">
        <v>34613</v>
      </c>
      <c r="E87" s="2">
        <v>3943331.1</v>
      </c>
    </row>
    <row r="88" spans="1:5" ht="15" x14ac:dyDescent="0.2">
      <c r="A88" s="1" t="s">
        <v>66</v>
      </c>
      <c r="B88" t="s">
        <v>47</v>
      </c>
      <c r="C88" t="s">
        <v>48</v>
      </c>
      <c r="D88">
        <v>42461</v>
      </c>
      <c r="E88" s="2">
        <v>1211593.75</v>
      </c>
    </row>
    <row r="89" spans="1:5" ht="15" x14ac:dyDescent="0.2">
      <c r="A89" s="1" t="s">
        <v>89</v>
      </c>
      <c r="B89" t="s">
        <v>28</v>
      </c>
      <c r="C89" t="s">
        <v>48</v>
      </c>
      <c r="D89">
        <v>42461</v>
      </c>
      <c r="E89" s="2">
        <v>1692620.04</v>
      </c>
    </row>
    <row r="90" spans="1:5" ht="15" x14ac:dyDescent="0.2">
      <c r="A90" s="1" t="s">
        <v>90</v>
      </c>
      <c r="B90" t="s">
        <v>29</v>
      </c>
      <c r="C90" t="s">
        <v>48</v>
      </c>
      <c r="D90">
        <v>42461</v>
      </c>
      <c r="E90" s="2">
        <v>3146077.02</v>
      </c>
    </row>
    <row r="91" spans="1:5" ht="15" x14ac:dyDescent="0.2">
      <c r="A91" s="1" t="s">
        <v>92</v>
      </c>
      <c r="B91" t="s">
        <v>31</v>
      </c>
      <c r="C91" t="s">
        <v>48</v>
      </c>
      <c r="D91">
        <v>42461</v>
      </c>
      <c r="E91" s="2">
        <v>4080.72</v>
      </c>
    </row>
    <row r="92" spans="1:5" ht="15" x14ac:dyDescent="0.2">
      <c r="A92" s="1" t="s">
        <v>64</v>
      </c>
      <c r="B92" t="s">
        <v>3</v>
      </c>
      <c r="C92" t="s">
        <v>48</v>
      </c>
      <c r="D92">
        <v>42461</v>
      </c>
      <c r="E92" s="2">
        <v>21600026.309999999</v>
      </c>
    </row>
    <row r="93" spans="1:5" ht="15" x14ac:dyDescent="0.2">
      <c r="A93" s="1" t="s">
        <v>76</v>
      </c>
      <c r="B93" t="s">
        <v>13</v>
      </c>
      <c r="C93" t="s">
        <v>48</v>
      </c>
      <c r="D93">
        <v>42461</v>
      </c>
      <c r="E93" s="2">
        <v>903211.63</v>
      </c>
    </row>
    <row r="94" spans="1:5" ht="15" x14ac:dyDescent="0.2">
      <c r="A94" s="1" t="s">
        <v>83</v>
      </c>
      <c r="B94" t="s">
        <v>23</v>
      </c>
      <c r="C94" t="s">
        <v>48</v>
      </c>
      <c r="D94">
        <v>42461</v>
      </c>
      <c r="E94" s="2">
        <v>666.91</v>
      </c>
    </row>
    <row r="95" spans="1:5" ht="15" x14ac:dyDescent="0.2">
      <c r="A95" s="1" t="s">
        <v>74</v>
      </c>
      <c r="B95" t="s">
        <v>11</v>
      </c>
      <c r="C95" t="s">
        <v>48</v>
      </c>
      <c r="D95">
        <v>42461</v>
      </c>
      <c r="E95" s="2">
        <v>214553.54</v>
      </c>
    </row>
    <row r="96" spans="1:5" ht="15" x14ac:dyDescent="0.2">
      <c r="A96" s="1" t="s">
        <v>96</v>
      </c>
      <c r="B96" t="s">
        <v>44</v>
      </c>
      <c r="C96" t="s">
        <v>48</v>
      </c>
      <c r="D96">
        <v>42461</v>
      </c>
      <c r="E96" s="2">
        <v>696124.15</v>
      </c>
    </row>
    <row r="97" spans="1:5" ht="15" x14ac:dyDescent="0.2">
      <c r="A97" s="1" t="s">
        <v>81</v>
      </c>
      <c r="B97" t="s">
        <v>14</v>
      </c>
      <c r="C97" t="s">
        <v>48</v>
      </c>
      <c r="D97">
        <v>42461</v>
      </c>
      <c r="E97" s="2">
        <v>12710751.970000001</v>
      </c>
    </row>
    <row r="98" spans="1:5" ht="15" x14ac:dyDescent="0.2">
      <c r="A98" s="1" t="s">
        <v>73</v>
      </c>
      <c r="B98" t="s">
        <v>17</v>
      </c>
      <c r="C98" t="s">
        <v>48</v>
      </c>
      <c r="D98">
        <v>42461</v>
      </c>
      <c r="E98" s="2">
        <v>287193</v>
      </c>
    </row>
    <row r="99" spans="1:5" ht="15" x14ac:dyDescent="0.2">
      <c r="A99" s="1" t="s">
        <v>101</v>
      </c>
      <c r="B99" t="s">
        <v>39</v>
      </c>
      <c r="C99" t="s">
        <v>48</v>
      </c>
      <c r="D99">
        <v>42461</v>
      </c>
      <c r="E99" s="2">
        <v>300.22000000000003</v>
      </c>
    </row>
    <row r="100" spans="1:5" ht="15" x14ac:dyDescent="0.2">
      <c r="A100" s="1" t="s">
        <v>75</v>
      </c>
      <c r="B100" t="s">
        <v>19</v>
      </c>
      <c r="C100" t="s">
        <v>48</v>
      </c>
      <c r="D100">
        <v>42461</v>
      </c>
      <c r="E100" s="2">
        <v>1123807.47</v>
      </c>
    </row>
    <row r="101" spans="1:5" ht="15" x14ac:dyDescent="0.2">
      <c r="A101" s="1" t="s">
        <v>104</v>
      </c>
      <c r="B101" t="s">
        <v>40</v>
      </c>
      <c r="C101" t="s">
        <v>48</v>
      </c>
      <c r="D101">
        <v>42461</v>
      </c>
      <c r="E101" s="2">
        <v>769.87</v>
      </c>
    </row>
    <row r="102" spans="1:5" ht="15" x14ac:dyDescent="0.2">
      <c r="A102" s="1" t="s">
        <v>67</v>
      </c>
      <c r="B102" t="s">
        <v>5</v>
      </c>
      <c r="C102" t="s">
        <v>48</v>
      </c>
      <c r="D102">
        <v>53027</v>
      </c>
      <c r="E102" s="2">
        <v>-954090.03</v>
      </c>
    </row>
    <row r="103" spans="1:5" ht="15" x14ac:dyDescent="0.2">
      <c r="A103" s="1" t="s">
        <v>90</v>
      </c>
      <c r="B103" t="s">
        <v>29</v>
      </c>
      <c r="C103" t="s">
        <v>48</v>
      </c>
      <c r="D103">
        <v>53027</v>
      </c>
      <c r="E103" s="2">
        <v>4890657.05</v>
      </c>
    </row>
    <row r="104" spans="1:5" ht="15" x14ac:dyDescent="0.2">
      <c r="A104" s="1" t="s">
        <v>92</v>
      </c>
      <c r="B104" t="s">
        <v>31</v>
      </c>
      <c r="C104" t="s">
        <v>48</v>
      </c>
      <c r="D104">
        <v>53027</v>
      </c>
      <c r="E104" s="2">
        <v>7676971.21</v>
      </c>
    </row>
    <row r="105" spans="1:5" ht="15" x14ac:dyDescent="0.2">
      <c r="A105" s="1" t="s">
        <v>94</v>
      </c>
      <c r="B105" t="s">
        <v>33</v>
      </c>
      <c r="C105" t="s">
        <v>48</v>
      </c>
      <c r="D105">
        <v>53027</v>
      </c>
      <c r="E105" s="2">
        <v>7188827.9800000004</v>
      </c>
    </row>
    <row r="106" spans="1:5" ht="15" x14ac:dyDescent="0.2">
      <c r="A106" s="1" t="s">
        <v>85</v>
      </c>
      <c r="B106" t="s">
        <v>24</v>
      </c>
      <c r="C106" t="s">
        <v>48</v>
      </c>
      <c r="D106">
        <v>53027</v>
      </c>
      <c r="E106" s="2">
        <v>13460056.23</v>
      </c>
    </row>
    <row r="107" spans="1:5" ht="15" x14ac:dyDescent="0.2">
      <c r="A107" s="1" t="s">
        <v>84</v>
      </c>
      <c r="B107" t="s">
        <v>16</v>
      </c>
      <c r="C107" t="s">
        <v>48</v>
      </c>
      <c r="D107">
        <v>53027</v>
      </c>
      <c r="E107" s="2">
        <v>3217763.93</v>
      </c>
    </row>
    <row r="108" spans="1:5" ht="15" x14ac:dyDescent="0.2">
      <c r="A108" s="1" t="s">
        <v>95</v>
      </c>
      <c r="B108" t="s">
        <v>38</v>
      </c>
      <c r="C108" t="s">
        <v>48</v>
      </c>
      <c r="D108">
        <v>53027</v>
      </c>
      <c r="E108" s="2">
        <v>31500100.390000001</v>
      </c>
    </row>
    <row r="109" spans="1:5" ht="15" x14ac:dyDescent="0.2">
      <c r="A109" s="1" t="s">
        <v>76</v>
      </c>
      <c r="B109" t="s">
        <v>13</v>
      </c>
      <c r="C109" t="s">
        <v>48</v>
      </c>
      <c r="D109">
        <v>53027</v>
      </c>
      <c r="E109" s="2">
        <v>1401916.91</v>
      </c>
    </row>
    <row r="110" spans="1:5" ht="15" x14ac:dyDescent="0.2">
      <c r="A110" s="1" t="s">
        <v>77</v>
      </c>
      <c r="B110" t="s">
        <v>18</v>
      </c>
      <c r="C110" t="s">
        <v>48</v>
      </c>
      <c r="D110">
        <v>53027</v>
      </c>
      <c r="E110" s="2">
        <v>5597614.8700000001</v>
      </c>
    </row>
    <row r="111" spans="1:5" ht="15" x14ac:dyDescent="0.2">
      <c r="A111" s="1" t="s">
        <v>88</v>
      </c>
      <c r="B111" t="s">
        <v>27</v>
      </c>
      <c r="C111" t="s">
        <v>48</v>
      </c>
      <c r="D111">
        <v>53027</v>
      </c>
      <c r="E111" s="2">
        <v>543778.06000000006</v>
      </c>
    </row>
    <row r="112" spans="1:5" ht="15" x14ac:dyDescent="0.2">
      <c r="A112" s="1" t="s">
        <v>73</v>
      </c>
      <c r="B112" t="s">
        <v>17</v>
      </c>
      <c r="C112" t="s">
        <v>48</v>
      </c>
      <c r="D112">
        <v>53027</v>
      </c>
      <c r="E112" s="2">
        <v>1766731.93</v>
      </c>
    </row>
    <row r="113" spans="1:5" ht="15" x14ac:dyDescent="0.2">
      <c r="A113" s="1" t="s">
        <v>101</v>
      </c>
      <c r="B113" t="s">
        <v>39</v>
      </c>
      <c r="C113" t="s">
        <v>48</v>
      </c>
      <c r="D113">
        <v>53027</v>
      </c>
      <c r="E113" s="2">
        <v>2364863.87</v>
      </c>
    </row>
    <row r="114" spans="1:5" ht="15" x14ac:dyDescent="0.2">
      <c r="A114" s="1" t="s">
        <v>104</v>
      </c>
      <c r="B114" t="s">
        <v>40</v>
      </c>
      <c r="C114" t="s">
        <v>48</v>
      </c>
      <c r="D114">
        <v>53027</v>
      </c>
      <c r="E114" s="2">
        <v>13056940.85</v>
      </c>
    </row>
    <row r="115" spans="1:5" ht="15" x14ac:dyDescent="0.2">
      <c r="A115" s="1" t="s">
        <v>71</v>
      </c>
      <c r="B115" t="s">
        <v>9</v>
      </c>
      <c r="C115" t="s">
        <v>48</v>
      </c>
      <c r="D115">
        <v>53027</v>
      </c>
      <c r="E115" s="2">
        <v>33577930.109999999</v>
      </c>
    </row>
    <row r="116" spans="1:5" ht="15" x14ac:dyDescent="0.2">
      <c r="A116" s="1" t="s">
        <v>66</v>
      </c>
      <c r="B116" t="s">
        <v>47</v>
      </c>
      <c r="C116" t="s">
        <v>48</v>
      </c>
      <c r="D116">
        <v>53681</v>
      </c>
      <c r="E116" s="2">
        <v>918.34</v>
      </c>
    </row>
    <row r="117" spans="1:5" ht="15" x14ac:dyDescent="0.2">
      <c r="A117" s="1" t="s">
        <v>86</v>
      </c>
      <c r="B117" t="s">
        <v>25</v>
      </c>
      <c r="C117" t="s">
        <v>48</v>
      </c>
      <c r="D117">
        <v>53681</v>
      </c>
      <c r="E117" s="2">
        <v>1386976.77</v>
      </c>
    </row>
    <row r="118" spans="1:5" ht="15" x14ac:dyDescent="0.2">
      <c r="A118" s="1" t="s">
        <v>89</v>
      </c>
      <c r="B118" t="s">
        <v>28</v>
      </c>
      <c r="C118" t="s">
        <v>48</v>
      </c>
      <c r="D118">
        <v>53681</v>
      </c>
      <c r="E118" s="2">
        <v>1170877.07</v>
      </c>
    </row>
    <row r="119" spans="1:5" ht="15" x14ac:dyDescent="0.2">
      <c r="A119" s="1" t="s">
        <v>93</v>
      </c>
      <c r="B119" t="s">
        <v>32</v>
      </c>
      <c r="C119" t="s">
        <v>48</v>
      </c>
      <c r="D119">
        <v>53681</v>
      </c>
      <c r="E119" s="2">
        <v>13881072</v>
      </c>
    </row>
    <row r="120" spans="1:5" ht="15" x14ac:dyDescent="0.2">
      <c r="A120" s="1" t="s">
        <v>68</v>
      </c>
      <c r="B120" t="s">
        <v>6</v>
      </c>
      <c r="C120" t="s">
        <v>48</v>
      </c>
      <c r="D120">
        <v>53681</v>
      </c>
      <c r="E120" s="2">
        <v>790935.91</v>
      </c>
    </row>
    <row r="121" spans="1:5" ht="15" x14ac:dyDescent="0.2">
      <c r="A121" s="1" t="s">
        <v>88</v>
      </c>
      <c r="B121" t="s">
        <v>27</v>
      </c>
      <c r="C121" t="s">
        <v>48</v>
      </c>
      <c r="D121">
        <v>53681</v>
      </c>
      <c r="E121" s="2">
        <v>1464487.2</v>
      </c>
    </row>
    <row r="122" spans="1:5" ht="15" x14ac:dyDescent="0.2">
      <c r="A122" s="1" t="s">
        <v>75</v>
      </c>
      <c r="B122" t="s">
        <v>19</v>
      </c>
      <c r="C122" t="s">
        <v>48</v>
      </c>
      <c r="D122">
        <v>53681</v>
      </c>
      <c r="E122" s="2">
        <v>660593.25</v>
      </c>
    </row>
    <row r="123" spans="1:5" ht="15" x14ac:dyDescent="0.2">
      <c r="A123" s="1" t="s">
        <v>65</v>
      </c>
      <c r="B123" t="s">
        <v>4</v>
      </c>
      <c r="C123" t="s">
        <v>48</v>
      </c>
      <c r="D123">
        <v>53681</v>
      </c>
      <c r="E123" s="2">
        <v>301179.5</v>
      </c>
    </row>
    <row r="124" spans="1:5" ht="15" x14ac:dyDescent="0.2">
      <c r="A124" s="1" t="s">
        <v>82</v>
      </c>
      <c r="B124" t="s">
        <v>15</v>
      </c>
      <c r="C124" t="s">
        <v>48</v>
      </c>
      <c r="D124">
        <v>53681</v>
      </c>
      <c r="E124" s="2">
        <v>3848872.51</v>
      </c>
    </row>
    <row r="125" spans="1:5" ht="15" x14ac:dyDescent="0.2">
      <c r="A125" s="1" t="s">
        <v>66</v>
      </c>
      <c r="B125" t="s">
        <v>47</v>
      </c>
      <c r="C125" t="s">
        <v>48</v>
      </c>
      <c r="D125">
        <v>56073</v>
      </c>
      <c r="E125" s="2">
        <v>1647887.95</v>
      </c>
    </row>
    <row r="126" spans="1:5" ht="15" x14ac:dyDescent="0.2">
      <c r="A126" s="1" t="s">
        <v>86</v>
      </c>
      <c r="B126" t="s">
        <v>25</v>
      </c>
      <c r="C126" t="s">
        <v>48</v>
      </c>
      <c r="D126">
        <v>56073</v>
      </c>
      <c r="E126" s="2">
        <v>4537873.5999999996</v>
      </c>
    </row>
    <row r="127" spans="1:5" ht="15" x14ac:dyDescent="0.2">
      <c r="A127" s="1" t="s">
        <v>90</v>
      </c>
      <c r="B127" t="s">
        <v>29</v>
      </c>
      <c r="C127" t="s">
        <v>48</v>
      </c>
      <c r="D127">
        <v>56073</v>
      </c>
      <c r="E127" s="2">
        <v>1623807.33</v>
      </c>
    </row>
    <row r="128" spans="1:5" ht="15" x14ac:dyDescent="0.2">
      <c r="A128" s="1" t="s">
        <v>92</v>
      </c>
      <c r="B128" t="s">
        <v>31</v>
      </c>
      <c r="C128" t="s">
        <v>48</v>
      </c>
      <c r="D128">
        <v>56073</v>
      </c>
      <c r="E128" s="2">
        <v>3681631.83</v>
      </c>
    </row>
    <row r="129" spans="1:5" ht="15" x14ac:dyDescent="0.2">
      <c r="A129" s="1" t="s">
        <v>75</v>
      </c>
      <c r="B129" t="s">
        <v>12</v>
      </c>
      <c r="C129" t="s">
        <v>48</v>
      </c>
      <c r="D129">
        <v>56073</v>
      </c>
      <c r="E129" s="2">
        <v>3166769.5</v>
      </c>
    </row>
    <row r="130" spans="1:5" ht="15" x14ac:dyDescent="0.2">
      <c r="A130" s="1" t="s">
        <v>95</v>
      </c>
      <c r="B130" t="s">
        <v>38</v>
      </c>
      <c r="C130" t="s">
        <v>48</v>
      </c>
      <c r="D130">
        <v>56073</v>
      </c>
      <c r="E130" s="2">
        <v>22208936.420000002</v>
      </c>
    </row>
    <row r="131" spans="1:5" ht="15" x14ac:dyDescent="0.2">
      <c r="A131" s="1" t="s">
        <v>76</v>
      </c>
      <c r="B131" t="s">
        <v>13</v>
      </c>
      <c r="C131" t="s">
        <v>48</v>
      </c>
      <c r="D131">
        <v>56073</v>
      </c>
      <c r="E131" s="2">
        <v>1469817.5</v>
      </c>
    </row>
    <row r="132" spans="1:5" ht="15" x14ac:dyDescent="0.2">
      <c r="A132" s="1" t="s">
        <v>83</v>
      </c>
      <c r="B132" t="s">
        <v>23</v>
      </c>
      <c r="C132" t="s">
        <v>48</v>
      </c>
      <c r="D132">
        <v>56073</v>
      </c>
      <c r="E132" s="2">
        <v>3880289.53</v>
      </c>
    </row>
    <row r="133" spans="1:5" ht="15" x14ac:dyDescent="0.2">
      <c r="A133" s="1" t="s">
        <v>96</v>
      </c>
      <c r="B133" t="s">
        <v>44</v>
      </c>
      <c r="C133" t="s">
        <v>48</v>
      </c>
      <c r="D133">
        <v>56073</v>
      </c>
      <c r="E133" s="2">
        <v>975967.03</v>
      </c>
    </row>
    <row r="134" spans="1:5" ht="15" x14ac:dyDescent="0.2">
      <c r="A134" s="1" t="s">
        <v>99</v>
      </c>
      <c r="B134" t="s">
        <v>35</v>
      </c>
      <c r="C134" t="s">
        <v>48</v>
      </c>
      <c r="D134">
        <v>56073</v>
      </c>
      <c r="E134" s="2">
        <v>4413365.6399999997</v>
      </c>
    </row>
    <row r="135" spans="1:5" ht="15" x14ac:dyDescent="0.2">
      <c r="A135" s="1" t="s">
        <v>103</v>
      </c>
      <c r="B135" t="s">
        <v>37</v>
      </c>
      <c r="C135" t="s">
        <v>48</v>
      </c>
      <c r="D135">
        <v>56073</v>
      </c>
      <c r="E135" s="2">
        <v>226.73</v>
      </c>
    </row>
    <row r="136" spans="1:5" ht="15" x14ac:dyDescent="0.2">
      <c r="A136" s="1" t="s">
        <v>101</v>
      </c>
      <c r="B136" t="s">
        <v>39</v>
      </c>
      <c r="C136" t="s">
        <v>48</v>
      </c>
      <c r="D136">
        <v>56073</v>
      </c>
      <c r="E136" s="2">
        <v>642850.96</v>
      </c>
    </row>
    <row r="137" spans="1:5" ht="15" x14ac:dyDescent="0.2">
      <c r="A137" s="1" t="s">
        <v>66</v>
      </c>
      <c r="B137" t="s">
        <v>47</v>
      </c>
      <c r="C137" t="s">
        <v>48</v>
      </c>
      <c r="D137">
        <v>63220</v>
      </c>
      <c r="E137" s="2">
        <v>500761.72</v>
      </c>
    </row>
    <row r="138" spans="1:5" ht="15" x14ac:dyDescent="0.2">
      <c r="A138" s="1" t="s">
        <v>67</v>
      </c>
      <c r="B138" t="s">
        <v>5</v>
      </c>
      <c r="C138" t="s">
        <v>48</v>
      </c>
      <c r="D138">
        <v>63220</v>
      </c>
      <c r="E138" s="2">
        <v>-892229.05</v>
      </c>
    </row>
    <row r="139" spans="1:5" ht="15" x14ac:dyDescent="0.2">
      <c r="A139" s="1" t="s">
        <v>91</v>
      </c>
      <c r="B139" t="s">
        <v>30</v>
      </c>
      <c r="C139" t="s">
        <v>48</v>
      </c>
      <c r="D139">
        <v>63220</v>
      </c>
      <c r="E139" s="2">
        <v>10932.29</v>
      </c>
    </row>
    <row r="140" spans="1:5" ht="15" x14ac:dyDescent="0.2">
      <c r="A140" s="1" t="s">
        <v>93</v>
      </c>
      <c r="B140" t="s">
        <v>32</v>
      </c>
      <c r="C140" t="s">
        <v>48</v>
      </c>
      <c r="D140">
        <v>63220</v>
      </c>
      <c r="E140" s="2">
        <v>29505996.550000001</v>
      </c>
    </row>
    <row r="141" spans="1:5" ht="15" x14ac:dyDescent="0.2">
      <c r="A141" s="1" t="s">
        <v>84</v>
      </c>
      <c r="B141" t="s">
        <v>16</v>
      </c>
      <c r="C141" t="s">
        <v>48</v>
      </c>
      <c r="D141">
        <v>63220</v>
      </c>
      <c r="E141" s="2">
        <v>2797.67</v>
      </c>
    </row>
    <row r="142" spans="1:5" ht="15" x14ac:dyDescent="0.2">
      <c r="A142" s="1" t="s">
        <v>95</v>
      </c>
      <c r="B142" t="s">
        <v>38</v>
      </c>
      <c r="C142" t="s">
        <v>48</v>
      </c>
      <c r="D142">
        <v>63220</v>
      </c>
      <c r="E142" s="2">
        <v>96878491.909999996</v>
      </c>
    </row>
    <row r="143" spans="1:5" ht="15" x14ac:dyDescent="0.2">
      <c r="A143" s="1" t="s">
        <v>96</v>
      </c>
      <c r="B143" t="s">
        <v>44</v>
      </c>
      <c r="C143" t="s">
        <v>48</v>
      </c>
      <c r="D143">
        <v>63220</v>
      </c>
      <c r="E143" s="2">
        <v>8710.84</v>
      </c>
    </row>
    <row r="144" spans="1:5" ht="15" x14ac:dyDescent="0.2">
      <c r="A144" s="1" t="s">
        <v>100</v>
      </c>
      <c r="B144" t="s">
        <v>43</v>
      </c>
      <c r="C144" t="s">
        <v>48</v>
      </c>
      <c r="D144">
        <v>63220</v>
      </c>
      <c r="E144" s="2">
        <v>318273.76</v>
      </c>
    </row>
    <row r="145" spans="1:5" ht="15" x14ac:dyDescent="0.2">
      <c r="A145" s="1" t="s">
        <v>81</v>
      </c>
      <c r="B145" t="s">
        <v>14</v>
      </c>
      <c r="C145" t="s">
        <v>48</v>
      </c>
      <c r="D145">
        <v>63220</v>
      </c>
      <c r="E145" s="2">
        <v>1581</v>
      </c>
    </row>
    <row r="146" spans="1:5" ht="15" x14ac:dyDescent="0.2">
      <c r="A146" s="1" t="s">
        <v>78</v>
      </c>
      <c r="B146" t="s">
        <v>20</v>
      </c>
      <c r="C146" t="s">
        <v>48</v>
      </c>
      <c r="D146">
        <v>63220</v>
      </c>
      <c r="E146" s="2">
        <v>676625.21</v>
      </c>
    </row>
    <row r="147" spans="1:5" ht="15" x14ac:dyDescent="0.2">
      <c r="A147" s="1" t="s">
        <v>104</v>
      </c>
      <c r="B147" t="s">
        <v>40</v>
      </c>
      <c r="C147" t="s">
        <v>48</v>
      </c>
      <c r="D147">
        <v>63220</v>
      </c>
      <c r="E147" s="2">
        <v>0.44</v>
      </c>
    </row>
    <row r="148" spans="1:5" ht="15" x14ac:dyDescent="0.2">
      <c r="A148" s="1" t="s">
        <v>67</v>
      </c>
      <c r="B148" t="s">
        <v>5</v>
      </c>
      <c r="C148" t="s">
        <v>48</v>
      </c>
      <c r="D148">
        <v>63403</v>
      </c>
      <c r="E148" s="2">
        <v>8915.9</v>
      </c>
    </row>
    <row r="149" spans="1:5" ht="15" x14ac:dyDescent="0.2">
      <c r="A149" s="1" t="s">
        <v>79</v>
      </c>
      <c r="B149" t="s">
        <v>21</v>
      </c>
      <c r="C149" t="s">
        <v>48</v>
      </c>
      <c r="D149">
        <v>63403</v>
      </c>
      <c r="E149" s="2">
        <v>3259225.93</v>
      </c>
    </row>
    <row r="150" spans="1:5" ht="15" x14ac:dyDescent="0.2">
      <c r="A150" s="1" t="s">
        <v>92</v>
      </c>
      <c r="B150" t="s">
        <v>31</v>
      </c>
      <c r="C150" t="s">
        <v>48</v>
      </c>
      <c r="D150">
        <v>63403</v>
      </c>
      <c r="E150" s="2">
        <v>6121669.6500000004</v>
      </c>
    </row>
    <row r="151" spans="1:5" ht="15" x14ac:dyDescent="0.2">
      <c r="A151" s="1" t="s">
        <v>95</v>
      </c>
      <c r="B151" t="s">
        <v>38</v>
      </c>
      <c r="C151" t="s">
        <v>48</v>
      </c>
      <c r="D151">
        <v>63403</v>
      </c>
      <c r="E151" s="2">
        <v>54005807.990000002</v>
      </c>
    </row>
    <row r="152" spans="1:5" ht="15" x14ac:dyDescent="0.2">
      <c r="A152" s="1" t="s">
        <v>76</v>
      </c>
      <c r="B152" t="s">
        <v>13</v>
      </c>
      <c r="C152" t="s">
        <v>48</v>
      </c>
      <c r="D152">
        <v>63403</v>
      </c>
      <c r="E152" s="2">
        <v>1340626.28</v>
      </c>
    </row>
    <row r="153" spans="1:5" ht="15" x14ac:dyDescent="0.2">
      <c r="A153" s="1" t="s">
        <v>74</v>
      </c>
      <c r="B153" t="s">
        <v>11</v>
      </c>
      <c r="C153" t="s">
        <v>48</v>
      </c>
      <c r="D153">
        <v>63403</v>
      </c>
      <c r="E153" s="2">
        <v>152093.14000000001</v>
      </c>
    </row>
    <row r="154" spans="1:5" ht="15" x14ac:dyDescent="0.2">
      <c r="A154" s="1" t="s">
        <v>72</v>
      </c>
      <c r="B154" t="s">
        <v>10</v>
      </c>
      <c r="C154" t="s">
        <v>48</v>
      </c>
      <c r="D154">
        <v>63403</v>
      </c>
      <c r="E154" s="2">
        <v>4270046.5</v>
      </c>
    </row>
    <row r="155" spans="1:5" ht="15" x14ac:dyDescent="0.2">
      <c r="A155" s="1" t="s">
        <v>97</v>
      </c>
      <c r="B155" t="s">
        <v>42</v>
      </c>
      <c r="C155" t="s">
        <v>48</v>
      </c>
      <c r="D155">
        <v>63403</v>
      </c>
      <c r="E155" s="2">
        <v>825.85</v>
      </c>
    </row>
    <row r="156" spans="1:5" ht="15" x14ac:dyDescent="0.2">
      <c r="A156" s="1" t="s">
        <v>99</v>
      </c>
      <c r="B156" t="s">
        <v>35</v>
      </c>
      <c r="C156" t="s">
        <v>48</v>
      </c>
      <c r="D156">
        <v>63403</v>
      </c>
      <c r="E156" s="2">
        <v>2986436.35</v>
      </c>
    </row>
    <row r="157" spans="1:5" ht="15" x14ac:dyDescent="0.2">
      <c r="A157" s="1" t="s">
        <v>68</v>
      </c>
      <c r="B157" t="s">
        <v>6</v>
      </c>
      <c r="C157" t="s">
        <v>48</v>
      </c>
      <c r="D157">
        <v>63403</v>
      </c>
      <c r="E157" s="2">
        <v>1010229.03</v>
      </c>
    </row>
    <row r="158" spans="1:5" ht="15" x14ac:dyDescent="0.2">
      <c r="A158" s="1" t="s">
        <v>75</v>
      </c>
      <c r="B158" t="s">
        <v>19</v>
      </c>
      <c r="C158" t="s">
        <v>48</v>
      </c>
      <c r="D158">
        <v>63403</v>
      </c>
      <c r="E158" s="2">
        <v>704562.61</v>
      </c>
    </row>
    <row r="159" spans="1:5" ht="15" x14ac:dyDescent="0.2">
      <c r="A159" s="1" t="s">
        <v>104</v>
      </c>
      <c r="B159" t="s">
        <v>40</v>
      </c>
      <c r="C159" t="s">
        <v>48</v>
      </c>
      <c r="D159">
        <v>63403</v>
      </c>
      <c r="E159" s="2">
        <v>4395904.62</v>
      </c>
    </row>
    <row r="160" spans="1:5" ht="15" x14ac:dyDescent="0.2">
      <c r="A160" s="1" t="s">
        <v>66</v>
      </c>
      <c r="B160" t="s">
        <v>47</v>
      </c>
      <c r="C160" t="s">
        <v>48</v>
      </c>
      <c r="D160">
        <v>72739</v>
      </c>
      <c r="E160" s="2">
        <v>1134482.83</v>
      </c>
    </row>
    <row r="161" spans="1:5" ht="15" x14ac:dyDescent="0.2">
      <c r="A161" s="1" t="s">
        <v>79</v>
      </c>
      <c r="B161" t="s">
        <v>21</v>
      </c>
      <c r="C161" t="s">
        <v>48</v>
      </c>
      <c r="D161">
        <v>72739</v>
      </c>
      <c r="E161" s="2">
        <v>1917011.41</v>
      </c>
    </row>
    <row r="162" spans="1:5" ht="15" x14ac:dyDescent="0.2">
      <c r="A162" s="1" t="s">
        <v>90</v>
      </c>
      <c r="B162" t="s">
        <v>29</v>
      </c>
      <c r="C162" t="s">
        <v>48</v>
      </c>
      <c r="D162">
        <v>72739</v>
      </c>
      <c r="E162" s="2">
        <v>5541004.3700000001</v>
      </c>
    </row>
    <row r="163" spans="1:5" ht="15" x14ac:dyDescent="0.2">
      <c r="A163" s="1" t="s">
        <v>92</v>
      </c>
      <c r="B163" t="s">
        <v>31</v>
      </c>
      <c r="C163" t="s">
        <v>48</v>
      </c>
      <c r="D163">
        <v>72739</v>
      </c>
      <c r="E163" s="2">
        <v>4002979.15</v>
      </c>
    </row>
    <row r="164" spans="1:5" ht="15" x14ac:dyDescent="0.2">
      <c r="A164" s="1" t="s">
        <v>94</v>
      </c>
      <c r="B164" t="s">
        <v>33</v>
      </c>
      <c r="C164" t="s">
        <v>48</v>
      </c>
      <c r="D164">
        <v>72739</v>
      </c>
      <c r="E164" s="2">
        <v>6782.11</v>
      </c>
    </row>
    <row r="165" spans="1:5" ht="15" x14ac:dyDescent="0.2">
      <c r="A165" s="1" t="s">
        <v>85</v>
      </c>
      <c r="B165" t="s">
        <v>24</v>
      </c>
      <c r="C165" t="s">
        <v>48</v>
      </c>
      <c r="D165">
        <v>72739</v>
      </c>
      <c r="E165" s="2">
        <v>0.4</v>
      </c>
    </row>
    <row r="166" spans="1:5" ht="15" x14ac:dyDescent="0.2">
      <c r="A166" s="1" t="s">
        <v>84</v>
      </c>
      <c r="B166" t="s">
        <v>16</v>
      </c>
      <c r="C166" t="s">
        <v>48</v>
      </c>
      <c r="D166">
        <v>72739</v>
      </c>
      <c r="E166" s="2">
        <v>555456.22</v>
      </c>
    </row>
    <row r="167" spans="1:5" ht="15" x14ac:dyDescent="0.2">
      <c r="A167" s="1" t="s">
        <v>83</v>
      </c>
      <c r="B167" t="s">
        <v>23</v>
      </c>
      <c r="C167" t="s">
        <v>48</v>
      </c>
      <c r="D167">
        <v>72739</v>
      </c>
      <c r="E167" s="2">
        <v>1887.47</v>
      </c>
    </row>
    <row r="168" spans="1:5" ht="15" x14ac:dyDescent="0.2">
      <c r="A168" s="1" t="s">
        <v>72</v>
      </c>
      <c r="B168" t="s">
        <v>10</v>
      </c>
      <c r="C168" t="s">
        <v>48</v>
      </c>
      <c r="D168">
        <v>72739</v>
      </c>
      <c r="E168" s="2">
        <v>2500391.64</v>
      </c>
    </row>
    <row r="169" spans="1:5" ht="15" x14ac:dyDescent="0.2">
      <c r="A169" s="1" t="s">
        <v>96</v>
      </c>
      <c r="B169" t="s">
        <v>44</v>
      </c>
      <c r="C169" t="s">
        <v>48</v>
      </c>
      <c r="D169">
        <v>72739</v>
      </c>
      <c r="E169" s="2">
        <v>1617037.43</v>
      </c>
    </row>
    <row r="170" spans="1:5" ht="15" x14ac:dyDescent="0.2">
      <c r="A170" s="1" t="s">
        <v>68</v>
      </c>
      <c r="B170" t="s">
        <v>6</v>
      </c>
      <c r="C170" t="s">
        <v>48</v>
      </c>
      <c r="D170">
        <v>72739</v>
      </c>
      <c r="E170" s="2">
        <v>734591.92</v>
      </c>
    </row>
    <row r="171" spans="1:5" ht="15" x14ac:dyDescent="0.2">
      <c r="A171" s="1" t="s">
        <v>103</v>
      </c>
      <c r="B171" t="s">
        <v>37</v>
      </c>
      <c r="C171" t="s">
        <v>48</v>
      </c>
      <c r="D171">
        <v>72739</v>
      </c>
      <c r="E171" s="2">
        <v>5896049.2300000004</v>
      </c>
    </row>
    <row r="172" spans="1:5" ht="15" x14ac:dyDescent="0.2">
      <c r="A172" s="1" t="s">
        <v>65</v>
      </c>
      <c r="B172" t="s">
        <v>4</v>
      </c>
      <c r="C172" t="s">
        <v>48</v>
      </c>
      <c r="D172">
        <v>72739</v>
      </c>
      <c r="E172" s="2">
        <v>2011693</v>
      </c>
    </row>
    <row r="173" spans="1:5" ht="15" x14ac:dyDescent="0.2">
      <c r="A173" s="1" t="s">
        <v>66</v>
      </c>
      <c r="B173" t="s">
        <v>47</v>
      </c>
      <c r="C173" t="s">
        <v>48</v>
      </c>
      <c r="D173">
        <v>75250</v>
      </c>
      <c r="E173" s="2">
        <v>617.70000000000005</v>
      </c>
    </row>
    <row r="174" spans="1:5" ht="15" x14ac:dyDescent="0.2">
      <c r="A174" s="1" t="s">
        <v>89</v>
      </c>
      <c r="B174" t="s">
        <v>28</v>
      </c>
      <c r="C174" t="s">
        <v>48</v>
      </c>
      <c r="D174">
        <v>75250</v>
      </c>
      <c r="E174" s="2">
        <v>2060836.77</v>
      </c>
    </row>
    <row r="175" spans="1:5" ht="15" x14ac:dyDescent="0.2">
      <c r="A175" s="1" t="s">
        <v>85</v>
      </c>
      <c r="B175" t="s">
        <v>24</v>
      </c>
      <c r="C175" t="s">
        <v>48</v>
      </c>
      <c r="D175">
        <v>75250</v>
      </c>
      <c r="E175" s="2">
        <v>5616881.2000000002</v>
      </c>
    </row>
    <row r="176" spans="1:5" ht="15" x14ac:dyDescent="0.2">
      <c r="A176" s="1" t="s">
        <v>84</v>
      </c>
      <c r="B176" t="s">
        <v>16</v>
      </c>
      <c r="C176" t="s">
        <v>48</v>
      </c>
      <c r="D176">
        <v>75250</v>
      </c>
      <c r="E176" s="2">
        <v>1643112.63</v>
      </c>
    </row>
    <row r="177" spans="1:5" ht="15" x14ac:dyDescent="0.2">
      <c r="A177" s="1" t="s">
        <v>75</v>
      </c>
      <c r="B177" t="s">
        <v>12</v>
      </c>
      <c r="C177" t="s">
        <v>48</v>
      </c>
      <c r="D177">
        <v>75250</v>
      </c>
      <c r="E177" s="2">
        <v>3318876.83</v>
      </c>
    </row>
    <row r="178" spans="1:5" ht="15" x14ac:dyDescent="0.2">
      <c r="A178" s="1" t="s">
        <v>72</v>
      </c>
      <c r="B178" t="s">
        <v>10</v>
      </c>
      <c r="C178" t="s">
        <v>48</v>
      </c>
      <c r="D178">
        <v>75250</v>
      </c>
      <c r="E178" s="2">
        <v>1894235.21</v>
      </c>
    </row>
    <row r="179" spans="1:5" ht="15" x14ac:dyDescent="0.2">
      <c r="A179" s="1" t="s">
        <v>68</v>
      </c>
      <c r="B179" t="s">
        <v>6</v>
      </c>
      <c r="C179" t="s">
        <v>48</v>
      </c>
      <c r="D179">
        <v>75250</v>
      </c>
      <c r="E179" s="2">
        <v>3419776.83</v>
      </c>
    </row>
    <row r="180" spans="1:5" ht="15" x14ac:dyDescent="0.2">
      <c r="A180" s="1" t="s">
        <v>100</v>
      </c>
      <c r="B180" t="s">
        <v>43</v>
      </c>
      <c r="C180" t="s">
        <v>48</v>
      </c>
      <c r="D180">
        <v>75250</v>
      </c>
      <c r="E180" s="2">
        <v>575025.88</v>
      </c>
    </row>
    <row r="181" spans="1:5" ht="15" x14ac:dyDescent="0.2">
      <c r="A181" s="1" t="s">
        <v>81</v>
      </c>
      <c r="B181" t="s">
        <v>14</v>
      </c>
      <c r="C181" t="s">
        <v>48</v>
      </c>
      <c r="D181">
        <v>75250</v>
      </c>
      <c r="E181" s="2">
        <v>3075.42</v>
      </c>
    </row>
    <row r="182" spans="1:5" ht="15" x14ac:dyDescent="0.2">
      <c r="A182" s="1" t="s">
        <v>88</v>
      </c>
      <c r="B182" t="s">
        <v>27</v>
      </c>
      <c r="C182" t="s">
        <v>48</v>
      </c>
      <c r="D182">
        <v>75250</v>
      </c>
      <c r="E182" s="2">
        <v>1225272.22</v>
      </c>
    </row>
    <row r="183" spans="1:5" ht="15" x14ac:dyDescent="0.2">
      <c r="A183" s="1" t="s">
        <v>101</v>
      </c>
      <c r="B183" t="s">
        <v>39</v>
      </c>
      <c r="C183" t="s">
        <v>48</v>
      </c>
      <c r="D183">
        <v>75250</v>
      </c>
      <c r="E183" s="2">
        <v>1349981.45</v>
      </c>
    </row>
    <row r="184" spans="1:5" ht="15" x14ac:dyDescent="0.2">
      <c r="A184" s="1" t="s">
        <v>104</v>
      </c>
      <c r="B184" t="s">
        <v>40</v>
      </c>
      <c r="C184" t="s">
        <v>48</v>
      </c>
      <c r="D184">
        <v>75250</v>
      </c>
      <c r="E184" s="2">
        <v>4411657.79</v>
      </c>
    </row>
    <row r="185" spans="1:5" ht="15" x14ac:dyDescent="0.2">
      <c r="A185" s="1" t="s">
        <v>71</v>
      </c>
      <c r="B185" t="s">
        <v>9</v>
      </c>
      <c r="C185" t="s">
        <v>48</v>
      </c>
      <c r="D185">
        <v>75250</v>
      </c>
      <c r="E185" s="2">
        <v>805.35</v>
      </c>
    </row>
    <row r="186" spans="1:5" ht="15" x14ac:dyDescent="0.2">
      <c r="A186" s="1" t="s">
        <v>89</v>
      </c>
      <c r="B186" t="s">
        <v>28</v>
      </c>
      <c r="C186" t="s">
        <v>48</v>
      </c>
      <c r="D186">
        <v>79863</v>
      </c>
      <c r="E186" s="2">
        <v>9630.4599999999991</v>
      </c>
    </row>
    <row r="187" spans="1:5" ht="15" x14ac:dyDescent="0.2">
      <c r="A187" s="1" t="s">
        <v>90</v>
      </c>
      <c r="B187" t="s">
        <v>29</v>
      </c>
      <c r="C187" t="s">
        <v>48</v>
      </c>
      <c r="D187">
        <v>79863</v>
      </c>
      <c r="E187" s="2">
        <v>5252723.95</v>
      </c>
    </row>
    <row r="188" spans="1:5" ht="15" x14ac:dyDescent="0.2">
      <c r="A188" s="1" t="s">
        <v>92</v>
      </c>
      <c r="B188" t="s">
        <v>31</v>
      </c>
      <c r="C188" t="s">
        <v>48</v>
      </c>
      <c r="D188">
        <v>79863</v>
      </c>
      <c r="E188" s="2">
        <v>9100958.0299999993</v>
      </c>
    </row>
    <row r="189" spans="1:5" ht="15" x14ac:dyDescent="0.2">
      <c r="A189" s="1" t="s">
        <v>94</v>
      </c>
      <c r="B189" t="s">
        <v>33</v>
      </c>
      <c r="C189" t="s">
        <v>48</v>
      </c>
      <c r="D189">
        <v>79863</v>
      </c>
      <c r="E189" s="2">
        <v>5665.36</v>
      </c>
    </row>
    <row r="190" spans="1:5" ht="15" x14ac:dyDescent="0.2">
      <c r="A190" s="1" t="s">
        <v>84</v>
      </c>
      <c r="B190" t="s">
        <v>16</v>
      </c>
      <c r="C190" t="s">
        <v>48</v>
      </c>
      <c r="D190">
        <v>79863</v>
      </c>
      <c r="E190" s="2">
        <v>1019339.43</v>
      </c>
    </row>
    <row r="191" spans="1:5" ht="15" x14ac:dyDescent="0.2">
      <c r="A191" s="1" t="s">
        <v>95</v>
      </c>
      <c r="B191" t="s">
        <v>38</v>
      </c>
      <c r="C191" t="s">
        <v>48</v>
      </c>
      <c r="D191">
        <v>79863</v>
      </c>
      <c r="E191" s="2">
        <v>110541604.15000001</v>
      </c>
    </row>
    <row r="192" spans="1:5" ht="15" x14ac:dyDescent="0.2">
      <c r="A192" s="1" t="s">
        <v>80</v>
      </c>
      <c r="B192" t="s">
        <v>22</v>
      </c>
      <c r="C192" t="s">
        <v>48</v>
      </c>
      <c r="D192">
        <v>79863</v>
      </c>
      <c r="E192" s="2">
        <v>11989.21</v>
      </c>
    </row>
    <row r="193" spans="1:5" ht="15" x14ac:dyDescent="0.2">
      <c r="A193" s="1" t="s">
        <v>97</v>
      </c>
      <c r="B193" t="s">
        <v>42</v>
      </c>
      <c r="C193" t="s">
        <v>48</v>
      </c>
      <c r="D193">
        <v>79863</v>
      </c>
      <c r="E193" s="2">
        <v>1260769.1399999999</v>
      </c>
    </row>
    <row r="194" spans="1:5" ht="15" x14ac:dyDescent="0.2">
      <c r="A194" s="1" t="s">
        <v>98</v>
      </c>
      <c r="B194" t="s">
        <v>34</v>
      </c>
      <c r="C194" t="s">
        <v>48</v>
      </c>
      <c r="D194">
        <v>79863</v>
      </c>
      <c r="E194" s="2">
        <v>13361595.189999999</v>
      </c>
    </row>
    <row r="195" spans="1:5" ht="15" x14ac:dyDescent="0.2">
      <c r="A195" s="1" t="s">
        <v>68</v>
      </c>
      <c r="B195" t="s">
        <v>6</v>
      </c>
      <c r="C195" t="s">
        <v>48</v>
      </c>
      <c r="D195">
        <v>79863</v>
      </c>
      <c r="E195" s="2">
        <v>1574825.08</v>
      </c>
    </row>
    <row r="196" spans="1:5" ht="15" x14ac:dyDescent="0.2">
      <c r="A196" s="1" t="s">
        <v>81</v>
      </c>
      <c r="B196" t="s">
        <v>14</v>
      </c>
      <c r="C196" t="s">
        <v>48</v>
      </c>
      <c r="D196">
        <v>79863</v>
      </c>
      <c r="E196" s="2">
        <v>0.11</v>
      </c>
    </row>
    <row r="197" spans="1:5" ht="15" x14ac:dyDescent="0.2">
      <c r="A197" s="1" t="s">
        <v>78</v>
      </c>
      <c r="B197" t="s">
        <v>20</v>
      </c>
      <c r="C197" t="s">
        <v>48</v>
      </c>
      <c r="D197">
        <v>79863</v>
      </c>
      <c r="E197" s="2">
        <v>600324.02</v>
      </c>
    </row>
    <row r="198" spans="1:5" ht="15" x14ac:dyDescent="0.2">
      <c r="A198" s="1" t="s">
        <v>87</v>
      </c>
      <c r="B198" t="s">
        <v>26</v>
      </c>
      <c r="C198" t="s">
        <v>48</v>
      </c>
      <c r="D198">
        <v>79863</v>
      </c>
      <c r="E198" s="2">
        <v>1693931.46</v>
      </c>
    </row>
    <row r="199" spans="1:5" ht="15" x14ac:dyDescent="0.2">
      <c r="A199" s="1" t="s">
        <v>73</v>
      </c>
      <c r="B199" t="s">
        <v>17</v>
      </c>
      <c r="C199" t="s">
        <v>48</v>
      </c>
      <c r="D199">
        <v>79863</v>
      </c>
      <c r="E199" s="2">
        <v>930010.98</v>
      </c>
    </row>
    <row r="200" spans="1:5" ht="15" x14ac:dyDescent="0.2">
      <c r="A200" s="1" t="s">
        <v>101</v>
      </c>
      <c r="B200" t="s">
        <v>39</v>
      </c>
      <c r="C200" t="s">
        <v>48</v>
      </c>
      <c r="D200">
        <v>79863</v>
      </c>
      <c r="E200" s="2">
        <v>2403645.79</v>
      </c>
    </row>
    <row r="201" spans="1:5" ht="15" x14ac:dyDescent="0.2">
      <c r="A201" s="1" t="s">
        <v>75</v>
      </c>
      <c r="B201" t="s">
        <v>19</v>
      </c>
      <c r="C201" t="s">
        <v>48</v>
      </c>
      <c r="D201">
        <v>79863</v>
      </c>
      <c r="E201" s="2">
        <v>587358.62</v>
      </c>
    </row>
    <row r="202" spans="1:5" ht="15" x14ac:dyDescent="0.2">
      <c r="A202" s="1" t="s">
        <v>65</v>
      </c>
      <c r="B202" t="s">
        <v>4</v>
      </c>
      <c r="C202" t="s">
        <v>48</v>
      </c>
      <c r="D202">
        <v>79863</v>
      </c>
      <c r="E202" s="2">
        <v>473840.67</v>
      </c>
    </row>
    <row r="203" spans="1:5" ht="15" x14ac:dyDescent="0.2">
      <c r="A203" s="1" t="s">
        <v>104</v>
      </c>
      <c r="B203" t="s">
        <v>40</v>
      </c>
      <c r="C203" t="s">
        <v>48</v>
      </c>
      <c r="D203">
        <v>79863</v>
      </c>
      <c r="E203" s="2">
        <v>6650144.25</v>
      </c>
    </row>
    <row r="204" spans="1:5" ht="15" x14ac:dyDescent="0.2">
      <c r="A204" s="1" t="s">
        <v>82</v>
      </c>
      <c r="B204" t="s">
        <v>15</v>
      </c>
      <c r="C204" t="s">
        <v>48</v>
      </c>
      <c r="D204">
        <v>79863</v>
      </c>
      <c r="E204" s="2">
        <v>9764894.6199999992</v>
      </c>
    </row>
    <row r="205" spans="1:5" ht="15" x14ac:dyDescent="0.2">
      <c r="A205" s="1" t="s">
        <v>86</v>
      </c>
      <c r="B205" t="s">
        <v>25</v>
      </c>
      <c r="C205" t="s">
        <v>48</v>
      </c>
      <c r="D205">
        <v>81857</v>
      </c>
      <c r="E205" s="2">
        <v>7356093.96</v>
      </c>
    </row>
    <row r="206" spans="1:5" ht="15" x14ac:dyDescent="0.2">
      <c r="A206" s="1" t="s">
        <v>79</v>
      </c>
      <c r="B206" t="s">
        <v>21</v>
      </c>
      <c r="C206" t="s">
        <v>48</v>
      </c>
      <c r="D206">
        <v>81857</v>
      </c>
      <c r="E206" s="2">
        <v>0.93</v>
      </c>
    </row>
    <row r="207" spans="1:5" ht="15" x14ac:dyDescent="0.2">
      <c r="A207" s="1" t="s">
        <v>93</v>
      </c>
      <c r="B207" t="s">
        <v>32</v>
      </c>
      <c r="C207" t="s">
        <v>48</v>
      </c>
      <c r="D207">
        <v>81857</v>
      </c>
      <c r="E207" s="2">
        <v>538.73</v>
      </c>
    </row>
    <row r="208" spans="1:5" ht="15" x14ac:dyDescent="0.2">
      <c r="A208" s="1" t="s">
        <v>64</v>
      </c>
      <c r="B208" t="s">
        <v>3</v>
      </c>
      <c r="C208" t="s">
        <v>48</v>
      </c>
      <c r="D208">
        <v>81857</v>
      </c>
      <c r="E208" s="2">
        <v>6280757.4500000002</v>
      </c>
    </row>
    <row r="209" spans="1:5" ht="15" x14ac:dyDescent="0.2">
      <c r="A209" s="1" t="s">
        <v>85</v>
      </c>
      <c r="B209" t="s">
        <v>24</v>
      </c>
      <c r="C209" t="s">
        <v>48</v>
      </c>
      <c r="D209">
        <v>81857</v>
      </c>
      <c r="E209" s="2">
        <v>7288362.6100000003</v>
      </c>
    </row>
    <row r="210" spans="1:5" ht="15" x14ac:dyDescent="0.2">
      <c r="A210" s="1" t="s">
        <v>97</v>
      </c>
      <c r="B210" t="s">
        <v>42</v>
      </c>
      <c r="C210" t="s">
        <v>48</v>
      </c>
      <c r="D210">
        <v>81857</v>
      </c>
      <c r="E210" s="2">
        <v>926190.94</v>
      </c>
    </row>
    <row r="211" spans="1:5" ht="15" x14ac:dyDescent="0.2">
      <c r="A211" s="1" t="s">
        <v>100</v>
      </c>
      <c r="B211" t="s">
        <v>43</v>
      </c>
      <c r="C211" t="s">
        <v>48</v>
      </c>
      <c r="D211">
        <v>81857</v>
      </c>
      <c r="E211" s="2">
        <v>259576.3</v>
      </c>
    </row>
    <row r="212" spans="1:5" ht="15" x14ac:dyDescent="0.2">
      <c r="A212" s="1" t="s">
        <v>78</v>
      </c>
      <c r="B212" t="s">
        <v>20</v>
      </c>
      <c r="C212" t="s">
        <v>48</v>
      </c>
      <c r="D212">
        <v>81857</v>
      </c>
      <c r="E212" s="2">
        <v>13498.87</v>
      </c>
    </row>
    <row r="213" spans="1:5" ht="15" x14ac:dyDescent="0.2">
      <c r="A213" s="1" t="s">
        <v>88</v>
      </c>
      <c r="B213" t="s">
        <v>27</v>
      </c>
      <c r="C213" t="s">
        <v>48</v>
      </c>
      <c r="D213">
        <v>81857</v>
      </c>
      <c r="E213" s="2">
        <v>3538418.05</v>
      </c>
    </row>
    <row r="214" spans="1:5" ht="15" x14ac:dyDescent="0.2">
      <c r="A214" s="1" t="s">
        <v>87</v>
      </c>
      <c r="B214" t="s">
        <v>26</v>
      </c>
      <c r="C214" t="s">
        <v>48</v>
      </c>
      <c r="D214">
        <v>81857</v>
      </c>
      <c r="E214" s="2">
        <v>0.57999999999999996</v>
      </c>
    </row>
    <row r="215" spans="1:5" ht="15" x14ac:dyDescent="0.2">
      <c r="A215" s="1" t="s">
        <v>66</v>
      </c>
      <c r="B215" t="s">
        <v>47</v>
      </c>
      <c r="C215" t="s">
        <v>48</v>
      </c>
      <c r="D215">
        <v>86272</v>
      </c>
      <c r="E215" s="2">
        <v>1770386.09</v>
      </c>
    </row>
    <row r="216" spans="1:5" ht="15" x14ac:dyDescent="0.2">
      <c r="A216" s="1" t="s">
        <v>67</v>
      </c>
      <c r="B216" t="s">
        <v>5</v>
      </c>
      <c r="C216" t="s">
        <v>48</v>
      </c>
      <c r="D216">
        <v>86272</v>
      </c>
      <c r="E216" s="2">
        <v>-615979.64</v>
      </c>
    </row>
    <row r="217" spans="1:5" ht="15" x14ac:dyDescent="0.2">
      <c r="A217" s="1" t="s">
        <v>90</v>
      </c>
      <c r="B217" t="s">
        <v>29</v>
      </c>
      <c r="C217" t="s">
        <v>48</v>
      </c>
      <c r="D217">
        <v>86272</v>
      </c>
      <c r="E217" s="2">
        <v>2064430.31</v>
      </c>
    </row>
    <row r="218" spans="1:5" ht="15" x14ac:dyDescent="0.2">
      <c r="A218" s="1" t="s">
        <v>93</v>
      </c>
      <c r="B218" t="s">
        <v>32</v>
      </c>
      <c r="C218" t="s">
        <v>48</v>
      </c>
      <c r="D218">
        <v>86272</v>
      </c>
      <c r="E218" s="2">
        <v>1014.98</v>
      </c>
    </row>
    <row r="219" spans="1:5" ht="15" x14ac:dyDescent="0.2">
      <c r="A219" s="1" t="s">
        <v>84</v>
      </c>
      <c r="B219" t="s">
        <v>16</v>
      </c>
      <c r="C219" t="s">
        <v>48</v>
      </c>
      <c r="D219">
        <v>86272</v>
      </c>
      <c r="E219" s="2">
        <v>1749956.63</v>
      </c>
    </row>
    <row r="220" spans="1:5" ht="15" x14ac:dyDescent="0.2">
      <c r="A220" s="1" t="s">
        <v>76</v>
      </c>
      <c r="B220" t="s">
        <v>13</v>
      </c>
      <c r="C220" t="s">
        <v>48</v>
      </c>
      <c r="D220">
        <v>86272</v>
      </c>
      <c r="E220" s="2">
        <v>1096496.21</v>
      </c>
    </row>
    <row r="221" spans="1:5" ht="15" x14ac:dyDescent="0.2">
      <c r="A221" s="1" t="s">
        <v>80</v>
      </c>
      <c r="B221" t="s">
        <v>22</v>
      </c>
      <c r="C221" t="s">
        <v>48</v>
      </c>
      <c r="D221">
        <v>86272</v>
      </c>
      <c r="E221" s="2">
        <v>1715464.86</v>
      </c>
    </row>
    <row r="222" spans="1:5" ht="15" x14ac:dyDescent="0.2">
      <c r="A222" s="1" t="s">
        <v>98</v>
      </c>
      <c r="B222" t="s">
        <v>34</v>
      </c>
      <c r="C222" t="s">
        <v>48</v>
      </c>
      <c r="D222">
        <v>86272</v>
      </c>
      <c r="E222" s="2">
        <v>19401990.420000002</v>
      </c>
    </row>
    <row r="223" spans="1:5" ht="15" x14ac:dyDescent="0.2">
      <c r="A223" s="1" t="s">
        <v>77</v>
      </c>
      <c r="B223" t="s">
        <v>18</v>
      </c>
      <c r="C223" t="s">
        <v>48</v>
      </c>
      <c r="D223">
        <v>86272</v>
      </c>
      <c r="E223" s="2">
        <v>5958108.3200000003</v>
      </c>
    </row>
    <row r="224" spans="1:5" ht="15" x14ac:dyDescent="0.2">
      <c r="A224" s="1" t="s">
        <v>88</v>
      </c>
      <c r="B224" t="s">
        <v>27</v>
      </c>
      <c r="C224" t="s">
        <v>48</v>
      </c>
      <c r="D224">
        <v>86272</v>
      </c>
      <c r="E224" s="2">
        <v>390.95</v>
      </c>
    </row>
    <row r="225" spans="1:5" ht="15" x14ac:dyDescent="0.2">
      <c r="A225" s="1" t="s">
        <v>87</v>
      </c>
      <c r="B225" t="s">
        <v>26</v>
      </c>
      <c r="C225" t="s">
        <v>48</v>
      </c>
      <c r="D225">
        <v>86272</v>
      </c>
      <c r="E225" s="2">
        <v>5024295.9800000004</v>
      </c>
    </row>
    <row r="226" spans="1:5" ht="15" x14ac:dyDescent="0.2">
      <c r="A226" s="1" t="s">
        <v>79</v>
      </c>
      <c r="B226" t="s">
        <v>21</v>
      </c>
      <c r="C226" t="s">
        <v>49</v>
      </c>
      <c r="D226">
        <v>20218</v>
      </c>
      <c r="E226" s="2">
        <v>1316009.24</v>
      </c>
    </row>
    <row r="227" spans="1:5" ht="15" x14ac:dyDescent="0.2">
      <c r="A227" s="1" t="s">
        <v>89</v>
      </c>
      <c r="B227" t="s">
        <v>28</v>
      </c>
      <c r="C227" t="s">
        <v>49</v>
      </c>
      <c r="D227">
        <v>20218</v>
      </c>
      <c r="E227" s="2">
        <v>2952898.55</v>
      </c>
    </row>
    <row r="228" spans="1:5" ht="15" x14ac:dyDescent="0.2">
      <c r="A228" s="1" t="s">
        <v>90</v>
      </c>
      <c r="B228" t="s">
        <v>29</v>
      </c>
      <c r="C228" t="s">
        <v>49</v>
      </c>
      <c r="D228">
        <v>20218</v>
      </c>
      <c r="E228" s="2">
        <v>9122653.0500000007</v>
      </c>
    </row>
    <row r="229" spans="1:5" ht="15" x14ac:dyDescent="0.2">
      <c r="A229" s="1" t="s">
        <v>94</v>
      </c>
      <c r="B229" t="s">
        <v>33</v>
      </c>
      <c r="C229" t="s">
        <v>49</v>
      </c>
      <c r="D229">
        <v>20218</v>
      </c>
      <c r="E229" s="2">
        <v>23682301.920000002</v>
      </c>
    </row>
    <row r="230" spans="1:5" ht="15" x14ac:dyDescent="0.2">
      <c r="A230" s="1" t="s">
        <v>84</v>
      </c>
      <c r="B230" t="s">
        <v>16</v>
      </c>
      <c r="C230" t="s">
        <v>49</v>
      </c>
      <c r="D230">
        <v>20218</v>
      </c>
      <c r="E230" s="2">
        <v>369482.45</v>
      </c>
    </row>
    <row r="231" spans="1:5" ht="15" x14ac:dyDescent="0.2">
      <c r="A231" s="1" t="s">
        <v>95</v>
      </c>
      <c r="B231" t="s">
        <v>38</v>
      </c>
      <c r="C231" t="s">
        <v>49</v>
      </c>
      <c r="D231">
        <v>20218</v>
      </c>
      <c r="E231" s="2">
        <v>6043.69</v>
      </c>
    </row>
    <row r="232" spans="1:5" ht="15" x14ac:dyDescent="0.2">
      <c r="A232" s="1" t="s">
        <v>83</v>
      </c>
      <c r="B232" t="s">
        <v>23</v>
      </c>
      <c r="C232" t="s">
        <v>49</v>
      </c>
      <c r="D232">
        <v>20218</v>
      </c>
      <c r="E232" s="2">
        <v>1640479.63</v>
      </c>
    </row>
    <row r="233" spans="1:5" ht="15" x14ac:dyDescent="0.2">
      <c r="A233" s="1" t="s">
        <v>74</v>
      </c>
      <c r="B233" t="s">
        <v>11</v>
      </c>
      <c r="C233" t="s">
        <v>49</v>
      </c>
      <c r="D233">
        <v>20218</v>
      </c>
      <c r="E233" s="2">
        <v>287869.34000000003</v>
      </c>
    </row>
    <row r="234" spans="1:5" ht="15" x14ac:dyDescent="0.2">
      <c r="A234" s="1" t="s">
        <v>98</v>
      </c>
      <c r="B234" t="s">
        <v>34</v>
      </c>
      <c r="C234" t="s">
        <v>49</v>
      </c>
      <c r="D234">
        <v>20218</v>
      </c>
      <c r="E234" s="2">
        <v>17900800.899999999</v>
      </c>
    </row>
    <row r="235" spans="1:5" ht="15" x14ac:dyDescent="0.2">
      <c r="A235" s="1" t="s">
        <v>87</v>
      </c>
      <c r="B235" t="s">
        <v>26</v>
      </c>
      <c r="C235" t="s">
        <v>49</v>
      </c>
      <c r="D235">
        <v>20218</v>
      </c>
      <c r="E235" s="2">
        <v>474975.92</v>
      </c>
    </row>
    <row r="236" spans="1:5" ht="15" x14ac:dyDescent="0.2">
      <c r="A236" s="1" t="s">
        <v>73</v>
      </c>
      <c r="B236" t="s">
        <v>17</v>
      </c>
      <c r="C236" t="s">
        <v>49</v>
      </c>
      <c r="D236">
        <v>20218</v>
      </c>
      <c r="E236" s="2">
        <v>497274.87</v>
      </c>
    </row>
    <row r="237" spans="1:5" ht="15" x14ac:dyDescent="0.2">
      <c r="A237" s="1" t="s">
        <v>71</v>
      </c>
      <c r="B237" t="s">
        <v>9</v>
      </c>
      <c r="C237" t="s">
        <v>49</v>
      </c>
      <c r="D237">
        <v>20218</v>
      </c>
      <c r="E237" s="2">
        <v>5981951.9699999997</v>
      </c>
    </row>
    <row r="238" spans="1:5" ht="15" x14ac:dyDescent="0.2">
      <c r="A238" s="1" t="s">
        <v>66</v>
      </c>
      <c r="B238" t="s">
        <v>47</v>
      </c>
      <c r="C238" t="s">
        <v>49</v>
      </c>
      <c r="D238">
        <v>21736</v>
      </c>
      <c r="E238" s="2">
        <v>2007144.1</v>
      </c>
    </row>
    <row r="239" spans="1:5" ht="15" x14ac:dyDescent="0.2">
      <c r="A239" s="1" t="s">
        <v>67</v>
      </c>
      <c r="B239" t="s">
        <v>5</v>
      </c>
      <c r="C239" t="s">
        <v>49</v>
      </c>
      <c r="D239">
        <v>21736</v>
      </c>
      <c r="E239" s="2">
        <v>-210942.54</v>
      </c>
    </row>
    <row r="240" spans="1:5" ht="15" x14ac:dyDescent="0.2">
      <c r="A240" s="1" t="s">
        <v>79</v>
      </c>
      <c r="B240" t="s">
        <v>21</v>
      </c>
      <c r="C240" t="s">
        <v>49</v>
      </c>
      <c r="D240">
        <v>21736</v>
      </c>
      <c r="E240" s="2">
        <v>1528861.68</v>
      </c>
    </row>
    <row r="241" spans="1:5" ht="15" x14ac:dyDescent="0.2">
      <c r="A241" s="1" t="s">
        <v>90</v>
      </c>
      <c r="B241" t="s">
        <v>29</v>
      </c>
      <c r="C241" t="s">
        <v>49</v>
      </c>
      <c r="D241">
        <v>21736</v>
      </c>
      <c r="E241" s="2">
        <v>10488381.359999999</v>
      </c>
    </row>
    <row r="242" spans="1:5" ht="15" x14ac:dyDescent="0.2">
      <c r="A242" s="1" t="s">
        <v>92</v>
      </c>
      <c r="B242" t="s">
        <v>31</v>
      </c>
      <c r="C242" t="s">
        <v>49</v>
      </c>
      <c r="D242">
        <v>21736</v>
      </c>
      <c r="E242" s="2">
        <v>3174834.86</v>
      </c>
    </row>
    <row r="243" spans="1:5" ht="15" x14ac:dyDescent="0.2">
      <c r="A243" s="1" t="s">
        <v>94</v>
      </c>
      <c r="B243" t="s">
        <v>33</v>
      </c>
      <c r="C243" t="s">
        <v>49</v>
      </c>
      <c r="D243">
        <v>21736</v>
      </c>
      <c r="E243" s="2">
        <v>5206514.91</v>
      </c>
    </row>
    <row r="244" spans="1:5" ht="15" x14ac:dyDescent="0.2">
      <c r="A244" s="1" t="s">
        <v>64</v>
      </c>
      <c r="B244" t="s">
        <v>3</v>
      </c>
      <c r="C244" t="s">
        <v>49</v>
      </c>
      <c r="D244">
        <v>21736</v>
      </c>
      <c r="E244" s="2">
        <v>4852747.12</v>
      </c>
    </row>
    <row r="245" spans="1:5" ht="15" x14ac:dyDescent="0.2">
      <c r="A245" s="1" t="s">
        <v>85</v>
      </c>
      <c r="B245" t="s">
        <v>24</v>
      </c>
      <c r="C245" t="s">
        <v>49</v>
      </c>
      <c r="D245">
        <v>21736</v>
      </c>
      <c r="E245" s="2">
        <v>5280.73</v>
      </c>
    </row>
    <row r="246" spans="1:5" ht="15" x14ac:dyDescent="0.2">
      <c r="A246" s="1" t="s">
        <v>84</v>
      </c>
      <c r="B246" t="s">
        <v>16</v>
      </c>
      <c r="C246" t="s">
        <v>49</v>
      </c>
      <c r="D246">
        <v>21736</v>
      </c>
      <c r="E246" s="2">
        <v>1792641.87</v>
      </c>
    </row>
    <row r="247" spans="1:5" ht="15" x14ac:dyDescent="0.2">
      <c r="A247" s="1" t="s">
        <v>75</v>
      </c>
      <c r="B247" t="s">
        <v>12</v>
      </c>
      <c r="C247" t="s">
        <v>49</v>
      </c>
      <c r="D247">
        <v>21736</v>
      </c>
      <c r="E247" s="2">
        <v>2642530.02</v>
      </c>
    </row>
    <row r="248" spans="1:5" ht="15" x14ac:dyDescent="0.2">
      <c r="A248" s="1" t="s">
        <v>95</v>
      </c>
      <c r="B248" t="s">
        <v>38</v>
      </c>
      <c r="C248" t="s">
        <v>49</v>
      </c>
      <c r="D248">
        <v>21736</v>
      </c>
      <c r="E248" s="2">
        <v>320285500.79000002</v>
      </c>
    </row>
    <row r="249" spans="1:5" ht="15" x14ac:dyDescent="0.2">
      <c r="A249" s="1" t="s">
        <v>76</v>
      </c>
      <c r="B249" t="s">
        <v>13</v>
      </c>
      <c r="C249" t="s">
        <v>49</v>
      </c>
      <c r="D249">
        <v>21736</v>
      </c>
      <c r="E249" s="2">
        <v>823333.84</v>
      </c>
    </row>
    <row r="250" spans="1:5" ht="15" x14ac:dyDescent="0.2">
      <c r="A250" s="1" t="s">
        <v>83</v>
      </c>
      <c r="B250" t="s">
        <v>23</v>
      </c>
      <c r="C250" t="s">
        <v>49</v>
      </c>
      <c r="D250">
        <v>21736</v>
      </c>
      <c r="E250" s="2">
        <v>493069.14</v>
      </c>
    </row>
    <row r="251" spans="1:5" ht="15" x14ac:dyDescent="0.2">
      <c r="A251" s="1" t="s">
        <v>74</v>
      </c>
      <c r="B251" t="s">
        <v>11</v>
      </c>
      <c r="C251" t="s">
        <v>49</v>
      </c>
      <c r="D251">
        <v>21736</v>
      </c>
      <c r="E251" s="2">
        <v>65873.25</v>
      </c>
    </row>
    <row r="252" spans="1:5" ht="15" x14ac:dyDescent="0.2">
      <c r="A252" s="1" t="s">
        <v>72</v>
      </c>
      <c r="B252" t="s">
        <v>10</v>
      </c>
      <c r="C252" t="s">
        <v>49</v>
      </c>
      <c r="D252">
        <v>21736</v>
      </c>
      <c r="E252" s="2">
        <v>2389806.12</v>
      </c>
    </row>
    <row r="253" spans="1:5" ht="15" x14ac:dyDescent="0.2">
      <c r="A253" s="1" t="s">
        <v>97</v>
      </c>
      <c r="B253" t="s">
        <v>42</v>
      </c>
      <c r="C253" t="s">
        <v>49</v>
      </c>
      <c r="D253">
        <v>21736</v>
      </c>
      <c r="E253" s="2">
        <v>526994.14</v>
      </c>
    </row>
    <row r="254" spans="1:5" ht="15" x14ac:dyDescent="0.2">
      <c r="A254" s="1" t="s">
        <v>77</v>
      </c>
      <c r="B254" t="s">
        <v>18</v>
      </c>
      <c r="C254" t="s">
        <v>49</v>
      </c>
      <c r="D254">
        <v>21736</v>
      </c>
      <c r="E254" s="2">
        <v>951325.45</v>
      </c>
    </row>
    <row r="255" spans="1:5" ht="15" x14ac:dyDescent="0.2">
      <c r="A255" s="1" t="s">
        <v>88</v>
      </c>
      <c r="B255" t="s">
        <v>27</v>
      </c>
      <c r="C255" t="s">
        <v>49</v>
      </c>
      <c r="D255">
        <v>21736</v>
      </c>
      <c r="E255" s="2">
        <v>2528786.64</v>
      </c>
    </row>
    <row r="256" spans="1:5" ht="15" x14ac:dyDescent="0.2">
      <c r="A256" s="1" t="s">
        <v>103</v>
      </c>
      <c r="B256" t="s">
        <v>37</v>
      </c>
      <c r="C256" t="s">
        <v>49</v>
      </c>
      <c r="D256">
        <v>21736</v>
      </c>
      <c r="E256" s="2">
        <v>4487522.58</v>
      </c>
    </row>
    <row r="257" spans="1:5" ht="15" x14ac:dyDescent="0.2">
      <c r="A257" s="1" t="s">
        <v>73</v>
      </c>
      <c r="B257" t="s">
        <v>17</v>
      </c>
      <c r="C257" t="s">
        <v>49</v>
      </c>
      <c r="D257">
        <v>21736</v>
      </c>
      <c r="E257" s="2">
        <v>816467.71</v>
      </c>
    </row>
    <row r="258" spans="1:5" ht="15" x14ac:dyDescent="0.2">
      <c r="A258" s="1" t="s">
        <v>101</v>
      </c>
      <c r="B258" t="s">
        <v>39</v>
      </c>
      <c r="C258" t="s">
        <v>49</v>
      </c>
      <c r="D258">
        <v>21736</v>
      </c>
      <c r="E258" s="2">
        <v>817174.73</v>
      </c>
    </row>
    <row r="259" spans="1:5" ht="15" x14ac:dyDescent="0.2">
      <c r="A259" s="1" t="s">
        <v>104</v>
      </c>
      <c r="B259" t="s">
        <v>40</v>
      </c>
      <c r="C259" t="s">
        <v>49</v>
      </c>
      <c r="D259">
        <v>21736</v>
      </c>
      <c r="E259" s="2">
        <v>4599752.37</v>
      </c>
    </row>
    <row r="260" spans="1:5" ht="15" x14ac:dyDescent="0.2">
      <c r="A260" s="1" t="s">
        <v>105</v>
      </c>
      <c r="B260" t="s">
        <v>41</v>
      </c>
      <c r="C260" t="s">
        <v>49</v>
      </c>
      <c r="D260">
        <v>21736</v>
      </c>
      <c r="E260" s="2">
        <v>1712707.28</v>
      </c>
    </row>
    <row r="261" spans="1:5" ht="15" x14ac:dyDescent="0.2">
      <c r="A261" s="1" t="s">
        <v>69</v>
      </c>
      <c r="B261" t="s">
        <v>7</v>
      </c>
      <c r="C261" t="s">
        <v>49</v>
      </c>
      <c r="D261">
        <v>21736</v>
      </c>
      <c r="E261" s="2">
        <v>3340052.81</v>
      </c>
    </row>
    <row r="262" spans="1:5" ht="15" x14ac:dyDescent="0.2">
      <c r="A262" s="1" t="s">
        <v>70</v>
      </c>
      <c r="B262" t="s">
        <v>8</v>
      </c>
      <c r="C262" t="s">
        <v>49</v>
      </c>
      <c r="D262">
        <v>21736</v>
      </c>
      <c r="E262" s="2">
        <v>35243882.75</v>
      </c>
    </row>
    <row r="263" spans="1:5" ht="15" x14ac:dyDescent="0.2">
      <c r="A263" s="1" t="s">
        <v>71</v>
      </c>
      <c r="B263" t="s">
        <v>9</v>
      </c>
      <c r="C263" t="s">
        <v>49</v>
      </c>
      <c r="D263">
        <v>21736</v>
      </c>
      <c r="E263" s="2">
        <v>11781.11</v>
      </c>
    </row>
    <row r="264" spans="1:5" ht="15" x14ac:dyDescent="0.2">
      <c r="A264" s="1" t="s">
        <v>92</v>
      </c>
      <c r="B264" t="s">
        <v>31</v>
      </c>
      <c r="C264" t="s">
        <v>49</v>
      </c>
      <c r="D264">
        <v>23259</v>
      </c>
      <c r="E264" s="2">
        <v>0.91</v>
      </c>
    </row>
    <row r="265" spans="1:5" ht="15" x14ac:dyDescent="0.2">
      <c r="A265" s="1" t="s">
        <v>94</v>
      </c>
      <c r="B265" t="s">
        <v>33</v>
      </c>
      <c r="C265" t="s">
        <v>49</v>
      </c>
      <c r="D265">
        <v>23259</v>
      </c>
      <c r="E265" s="2">
        <v>10934.81</v>
      </c>
    </row>
    <row r="266" spans="1:5" ht="15" x14ac:dyDescent="0.2">
      <c r="A266" s="1" t="s">
        <v>85</v>
      </c>
      <c r="B266" t="s">
        <v>24</v>
      </c>
      <c r="C266" t="s">
        <v>49</v>
      </c>
      <c r="D266">
        <v>23259</v>
      </c>
      <c r="E266" s="2">
        <v>2704018.91</v>
      </c>
    </row>
    <row r="267" spans="1:5" ht="15" x14ac:dyDescent="0.2">
      <c r="A267" s="1" t="s">
        <v>74</v>
      </c>
      <c r="B267" t="s">
        <v>11</v>
      </c>
      <c r="C267" t="s">
        <v>49</v>
      </c>
      <c r="D267">
        <v>23259</v>
      </c>
      <c r="E267" s="2">
        <v>282332.53000000003</v>
      </c>
    </row>
    <row r="268" spans="1:5" ht="15" x14ac:dyDescent="0.2">
      <c r="A268" s="1" t="s">
        <v>72</v>
      </c>
      <c r="B268" t="s">
        <v>10</v>
      </c>
      <c r="C268" t="s">
        <v>49</v>
      </c>
      <c r="D268">
        <v>23259</v>
      </c>
      <c r="E268" s="2">
        <v>1431047.09</v>
      </c>
    </row>
    <row r="269" spans="1:5" ht="15" x14ac:dyDescent="0.2">
      <c r="A269" s="1" t="s">
        <v>68</v>
      </c>
      <c r="B269" t="s">
        <v>6</v>
      </c>
      <c r="C269" t="s">
        <v>49</v>
      </c>
      <c r="D269">
        <v>23259</v>
      </c>
      <c r="E269" s="2">
        <v>1886290.33</v>
      </c>
    </row>
    <row r="270" spans="1:5" ht="15" x14ac:dyDescent="0.2">
      <c r="A270" s="1" t="s">
        <v>88</v>
      </c>
      <c r="B270" t="s">
        <v>27</v>
      </c>
      <c r="C270" t="s">
        <v>49</v>
      </c>
      <c r="D270">
        <v>23259</v>
      </c>
      <c r="E270" s="2">
        <v>2235.46</v>
      </c>
    </row>
    <row r="271" spans="1:5" ht="15" x14ac:dyDescent="0.2">
      <c r="A271" s="1" t="s">
        <v>87</v>
      </c>
      <c r="B271" t="s">
        <v>26</v>
      </c>
      <c r="C271" t="s">
        <v>49</v>
      </c>
      <c r="D271">
        <v>23259</v>
      </c>
      <c r="E271" s="2">
        <v>1457607.78</v>
      </c>
    </row>
    <row r="272" spans="1:5" ht="15" x14ac:dyDescent="0.2">
      <c r="A272" s="1" t="s">
        <v>104</v>
      </c>
      <c r="B272" t="s">
        <v>40</v>
      </c>
      <c r="C272" t="s">
        <v>49</v>
      </c>
      <c r="D272">
        <v>23259</v>
      </c>
      <c r="E272" s="2">
        <v>160.63999999999999</v>
      </c>
    </row>
    <row r="273" spans="1:5" ht="15" x14ac:dyDescent="0.2">
      <c r="A273" s="1" t="s">
        <v>105</v>
      </c>
      <c r="B273" t="s">
        <v>41</v>
      </c>
      <c r="C273" t="s">
        <v>49</v>
      </c>
      <c r="D273">
        <v>23259</v>
      </c>
      <c r="E273" s="2">
        <v>1605899.42</v>
      </c>
    </row>
    <row r="274" spans="1:5" ht="15" x14ac:dyDescent="0.2">
      <c r="A274" s="1" t="s">
        <v>69</v>
      </c>
      <c r="B274" t="s">
        <v>7</v>
      </c>
      <c r="C274" t="s">
        <v>49</v>
      </c>
      <c r="D274">
        <v>23259</v>
      </c>
      <c r="E274" s="2">
        <v>0.19</v>
      </c>
    </row>
    <row r="275" spans="1:5" ht="15" x14ac:dyDescent="0.2">
      <c r="A275" s="1" t="s">
        <v>67</v>
      </c>
      <c r="B275" t="s">
        <v>5</v>
      </c>
      <c r="C275" t="s">
        <v>49</v>
      </c>
      <c r="D275">
        <v>24905</v>
      </c>
      <c r="E275" s="2">
        <v>-901299.75</v>
      </c>
    </row>
    <row r="276" spans="1:5" ht="15" x14ac:dyDescent="0.2">
      <c r="A276" s="1" t="s">
        <v>89</v>
      </c>
      <c r="B276" t="s">
        <v>28</v>
      </c>
      <c r="C276" t="s">
        <v>49</v>
      </c>
      <c r="D276">
        <v>24905</v>
      </c>
      <c r="E276" s="2">
        <v>1260061.08</v>
      </c>
    </row>
    <row r="277" spans="1:5" ht="15" x14ac:dyDescent="0.2">
      <c r="A277" s="1" t="s">
        <v>93</v>
      </c>
      <c r="B277" t="s">
        <v>32</v>
      </c>
      <c r="C277" t="s">
        <v>49</v>
      </c>
      <c r="D277">
        <v>24905</v>
      </c>
      <c r="E277" s="2">
        <v>21849222.82</v>
      </c>
    </row>
    <row r="278" spans="1:5" ht="15" x14ac:dyDescent="0.2">
      <c r="A278" s="1" t="s">
        <v>85</v>
      </c>
      <c r="B278" t="s">
        <v>24</v>
      </c>
      <c r="C278" t="s">
        <v>49</v>
      </c>
      <c r="D278">
        <v>24905</v>
      </c>
      <c r="E278" s="2">
        <v>7841205.4100000001</v>
      </c>
    </row>
    <row r="279" spans="1:5" ht="15" x14ac:dyDescent="0.2">
      <c r="A279" s="1" t="s">
        <v>84</v>
      </c>
      <c r="B279" t="s">
        <v>16</v>
      </c>
      <c r="C279" t="s">
        <v>49</v>
      </c>
      <c r="D279">
        <v>24905</v>
      </c>
      <c r="E279" s="2">
        <v>2717203.37</v>
      </c>
    </row>
    <row r="280" spans="1:5" ht="15" x14ac:dyDescent="0.2">
      <c r="A280" s="1" t="s">
        <v>74</v>
      </c>
      <c r="B280" t="s">
        <v>11</v>
      </c>
      <c r="C280" t="s">
        <v>49</v>
      </c>
      <c r="D280">
        <v>24905</v>
      </c>
      <c r="E280" s="2">
        <v>219039.29</v>
      </c>
    </row>
    <row r="281" spans="1:5" ht="15" x14ac:dyDescent="0.2">
      <c r="A281" s="1" t="s">
        <v>72</v>
      </c>
      <c r="B281" t="s">
        <v>10</v>
      </c>
      <c r="C281" t="s">
        <v>49</v>
      </c>
      <c r="D281">
        <v>24905</v>
      </c>
      <c r="E281" s="2">
        <v>3516599.55</v>
      </c>
    </row>
    <row r="282" spans="1:5" ht="15" x14ac:dyDescent="0.2">
      <c r="A282" s="1" t="s">
        <v>97</v>
      </c>
      <c r="B282" t="s">
        <v>42</v>
      </c>
      <c r="C282" t="s">
        <v>49</v>
      </c>
      <c r="D282">
        <v>24905</v>
      </c>
      <c r="E282" s="2">
        <v>1211248.02</v>
      </c>
    </row>
    <row r="283" spans="1:5" ht="15" x14ac:dyDescent="0.2">
      <c r="A283" s="1" t="s">
        <v>68</v>
      </c>
      <c r="B283" t="s">
        <v>6</v>
      </c>
      <c r="C283" t="s">
        <v>49</v>
      </c>
      <c r="D283">
        <v>24905</v>
      </c>
      <c r="E283" s="2">
        <v>2717.67</v>
      </c>
    </row>
    <row r="284" spans="1:5" ht="15" x14ac:dyDescent="0.2">
      <c r="A284" s="1" t="s">
        <v>77</v>
      </c>
      <c r="B284" t="s">
        <v>18</v>
      </c>
      <c r="C284" t="s">
        <v>49</v>
      </c>
      <c r="D284">
        <v>24905</v>
      </c>
      <c r="E284" s="2">
        <v>2067077.59</v>
      </c>
    </row>
    <row r="285" spans="1:5" ht="15" x14ac:dyDescent="0.2">
      <c r="A285" s="1" t="s">
        <v>81</v>
      </c>
      <c r="B285" t="s">
        <v>14</v>
      </c>
      <c r="C285" t="s">
        <v>49</v>
      </c>
      <c r="D285">
        <v>24905</v>
      </c>
      <c r="E285" s="2">
        <v>4157025.62</v>
      </c>
    </row>
    <row r="286" spans="1:5" ht="15" x14ac:dyDescent="0.2">
      <c r="A286" s="1" t="s">
        <v>78</v>
      </c>
      <c r="B286" t="s">
        <v>20</v>
      </c>
      <c r="C286" t="s">
        <v>49</v>
      </c>
      <c r="D286">
        <v>24905</v>
      </c>
      <c r="E286" s="2">
        <v>477842.37</v>
      </c>
    </row>
    <row r="287" spans="1:5" ht="15" x14ac:dyDescent="0.2">
      <c r="A287" s="1" t="s">
        <v>88</v>
      </c>
      <c r="B287" t="s">
        <v>27</v>
      </c>
      <c r="C287" t="s">
        <v>49</v>
      </c>
      <c r="D287">
        <v>24905</v>
      </c>
      <c r="E287" s="2">
        <v>1458672.85</v>
      </c>
    </row>
    <row r="288" spans="1:5" ht="15" x14ac:dyDescent="0.2">
      <c r="A288" s="1" t="s">
        <v>87</v>
      </c>
      <c r="B288" t="s">
        <v>26</v>
      </c>
      <c r="C288" t="s">
        <v>49</v>
      </c>
      <c r="D288">
        <v>24905</v>
      </c>
      <c r="E288" s="2">
        <v>1305463.03</v>
      </c>
    </row>
    <row r="289" spans="1:5" ht="15" x14ac:dyDescent="0.2">
      <c r="A289" s="1" t="s">
        <v>101</v>
      </c>
      <c r="B289" t="s">
        <v>39</v>
      </c>
      <c r="C289" t="s">
        <v>49</v>
      </c>
      <c r="D289">
        <v>24905</v>
      </c>
      <c r="E289" s="2">
        <v>1523597.48</v>
      </c>
    </row>
    <row r="290" spans="1:5" ht="15" x14ac:dyDescent="0.2">
      <c r="A290" s="1" t="s">
        <v>75</v>
      </c>
      <c r="B290" t="s">
        <v>19</v>
      </c>
      <c r="C290" t="s">
        <v>49</v>
      </c>
      <c r="D290">
        <v>24905</v>
      </c>
      <c r="E290" s="2">
        <v>4666302.74</v>
      </c>
    </row>
    <row r="291" spans="1:5" ht="15" x14ac:dyDescent="0.2">
      <c r="A291" s="1" t="s">
        <v>104</v>
      </c>
      <c r="B291" t="s">
        <v>40</v>
      </c>
      <c r="C291" t="s">
        <v>49</v>
      </c>
      <c r="D291">
        <v>24905</v>
      </c>
      <c r="E291" s="2">
        <v>7805225.2800000003</v>
      </c>
    </row>
    <row r="292" spans="1:5" ht="15" x14ac:dyDescent="0.2">
      <c r="A292" s="1" t="s">
        <v>79</v>
      </c>
      <c r="B292" t="s">
        <v>21</v>
      </c>
      <c r="C292" t="s">
        <v>49</v>
      </c>
      <c r="D292">
        <v>39706</v>
      </c>
      <c r="E292" s="2">
        <v>1138387.26</v>
      </c>
    </row>
    <row r="293" spans="1:5" ht="15" x14ac:dyDescent="0.2">
      <c r="A293" s="1" t="s">
        <v>89</v>
      </c>
      <c r="B293" t="s">
        <v>28</v>
      </c>
      <c r="C293" t="s">
        <v>49</v>
      </c>
      <c r="D293">
        <v>39706</v>
      </c>
      <c r="E293" s="2">
        <v>2332475.36</v>
      </c>
    </row>
    <row r="294" spans="1:5" ht="15" x14ac:dyDescent="0.2">
      <c r="A294" s="1" t="s">
        <v>92</v>
      </c>
      <c r="B294" t="s">
        <v>31</v>
      </c>
      <c r="C294" t="s">
        <v>49</v>
      </c>
      <c r="D294">
        <v>39706</v>
      </c>
      <c r="E294" s="2">
        <v>1690309.12</v>
      </c>
    </row>
    <row r="295" spans="1:5" ht="15" x14ac:dyDescent="0.2">
      <c r="A295" s="1" t="s">
        <v>94</v>
      </c>
      <c r="B295" t="s">
        <v>33</v>
      </c>
      <c r="C295" t="s">
        <v>49</v>
      </c>
      <c r="D295">
        <v>39706</v>
      </c>
      <c r="E295" s="2">
        <v>14880681.960000001</v>
      </c>
    </row>
    <row r="296" spans="1:5" ht="15" x14ac:dyDescent="0.2">
      <c r="A296" s="1" t="s">
        <v>85</v>
      </c>
      <c r="B296" t="s">
        <v>24</v>
      </c>
      <c r="C296" t="s">
        <v>49</v>
      </c>
      <c r="D296">
        <v>39706</v>
      </c>
      <c r="E296" s="2">
        <v>4094107.9</v>
      </c>
    </row>
    <row r="297" spans="1:5" ht="15" x14ac:dyDescent="0.2">
      <c r="A297" s="1" t="s">
        <v>76</v>
      </c>
      <c r="B297" t="s">
        <v>13</v>
      </c>
      <c r="C297" t="s">
        <v>49</v>
      </c>
      <c r="D297">
        <v>39706</v>
      </c>
      <c r="E297" s="2">
        <v>2501894.7000000002</v>
      </c>
    </row>
    <row r="298" spans="1:5" ht="15" x14ac:dyDescent="0.2">
      <c r="A298" s="1" t="s">
        <v>83</v>
      </c>
      <c r="B298" t="s">
        <v>23</v>
      </c>
      <c r="C298" t="s">
        <v>49</v>
      </c>
      <c r="D298">
        <v>39706</v>
      </c>
      <c r="E298" s="2">
        <v>1514750.29</v>
      </c>
    </row>
    <row r="299" spans="1:5" ht="15" x14ac:dyDescent="0.2">
      <c r="A299" s="1" t="s">
        <v>72</v>
      </c>
      <c r="B299" t="s">
        <v>10</v>
      </c>
      <c r="C299" t="s">
        <v>49</v>
      </c>
      <c r="D299">
        <v>39706</v>
      </c>
      <c r="E299" s="2">
        <v>0.08</v>
      </c>
    </row>
    <row r="300" spans="1:5" ht="15" x14ac:dyDescent="0.2">
      <c r="A300" s="1" t="s">
        <v>97</v>
      </c>
      <c r="B300" t="s">
        <v>42</v>
      </c>
      <c r="C300" t="s">
        <v>49</v>
      </c>
      <c r="D300">
        <v>39706</v>
      </c>
      <c r="E300" s="2">
        <v>1312006.3</v>
      </c>
    </row>
    <row r="301" spans="1:5" ht="15" x14ac:dyDescent="0.2">
      <c r="A301" s="1" t="s">
        <v>68</v>
      </c>
      <c r="B301" t="s">
        <v>6</v>
      </c>
      <c r="C301" t="s">
        <v>49</v>
      </c>
      <c r="D301">
        <v>39706</v>
      </c>
      <c r="E301" s="2">
        <v>833912.27</v>
      </c>
    </row>
    <row r="302" spans="1:5" ht="15" x14ac:dyDescent="0.2">
      <c r="A302" s="1" t="s">
        <v>77</v>
      </c>
      <c r="B302" t="s">
        <v>18</v>
      </c>
      <c r="C302" t="s">
        <v>49</v>
      </c>
      <c r="D302">
        <v>39706</v>
      </c>
      <c r="E302" s="2">
        <v>1350596.85</v>
      </c>
    </row>
    <row r="303" spans="1:5" ht="15" x14ac:dyDescent="0.2">
      <c r="A303" s="1" t="s">
        <v>101</v>
      </c>
      <c r="B303" t="s">
        <v>39</v>
      </c>
      <c r="C303" t="s">
        <v>49</v>
      </c>
      <c r="D303">
        <v>39706</v>
      </c>
      <c r="E303" s="2">
        <v>0.27</v>
      </c>
    </row>
    <row r="304" spans="1:5" ht="15" x14ac:dyDescent="0.2">
      <c r="A304" s="1" t="s">
        <v>69</v>
      </c>
      <c r="B304" t="s">
        <v>7</v>
      </c>
      <c r="C304" t="s">
        <v>49</v>
      </c>
      <c r="D304">
        <v>39706</v>
      </c>
      <c r="E304" s="2">
        <v>7130534.7300000004</v>
      </c>
    </row>
    <row r="305" spans="1:5" ht="15" x14ac:dyDescent="0.2">
      <c r="A305" s="1" t="s">
        <v>71</v>
      </c>
      <c r="B305" t="s">
        <v>9</v>
      </c>
      <c r="C305" t="s">
        <v>49</v>
      </c>
      <c r="D305">
        <v>39706</v>
      </c>
      <c r="E305" s="2">
        <v>9567.35</v>
      </c>
    </row>
    <row r="306" spans="1:5" ht="15" x14ac:dyDescent="0.2">
      <c r="A306" s="1" t="s">
        <v>93</v>
      </c>
      <c r="B306" t="s">
        <v>32</v>
      </c>
      <c r="C306" t="s">
        <v>49</v>
      </c>
      <c r="D306">
        <v>46187</v>
      </c>
      <c r="E306" s="2">
        <v>7932802.54</v>
      </c>
    </row>
    <row r="307" spans="1:5" ht="15" x14ac:dyDescent="0.2">
      <c r="A307" s="1" t="s">
        <v>94</v>
      </c>
      <c r="B307" t="s">
        <v>33</v>
      </c>
      <c r="C307" t="s">
        <v>49</v>
      </c>
      <c r="D307">
        <v>46187</v>
      </c>
      <c r="E307" s="2">
        <v>25617434.710000001</v>
      </c>
    </row>
    <row r="308" spans="1:5" ht="15" x14ac:dyDescent="0.2">
      <c r="A308" s="1" t="s">
        <v>84</v>
      </c>
      <c r="B308" t="s">
        <v>16</v>
      </c>
      <c r="C308" t="s">
        <v>49</v>
      </c>
      <c r="D308">
        <v>46187</v>
      </c>
      <c r="E308" s="2">
        <v>617865.80000000005</v>
      </c>
    </row>
    <row r="309" spans="1:5" ht="15" x14ac:dyDescent="0.2">
      <c r="A309" s="1" t="s">
        <v>75</v>
      </c>
      <c r="B309" t="s">
        <v>12</v>
      </c>
      <c r="C309" t="s">
        <v>49</v>
      </c>
      <c r="D309">
        <v>46187</v>
      </c>
      <c r="E309" s="2">
        <v>10543.15</v>
      </c>
    </row>
    <row r="310" spans="1:5" ht="15" x14ac:dyDescent="0.2">
      <c r="A310" s="1" t="s">
        <v>95</v>
      </c>
      <c r="B310" t="s">
        <v>38</v>
      </c>
      <c r="C310" t="s">
        <v>49</v>
      </c>
      <c r="D310">
        <v>46187</v>
      </c>
      <c r="E310" s="2">
        <v>5695.14</v>
      </c>
    </row>
    <row r="311" spans="1:5" ht="15" x14ac:dyDescent="0.2">
      <c r="A311" s="1" t="s">
        <v>76</v>
      </c>
      <c r="B311" t="s">
        <v>13</v>
      </c>
      <c r="C311" t="s">
        <v>49</v>
      </c>
      <c r="D311">
        <v>46187</v>
      </c>
      <c r="E311" s="2">
        <v>2335682.34</v>
      </c>
    </row>
    <row r="312" spans="1:5" ht="15" x14ac:dyDescent="0.2">
      <c r="A312" s="1" t="s">
        <v>78</v>
      </c>
      <c r="B312" t="s">
        <v>20</v>
      </c>
      <c r="C312" t="s">
        <v>49</v>
      </c>
      <c r="D312">
        <v>46187</v>
      </c>
      <c r="E312" s="2">
        <v>378283.55</v>
      </c>
    </row>
    <row r="313" spans="1:5" ht="15" x14ac:dyDescent="0.2">
      <c r="A313" s="1" t="s">
        <v>102</v>
      </c>
      <c r="B313" t="s">
        <v>36</v>
      </c>
      <c r="C313" t="s">
        <v>49</v>
      </c>
      <c r="D313">
        <v>46187</v>
      </c>
      <c r="E313" s="2">
        <v>739727.67</v>
      </c>
    </row>
    <row r="314" spans="1:5" ht="15" x14ac:dyDescent="0.2">
      <c r="A314" s="1" t="s">
        <v>75</v>
      </c>
      <c r="B314" t="s">
        <v>19</v>
      </c>
      <c r="C314" t="s">
        <v>49</v>
      </c>
      <c r="D314">
        <v>46187</v>
      </c>
      <c r="E314" s="2">
        <v>2595513.36</v>
      </c>
    </row>
    <row r="315" spans="1:5" ht="15" x14ac:dyDescent="0.2">
      <c r="A315" s="1" t="s">
        <v>65</v>
      </c>
      <c r="B315" t="s">
        <v>4</v>
      </c>
      <c r="C315" t="s">
        <v>49</v>
      </c>
      <c r="D315">
        <v>46187</v>
      </c>
      <c r="E315" s="2">
        <v>360661.72</v>
      </c>
    </row>
    <row r="316" spans="1:5" ht="15" x14ac:dyDescent="0.2">
      <c r="A316" s="1" t="s">
        <v>69</v>
      </c>
      <c r="B316" t="s">
        <v>7</v>
      </c>
      <c r="C316" t="s">
        <v>49</v>
      </c>
      <c r="D316">
        <v>46187</v>
      </c>
      <c r="E316" s="2">
        <v>4234551.01</v>
      </c>
    </row>
    <row r="317" spans="1:5" ht="15" x14ac:dyDescent="0.2">
      <c r="A317" s="1" t="s">
        <v>67</v>
      </c>
      <c r="B317" t="s">
        <v>5</v>
      </c>
      <c r="C317" t="s">
        <v>49</v>
      </c>
      <c r="D317">
        <v>47097</v>
      </c>
      <c r="E317" s="2">
        <v>-835256.82</v>
      </c>
    </row>
    <row r="318" spans="1:5" ht="15" x14ac:dyDescent="0.2">
      <c r="A318" s="1" t="s">
        <v>79</v>
      </c>
      <c r="B318" t="s">
        <v>21</v>
      </c>
      <c r="C318" t="s">
        <v>49</v>
      </c>
      <c r="D318">
        <v>47097</v>
      </c>
      <c r="E318" s="2">
        <v>2292682.15</v>
      </c>
    </row>
    <row r="319" spans="1:5" ht="15" x14ac:dyDescent="0.2">
      <c r="A319" s="1" t="s">
        <v>93</v>
      </c>
      <c r="B319" t="s">
        <v>32</v>
      </c>
      <c r="C319" t="s">
        <v>49</v>
      </c>
      <c r="D319">
        <v>47097</v>
      </c>
      <c r="E319" s="2">
        <v>8495950.8399999999</v>
      </c>
    </row>
    <row r="320" spans="1:5" ht="15" x14ac:dyDescent="0.2">
      <c r="A320" s="1" t="s">
        <v>75</v>
      </c>
      <c r="B320" t="s">
        <v>12</v>
      </c>
      <c r="C320" t="s">
        <v>49</v>
      </c>
      <c r="D320">
        <v>47097</v>
      </c>
      <c r="E320" s="2">
        <v>1183322.93</v>
      </c>
    </row>
    <row r="321" spans="1:5" ht="15" x14ac:dyDescent="0.2">
      <c r="A321" s="1" t="s">
        <v>76</v>
      </c>
      <c r="B321" t="s">
        <v>13</v>
      </c>
      <c r="C321" t="s">
        <v>49</v>
      </c>
      <c r="D321">
        <v>47097</v>
      </c>
      <c r="E321" s="2">
        <v>2699859.21</v>
      </c>
    </row>
    <row r="322" spans="1:5" ht="15" x14ac:dyDescent="0.2">
      <c r="A322" s="1" t="s">
        <v>83</v>
      </c>
      <c r="B322" t="s">
        <v>23</v>
      </c>
      <c r="C322" t="s">
        <v>49</v>
      </c>
      <c r="D322">
        <v>47097</v>
      </c>
      <c r="E322" s="2">
        <v>1018297.47</v>
      </c>
    </row>
    <row r="323" spans="1:5" ht="15" x14ac:dyDescent="0.2">
      <c r="A323" s="1" t="s">
        <v>74</v>
      </c>
      <c r="B323" t="s">
        <v>11</v>
      </c>
      <c r="C323" t="s">
        <v>49</v>
      </c>
      <c r="D323">
        <v>47097</v>
      </c>
      <c r="E323" s="2">
        <v>9988.08</v>
      </c>
    </row>
    <row r="324" spans="1:5" ht="15" x14ac:dyDescent="0.2">
      <c r="A324" s="1" t="s">
        <v>97</v>
      </c>
      <c r="B324" t="s">
        <v>42</v>
      </c>
      <c r="C324" t="s">
        <v>49</v>
      </c>
      <c r="D324">
        <v>47097</v>
      </c>
      <c r="E324" s="2">
        <v>1184070.78</v>
      </c>
    </row>
    <row r="325" spans="1:5" ht="15" x14ac:dyDescent="0.2">
      <c r="A325" s="1" t="s">
        <v>77</v>
      </c>
      <c r="B325" t="s">
        <v>18</v>
      </c>
      <c r="C325" t="s">
        <v>49</v>
      </c>
      <c r="D325">
        <v>47097</v>
      </c>
      <c r="E325" s="2">
        <v>3023404</v>
      </c>
    </row>
    <row r="326" spans="1:5" ht="15" x14ac:dyDescent="0.2">
      <c r="A326" s="1" t="s">
        <v>81</v>
      </c>
      <c r="B326" t="s">
        <v>14</v>
      </c>
      <c r="C326" t="s">
        <v>49</v>
      </c>
      <c r="D326">
        <v>47097</v>
      </c>
      <c r="E326" s="2">
        <v>2430824.16</v>
      </c>
    </row>
    <row r="327" spans="1:5" ht="15" x14ac:dyDescent="0.2">
      <c r="A327" s="1" t="s">
        <v>78</v>
      </c>
      <c r="B327" t="s">
        <v>20</v>
      </c>
      <c r="C327" t="s">
        <v>49</v>
      </c>
      <c r="D327">
        <v>47097</v>
      </c>
      <c r="E327" s="2">
        <v>696749.33</v>
      </c>
    </row>
    <row r="328" spans="1:5" ht="15" x14ac:dyDescent="0.2">
      <c r="A328" s="1" t="s">
        <v>87</v>
      </c>
      <c r="B328" t="s">
        <v>26</v>
      </c>
      <c r="C328" t="s">
        <v>49</v>
      </c>
      <c r="D328">
        <v>47097</v>
      </c>
      <c r="E328" s="2">
        <v>1354409.07</v>
      </c>
    </row>
    <row r="329" spans="1:5" ht="15" x14ac:dyDescent="0.2">
      <c r="A329" s="1" t="s">
        <v>65</v>
      </c>
      <c r="B329" t="s">
        <v>4</v>
      </c>
      <c r="C329" t="s">
        <v>49</v>
      </c>
      <c r="D329">
        <v>47097</v>
      </c>
      <c r="E329" s="2">
        <v>250829.63</v>
      </c>
    </row>
    <row r="330" spans="1:5" ht="15" x14ac:dyDescent="0.2">
      <c r="A330" s="1" t="s">
        <v>66</v>
      </c>
      <c r="B330" t="s">
        <v>47</v>
      </c>
      <c r="C330" t="s">
        <v>49</v>
      </c>
      <c r="D330">
        <v>48636</v>
      </c>
      <c r="E330" s="2">
        <v>1974554.71</v>
      </c>
    </row>
    <row r="331" spans="1:5" ht="15" x14ac:dyDescent="0.2">
      <c r="A331" s="1" t="s">
        <v>89</v>
      </c>
      <c r="B331" t="s">
        <v>28</v>
      </c>
      <c r="C331" t="s">
        <v>49</v>
      </c>
      <c r="D331">
        <v>48636</v>
      </c>
      <c r="E331" s="2">
        <v>3246310.65</v>
      </c>
    </row>
    <row r="332" spans="1:5" ht="15" x14ac:dyDescent="0.2">
      <c r="A332" s="1" t="s">
        <v>92</v>
      </c>
      <c r="B332" t="s">
        <v>31</v>
      </c>
      <c r="C332" t="s">
        <v>49</v>
      </c>
      <c r="D332">
        <v>48636</v>
      </c>
      <c r="E332" s="2">
        <v>3151036.9</v>
      </c>
    </row>
    <row r="333" spans="1:5" ht="15" x14ac:dyDescent="0.2">
      <c r="A333" s="1" t="s">
        <v>93</v>
      </c>
      <c r="B333" t="s">
        <v>32</v>
      </c>
      <c r="C333" t="s">
        <v>49</v>
      </c>
      <c r="D333">
        <v>48636</v>
      </c>
      <c r="E333" s="2">
        <v>7025006.46</v>
      </c>
    </row>
    <row r="334" spans="1:5" ht="15" x14ac:dyDescent="0.2">
      <c r="A334" s="1" t="s">
        <v>85</v>
      </c>
      <c r="B334" t="s">
        <v>24</v>
      </c>
      <c r="C334" t="s">
        <v>49</v>
      </c>
      <c r="D334">
        <v>48636</v>
      </c>
      <c r="E334" s="2">
        <v>0.37</v>
      </c>
    </row>
    <row r="335" spans="1:5" ht="15" x14ac:dyDescent="0.2">
      <c r="A335" s="1" t="s">
        <v>75</v>
      </c>
      <c r="B335" t="s">
        <v>12</v>
      </c>
      <c r="C335" t="s">
        <v>49</v>
      </c>
      <c r="D335">
        <v>48636</v>
      </c>
      <c r="E335" s="2">
        <v>946825.08</v>
      </c>
    </row>
    <row r="336" spans="1:5" ht="15" x14ac:dyDescent="0.2">
      <c r="A336" s="1" t="s">
        <v>83</v>
      </c>
      <c r="B336" t="s">
        <v>23</v>
      </c>
      <c r="C336" t="s">
        <v>49</v>
      </c>
      <c r="D336">
        <v>48636</v>
      </c>
      <c r="E336" s="2">
        <v>991026.52</v>
      </c>
    </row>
    <row r="337" spans="1:5" ht="15" x14ac:dyDescent="0.2">
      <c r="A337" s="1" t="s">
        <v>74</v>
      </c>
      <c r="B337" t="s">
        <v>11</v>
      </c>
      <c r="C337" t="s">
        <v>49</v>
      </c>
      <c r="D337">
        <v>48636</v>
      </c>
      <c r="E337" s="2">
        <v>261653.3</v>
      </c>
    </row>
    <row r="338" spans="1:5" ht="15" x14ac:dyDescent="0.2">
      <c r="A338" s="1" t="s">
        <v>72</v>
      </c>
      <c r="B338" t="s">
        <v>10</v>
      </c>
      <c r="C338" t="s">
        <v>49</v>
      </c>
      <c r="D338">
        <v>48636</v>
      </c>
      <c r="E338" s="2">
        <v>533451.94999999995</v>
      </c>
    </row>
    <row r="339" spans="1:5" ht="15" x14ac:dyDescent="0.2">
      <c r="A339" s="1" t="s">
        <v>77</v>
      </c>
      <c r="B339" t="s">
        <v>18</v>
      </c>
      <c r="C339" t="s">
        <v>49</v>
      </c>
      <c r="D339">
        <v>48636</v>
      </c>
      <c r="E339" s="2">
        <v>4235558.66</v>
      </c>
    </row>
    <row r="340" spans="1:5" ht="15" x14ac:dyDescent="0.2">
      <c r="A340" s="1" t="s">
        <v>102</v>
      </c>
      <c r="B340" t="s">
        <v>36</v>
      </c>
      <c r="C340" t="s">
        <v>49</v>
      </c>
      <c r="D340">
        <v>48636</v>
      </c>
      <c r="E340" s="2">
        <v>1584340.34</v>
      </c>
    </row>
    <row r="341" spans="1:5" ht="15" x14ac:dyDescent="0.2">
      <c r="A341" s="1" t="s">
        <v>73</v>
      </c>
      <c r="B341" t="s">
        <v>17</v>
      </c>
      <c r="C341" t="s">
        <v>49</v>
      </c>
      <c r="D341">
        <v>48636</v>
      </c>
      <c r="E341" s="2">
        <v>811986.38</v>
      </c>
    </row>
    <row r="342" spans="1:5" ht="15" x14ac:dyDescent="0.2">
      <c r="A342" s="1" t="s">
        <v>105</v>
      </c>
      <c r="B342" t="s">
        <v>41</v>
      </c>
      <c r="C342" t="s">
        <v>49</v>
      </c>
      <c r="D342">
        <v>48636</v>
      </c>
      <c r="E342" s="2">
        <v>5570.8</v>
      </c>
    </row>
    <row r="343" spans="1:5" ht="15" x14ac:dyDescent="0.2">
      <c r="A343" s="1" t="s">
        <v>69</v>
      </c>
      <c r="B343" t="s">
        <v>7</v>
      </c>
      <c r="C343" t="s">
        <v>49</v>
      </c>
      <c r="D343">
        <v>48636</v>
      </c>
      <c r="E343" s="2">
        <v>2617970.4700000002</v>
      </c>
    </row>
    <row r="344" spans="1:5" ht="15" x14ac:dyDescent="0.2">
      <c r="A344" s="1" t="s">
        <v>70</v>
      </c>
      <c r="B344" t="s">
        <v>8</v>
      </c>
      <c r="C344" t="s">
        <v>49</v>
      </c>
      <c r="D344">
        <v>48636</v>
      </c>
      <c r="E344" s="2">
        <v>328.09</v>
      </c>
    </row>
    <row r="345" spans="1:5" ht="15" x14ac:dyDescent="0.2">
      <c r="A345" s="1" t="s">
        <v>71</v>
      </c>
      <c r="B345" t="s">
        <v>9</v>
      </c>
      <c r="C345" t="s">
        <v>49</v>
      </c>
      <c r="D345">
        <v>48636</v>
      </c>
      <c r="E345" s="2">
        <v>3480797.21</v>
      </c>
    </row>
    <row r="346" spans="1:5" ht="15" x14ac:dyDescent="0.2">
      <c r="A346" s="1" t="s">
        <v>79</v>
      </c>
      <c r="B346" t="s">
        <v>21</v>
      </c>
      <c r="C346" t="s">
        <v>49</v>
      </c>
      <c r="D346">
        <v>50768</v>
      </c>
      <c r="E346" s="2">
        <v>2430834.12</v>
      </c>
    </row>
    <row r="347" spans="1:5" ht="15" x14ac:dyDescent="0.2">
      <c r="A347" s="1" t="s">
        <v>92</v>
      </c>
      <c r="B347" t="s">
        <v>31</v>
      </c>
      <c r="C347" t="s">
        <v>49</v>
      </c>
      <c r="D347">
        <v>50768</v>
      </c>
      <c r="E347" s="2">
        <v>5143446.87</v>
      </c>
    </row>
    <row r="348" spans="1:5" ht="15" x14ac:dyDescent="0.2">
      <c r="A348" s="1" t="s">
        <v>64</v>
      </c>
      <c r="B348" t="s">
        <v>3</v>
      </c>
      <c r="C348" t="s">
        <v>49</v>
      </c>
      <c r="D348">
        <v>50768</v>
      </c>
      <c r="E348" s="2">
        <v>10940573.43</v>
      </c>
    </row>
    <row r="349" spans="1:5" ht="15" x14ac:dyDescent="0.2">
      <c r="A349" s="1" t="s">
        <v>84</v>
      </c>
      <c r="B349" t="s">
        <v>16</v>
      </c>
      <c r="C349" t="s">
        <v>49</v>
      </c>
      <c r="D349">
        <v>50768</v>
      </c>
      <c r="E349" s="2">
        <v>1.0900000000000001</v>
      </c>
    </row>
    <row r="350" spans="1:5" ht="15" x14ac:dyDescent="0.2">
      <c r="A350" s="1" t="s">
        <v>75</v>
      </c>
      <c r="B350" t="s">
        <v>12</v>
      </c>
      <c r="C350" t="s">
        <v>49</v>
      </c>
      <c r="D350">
        <v>50768</v>
      </c>
      <c r="E350" s="2">
        <v>1273029.6299999999</v>
      </c>
    </row>
    <row r="351" spans="1:5" ht="15" x14ac:dyDescent="0.2">
      <c r="A351" s="1" t="s">
        <v>83</v>
      </c>
      <c r="B351" t="s">
        <v>23</v>
      </c>
      <c r="C351" t="s">
        <v>49</v>
      </c>
      <c r="D351">
        <v>50768</v>
      </c>
      <c r="E351" s="2">
        <v>1520692.46</v>
      </c>
    </row>
    <row r="352" spans="1:5" ht="15" x14ac:dyDescent="0.2">
      <c r="A352" s="1" t="s">
        <v>98</v>
      </c>
      <c r="B352" t="s">
        <v>34</v>
      </c>
      <c r="C352" t="s">
        <v>49</v>
      </c>
      <c r="D352">
        <v>50768</v>
      </c>
      <c r="E352" s="2">
        <v>13144091.220000001</v>
      </c>
    </row>
    <row r="353" spans="1:5" ht="15" x14ac:dyDescent="0.2">
      <c r="A353" s="1" t="s">
        <v>68</v>
      </c>
      <c r="B353" t="s">
        <v>6</v>
      </c>
      <c r="C353" t="s">
        <v>49</v>
      </c>
      <c r="D353">
        <v>50768</v>
      </c>
      <c r="E353" s="2">
        <v>1896343.75</v>
      </c>
    </row>
    <row r="354" spans="1:5" ht="15" x14ac:dyDescent="0.2">
      <c r="A354" s="1" t="s">
        <v>78</v>
      </c>
      <c r="B354" t="s">
        <v>20</v>
      </c>
      <c r="C354" t="s">
        <v>49</v>
      </c>
      <c r="D354">
        <v>50768</v>
      </c>
      <c r="E354" s="2">
        <v>241494.85</v>
      </c>
    </row>
    <row r="355" spans="1:5" ht="15" x14ac:dyDescent="0.2">
      <c r="A355" s="1" t="s">
        <v>87</v>
      </c>
      <c r="B355" t="s">
        <v>26</v>
      </c>
      <c r="C355" t="s">
        <v>49</v>
      </c>
      <c r="D355">
        <v>50768</v>
      </c>
      <c r="E355" s="2">
        <v>2063863.43</v>
      </c>
    </row>
    <row r="356" spans="1:5" ht="15" x14ac:dyDescent="0.2">
      <c r="A356" s="1" t="s">
        <v>73</v>
      </c>
      <c r="B356" t="s">
        <v>17</v>
      </c>
      <c r="C356" t="s">
        <v>49</v>
      </c>
      <c r="D356">
        <v>50768</v>
      </c>
      <c r="E356" s="2">
        <v>1139338.43</v>
      </c>
    </row>
    <row r="357" spans="1:5" ht="15" x14ac:dyDescent="0.2">
      <c r="A357" s="1" t="s">
        <v>104</v>
      </c>
      <c r="B357" t="s">
        <v>40</v>
      </c>
      <c r="C357" t="s">
        <v>49</v>
      </c>
      <c r="D357">
        <v>50768</v>
      </c>
      <c r="E357" s="2">
        <v>5435554.1200000001</v>
      </c>
    </row>
    <row r="358" spans="1:5" ht="15" x14ac:dyDescent="0.2">
      <c r="A358" s="1" t="s">
        <v>105</v>
      </c>
      <c r="B358" t="s">
        <v>41</v>
      </c>
      <c r="C358" t="s">
        <v>49</v>
      </c>
      <c r="D358">
        <v>50768</v>
      </c>
      <c r="E358" s="2">
        <v>1021027.43</v>
      </c>
    </row>
    <row r="359" spans="1:5" ht="15" x14ac:dyDescent="0.2">
      <c r="A359" s="1" t="s">
        <v>70</v>
      </c>
      <c r="B359" t="s">
        <v>8</v>
      </c>
      <c r="C359" t="s">
        <v>49</v>
      </c>
      <c r="D359">
        <v>50768</v>
      </c>
      <c r="E359" s="2">
        <v>49347502.359999999</v>
      </c>
    </row>
    <row r="360" spans="1:5" ht="15" x14ac:dyDescent="0.2">
      <c r="A360" s="1" t="s">
        <v>71</v>
      </c>
      <c r="B360" t="s">
        <v>9</v>
      </c>
      <c r="C360" t="s">
        <v>49</v>
      </c>
      <c r="D360">
        <v>50768</v>
      </c>
      <c r="E360" s="2">
        <v>11182912.77</v>
      </c>
    </row>
    <row r="361" spans="1:5" ht="15" x14ac:dyDescent="0.2">
      <c r="A361" s="1" t="s">
        <v>82</v>
      </c>
      <c r="B361" t="s">
        <v>15</v>
      </c>
      <c r="C361" t="s">
        <v>49</v>
      </c>
      <c r="D361">
        <v>50768</v>
      </c>
      <c r="E361" s="2">
        <v>3472393.38</v>
      </c>
    </row>
    <row r="362" spans="1:5" ht="15" x14ac:dyDescent="0.2">
      <c r="A362" s="1" t="s">
        <v>66</v>
      </c>
      <c r="B362" t="s">
        <v>47</v>
      </c>
      <c r="C362" t="s">
        <v>49</v>
      </c>
      <c r="D362">
        <v>53027</v>
      </c>
      <c r="E362" s="2">
        <v>720335.85</v>
      </c>
    </row>
    <row r="363" spans="1:5" ht="15" x14ac:dyDescent="0.2">
      <c r="A363" s="1" t="s">
        <v>92</v>
      </c>
      <c r="B363" t="s">
        <v>31</v>
      </c>
      <c r="C363" t="s">
        <v>49</v>
      </c>
      <c r="D363">
        <v>53027</v>
      </c>
      <c r="E363" s="2">
        <v>6689146.0899999999</v>
      </c>
    </row>
    <row r="364" spans="1:5" ht="15" x14ac:dyDescent="0.2">
      <c r="A364" s="1" t="s">
        <v>85</v>
      </c>
      <c r="B364" t="s">
        <v>24</v>
      </c>
      <c r="C364" t="s">
        <v>49</v>
      </c>
      <c r="D364">
        <v>53027</v>
      </c>
      <c r="E364" s="2">
        <v>2238036.5699999998</v>
      </c>
    </row>
    <row r="365" spans="1:5" ht="15" x14ac:dyDescent="0.2">
      <c r="A365" s="1" t="s">
        <v>75</v>
      </c>
      <c r="B365" t="s">
        <v>12</v>
      </c>
      <c r="C365" t="s">
        <v>49</v>
      </c>
      <c r="D365">
        <v>53027</v>
      </c>
      <c r="E365" s="2">
        <v>1654716.13</v>
      </c>
    </row>
    <row r="366" spans="1:5" ht="15" x14ac:dyDescent="0.2">
      <c r="A366" s="1" t="s">
        <v>83</v>
      </c>
      <c r="B366" t="s">
        <v>23</v>
      </c>
      <c r="C366" t="s">
        <v>49</v>
      </c>
      <c r="D366">
        <v>53027</v>
      </c>
      <c r="E366" s="2">
        <v>1504437.49</v>
      </c>
    </row>
    <row r="367" spans="1:5" ht="15" x14ac:dyDescent="0.2">
      <c r="A367" s="1" t="s">
        <v>80</v>
      </c>
      <c r="B367" t="s">
        <v>22</v>
      </c>
      <c r="C367" t="s">
        <v>49</v>
      </c>
      <c r="D367">
        <v>53027</v>
      </c>
      <c r="E367" s="2">
        <v>1911136.67</v>
      </c>
    </row>
    <row r="368" spans="1:5" ht="15" x14ac:dyDescent="0.2">
      <c r="A368" s="1" t="s">
        <v>97</v>
      </c>
      <c r="B368" t="s">
        <v>42</v>
      </c>
      <c r="C368" t="s">
        <v>49</v>
      </c>
      <c r="D368">
        <v>53027</v>
      </c>
      <c r="E368" s="2">
        <v>544893.93000000005</v>
      </c>
    </row>
    <row r="369" spans="1:5" ht="15" x14ac:dyDescent="0.2">
      <c r="A369" s="1" t="s">
        <v>98</v>
      </c>
      <c r="B369" t="s">
        <v>34</v>
      </c>
      <c r="C369" t="s">
        <v>49</v>
      </c>
      <c r="D369">
        <v>53027</v>
      </c>
      <c r="E369" s="2">
        <v>27700285.68</v>
      </c>
    </row>
    <row r="370" spans="1:5" ht="15" x14ac:dyDescent="0.2">
      <c r="A370" s="1" t="s">
        <v>77</v>
      </c>
      <c r="B370" t="s">
        <v>18</v>
      </c>
      <c r="C370" t="s">
        <v>49</v>
      </c>
      <c r="D370">
        <v>53027</v>
      </c>
      <c r="E370" s="2">
        <v>2316289.5699999998</v>
      </c>
    </row>
    <row r="371" spans="1:5" ht="15" x14ac:dyDescent="0.2">
      <c r="A371" s="1" t="s">
        <v>87</v>
      </c>
      <c r="B371" t="s">
        <v>26</v>
      </c>
      <c r="C371" t="s">
        <v>49</v>
      </c>
      <c r="D371">
        <v>53027</v>
      </c>
      <c r="E371" s="2">
        <v>1</v>
      </c>
    </row>
    <row r="372" spans="1:5" ht="15" x14ac:dyDescent="0.2">
      <c r="A372" s="1" t="s">
        <v>102</v>
      </c>
      <c r="B372" t="s">
        <v>36</v>
      </c>
      <c r="C372" t="s">
        <v>49</v>
      </c>
      <c r="D372">
        <v>53027</v>
      </c>
      <c r="E372" s="2">
        <v>1393511.78</v>
      </c>
    </row>
    <row r="373" spans="1:5" ht="15" x14ac:dyDescent="0.2">
      <c r="A373" s="1" t="s">
        <v>103</v>
      </c>
      <c r="B373" t="s">
        <v>37</v>
      </c>
      <c r="C373" t="s">
        <v>49</v>
      </c>
      <c r="D373">
        <v>53027</v>
      </c>
      <c r="E373" s="2">
        <v>1787242.97</v>
      </c>
    </row>
    <row r="374" spans="1:5" ht="15" x14ac:dyDescent="0.2">
      <c r="A374" s="1" t="s">
        <v>75</v>
      </c>
      <c r="B374" t="s">
        <v>19</v>
      </c>
      <c r="C374" t="s">
        <v>49</v>
      </c>
      <c r="D374">
        <v>53027</v>
      </c>
      <c r="E374" s="2">
        <v>1082375.21</v>
      </c>
    </row>
    <row r="375" spans="1:5" ht="15" x14ac:dyDescent="0.2">
      <c r="A375" s="1" t="s">
        <v>65</v>
      </c>
      <c r="B375" t="s">
        <v>4</v>
      </c>
      <c r="C375" t="s">
        <v>49</v>
      </c>
      <c r="D375">
        <v>53027</v>
      </c>
      <c r="E375" s="2">
        <v>7111.4</v>
      </c>
    </row>
    <row r="376" spans="1:5" ht="15" x14ac:dyDescent="0.2">
      <c r="A376" s="1" t="s">
        <v>104</v>
      </c>
      <c r="B376" t="s">
        <v>40</v>
      </c>
      <c r="C376" t="s">
        <v>49</v>
      </c>
      <c r="D376">
        <v>53027</v>
      </c>
      <c r="E376" s="2">
        <v>4377558.75</v>
      </c>
    </row>
    <row r="377" spans="1:5" ht="15" x14ac:dyDescent="0.2">
      <c r="A377" s="1" t="s">
        <v>69</v>
      </c>
      <c r="B377" t="s">
        <v>7</v>
      </c>
      <c r="C377" t="s">
        <v>49</v>
      </c>
      <c r="D377">
        <v>53027</v>
      </c>
      <c r="E377" s="2">
        <v>3945390.97</v>
      </c>
    </row>
    <row r="378" spans="1:5" ht="15" x14ac:dyDescent="0.2">
      <c r="A378" s="1" t="s">
        <v>66</v>
      </c>
      <c r="B378" t="s">
        <v>47</v>
      </c>
      <c r="C378" t="s">
        <v>49</v>
      </c>
      <c r="D378">
        <v>55481</v>
      </c>
      <c r="E378" s="2">
        <v>556076.14</v>
      </c>
    </row>
    <row r="379" spans="1:5" ht="15" x14ac:dyDescent="0.2">
      <c r="A379" s="1" t="s">
        <v>85</v>
      </c>
      <c r="B379" t="s">
        <v>24</v>
      </c>
      <c r="C379" t="s">
        <v>49</v>
      </c>
      <c r="D379">
        <v>55481</v>
      </c>
      <c r="E379" s="2">
        <v>7015308.21</v>
      </c>
    </row>
    <row r="380" spans="1:5" ht="15" x14ac:dyDescent="0.2">
      <c r="A380" s="1" t="s">
        <v>84</v>
      </c>
      <c r="B380" t="s">
        <v>16</v>
      </c>
      <c r="C380" t="s">
        <v>49</v>
      </c>
      <c r="D380">
        <v>55481</v>
      </c>
      <c r="E380" s="2">
        <v>1868265.09</v>
      </c>
    </row>
    <row r="381" spans="1:5" ht="15" x14ac:dyDescent="0.2">
      <c r="A381" s="1" t="s">
        <v>75</v>
      </c>
      <c r="B381" t="s">
        <v>12</v>
      </c>
      <c r="C381" t="s">
        <v>49</v>
      </c>
      <c r="D381">
        <v>55481</v>
      </c>
      <c r="E381" s="2">
        <v>722489.05</v>
      </c>
    </row>
    <row r="382" spans="1:5" ht="15" x14ac:dyDescent="0.2">
      <c r="A382" s="1" t="s">
        <v>76</v>
      </c>
      <c r="B382" t="s">
        <v>13</v>
      </c>
      <c r="C382" t="s">
        <v>49</v>
      </c>
      <c r="D382">
        <v>55481</v>
      </c>
      <c r="E382" s="2">
        <v>1244002.72</v>
      </c>
    </row>
    <row r="383" spans="1:5" ht="15" x14ac:dyDescent="0.2">
      <c r="A383" s="1" t="s">
        <v>81</v>
      </c>
      <c r="B383" t="s">
        <v>14</v>
      </c>
      <c r="C383" t="s">
        <v>49</v>
      </c>
      <c r="D383">
        <v>55481</v>
      </c>
      <c r="E383" s="2">
        <v>1394018.48</v>
      </c>
    </row>
    <row r="384" spans="1:5" ht="15" x14ac:dyDescent="0.2">
      <c r="A384" s="1" t="s">
        <v>102</v>
      </c>
      <c r="B384" t="s">
        <v>36</v>
      </c>
      <c r="C384" t="s">
        <v>49</v>
      </c>
      <c r="D384">
        <v>55481</v>
      </c>
      <c r="E384" s="2">
        <v>9112.51</v>
      </c>
    </row>
    <row r="385" spans="1:5" ht="15" x14ac:dyDescent="0.2">
      <c r="A385" s="1" t="s">
        <v>101</v>
      </c>
      <c r="B385" t="s">
        <v>39</v>
      </c>
      <c r="C385" t="s">
        <v>49</v>
      </c>
      <c r="D385">
        <v>55481</v>
      </c>
      <c r="E385" s="2">
        <v>1977898.66</v>
      </c>
    </row>
    <row r="386" spans="1:5" ht="15" x14ac:dyDescent="0.2">
      <c r="A386" s="1" t="s">
        <v>90</v>
      </c>
      <c r="B386" t="s">
        <v>29</v>
      </c>
      <c r="C386" t="s">
        <v>49</v>
      </c>
      <c r="D386">
        <v>65050</v>
      </c>
      <c r="E386" s="2">
        <v>1.08</v>
      </c>
    </row>
    <row r="387" spans="1:5" ht="15" x14ac:dyDescent="0.2">
      <c r="A387" s="1" t="s">
        <v>92</v>
      </c>
      <c r="B387" t="s">
        <v>31</v>
      </c>
      <c r="C387" t="s">
        <v>49</v>
      </c>
      <c r="D387">
        <v>65050</v>
      </c>
      <c r="E387" s="2">
        <v>8454547.3300000001</v>
      </c>
    </row>
    <row r="388" spans="1:5" ht="15" x14ac:dyDescent="0.2">
      <c r="A388" s="1" t="s">
        <v>93</v>
      </c>
      <c r="B388" t="s">
        <v>32</v>
      </c>
      <c r="C388" t="s">
        <v>49</v>
      </c>
      <c r="D388">
        <v>65050</v>
      </c>
      <c r="E388" s="2">
        <v>7607276.7400000002</v>
      </c>
    </row>
    <row r="389" spans="1:5" ht="15" x14ac:dyDescent="0.2">
      <c r="A389" s="1" t="s">
        <v>84</v>
      </c>
      <c r="B389" t="s">
        <v>16</v>
      </c>
      <c r="C389" t="s">
        <v>49</v>
      </c>
      <c r="D389">
        <v>65050</v>
      </c>
      <c r="E389" s="2">
        <v>716027.5</v>
      </c>
    </row>
    <row r="390" spans="1:5" ht="15" x14ac:dyDescent="0.2">
      <c r="A390" s="1" t="s">
        <v>68</v>
      </c>
      <c r="B390" t="s">
        <v>6</v>
      </c>
      <c r="C390" t="s">
        <v>49</v>
      </c>
      <c r="D390">
        <v>65050</v>
      </c>
      <c r="E390" s="2">
        <v>1191151.75</v>
      </c>
    </row>
    <row r="391" spans="1:5" ht="15" x14ac:dyDescent="0.2">
      <c r="A391" s="1" t="s">
        <v>77</v>
      </c>
      <c r="B391" t="s">
        <v>18</v>
      </c>
      <c r="C391" t="s">
        <v>49</v>
      </c>
      <c r="D391">
        <v>65050</v>
      </c>
      <c r="E391" s="2">
        <v>2588017.5299999998</v>
      </c>
    </row>
    <row r="392" spans="1:5" ht="15" x14ac:dyDescent="0.2">
      <c r="A392" s="1" t="s">
        <v>81</v>
      </c>
      <c r="B392" t="s">
        <v>14</v>
      </c>
      <c r="C392" t="s">
        <v>49</v>
      </c>
      <c r="D392">
        <v>65050</v>
      </c>
      <c r="E392" s="2">
        <v>4130494.68</v>
      </c>
    </row>
    <row r="393" spans="1:5" ht="15" x14ac:dyDescent="0.2">
      <c r="A393" s="1" t="s">
        <v>73</v>
      </c>
      <c r="B393" t="s">
        <v>17</v>
      </c>
      <c r="C393" t="s">
        <v>49</v>
      </c>
      <c r="D393">
        <v>65050</v>
      </c>
      <c r="E393" s="2">
        <v>1857.86</v>
      </c>
    </row>
    <row r="394" spans="1:5" ht="15" x14ac:dyDescent="0.2">
      <c r="A394" s="1" t="s">
        <v>101</v>
      </c>
      <c r="B394" t="s">
        <v>39</v>
      </c>
      <c r="C394" t="s">
        <v>49</v>
      </c>
      <c r="D394">
        <v>65050</v>
      </c>
      <c r="E394" s="2">
        <v>256660.13</v>
      </c>
    </row>
    <row r="395" spans="1:5" ht="15" x14ac:dyDescent="0.2">
      <c r="A395" s="1" t="s">
        <v>65</v>
      </c>
      <c r="B395" t="s">
        <v>4</v>
      </c>
      <c r="C395" t="s">
        <v>49</v>
      </c>
      <c r="D395">
        <v>65050</v>
      </c>
      <c r="E395" s="2">
        <v>958527.67</v>
      </c>
    </row>
    <row r="396" spans="1:5" ht="15" x14ac:dyDescent="0.2">
      <c r="A396" s="1" t="s">
        <v>105</v>
      </c>
      <c r="B396" t="s">
        <v>41</v>
      </c>
      <c r="C396" t="s">
        <v>49</v>
      </c>
      <c r="D396">
        <v>65050</v>
      </c>
      <c r="E396" s="2">
        <v>487882.3</v>
      </c>
    </row>
    <row r="397" spans="1:5" ht="15" x14ac:dyDescent="0.2">
      <c r="A397" s="1" t="s">
        <v>71</v>
      </c>
      <c r="B397" t="s">
        <v>9</v>
      </c>
      <c r="C397" t="s">
        <v>49</v>
      </c>
      <c r="D397">
        <v>65050</v>
      </c>
      <c r="E397" s="2">
        <v>4882985.66</v>
      </c>
    </row>
    <row r="398" spans="1:5" ht="15" x14ac:dyDescent="0.2">
      <c r="A398" s="1" t="s">
        <v>64</v>
      </c>
      <c r="B398" t="s">
        <v>3</v>
      </c>
      <c r="C398" t="s">
        <v>49</v>
      </c>
      <c r="D398">
        <v>75257</v>
      </c>
      <c r="E398" s="2">
        <v>3186845.77</v>
      </c>
    </row>
    <row r="399" spans="1:5" ht="15" x14ac:dyDescent="0.2">
      <c r="A399" s="1" t="s">
        <v>84</v>
      </c>
      <c r="B399" t="s">
        <v>16</v>
      </c>
      <c r="C399" t="s">
        <v>49</v>
      </c>
      <c r="D399">
        <v>75257</v>
      </c>
      <c r="E399" s="2">
        <v>525128.56000000006</v>
      </c>
    </row>
    <row r="400" spans="1:5" ht="15" x14ac:dyDescent="0.2">
      <c r="A400" s="1" t="s">
        <v>80</v>
      </c>
      <c r="B400" t="s">
        <v>22</v>
      </c>
      <c r="C400" t="s">
        <v>49</v>
      </c>
      <c r="D400">
        <v>75257</v>
      </c>
      <c r="E400" s="2">
        <v>3693325.69</v>
      </c>
    </row>
    <row r="401" spans="1:5" ht="15" x14ac:dyDescent="0.2">
      <c r="A401" s="1" t="s">
        <v>97</v>
      </c>
      <c r="B401" t="s">
        <v>42</v>
      </c>
      <c r="C401" t="s">
        <v>49</v>
      </c>
      <c r="D401">
        <v>75257</v>
      </c>
      <c r="E401" s="2">
        <v>2707.82</v>
      </c>
    </row>
    <row r="402" spans="1:5" ht="15" x14ac:dyDescent="0.2">
      <c r="A402" s="1" t="s">
        <v>78</v>
      </c>
      <c r="B402" t="s">
        <v>20</v>
      </c>
      <c r="C402" t="s">
        <v>49</v>
      </c>
      <c r="D402">
        <v>75257</v>
      </c>
      <c r="E402" s="2">
        <v>817808.35</v>
      </c>
    </row>
    <row r="403" spans="1:5" ht="15" x14ac:dyDescent="0.2">
      <c r="A403" s="1" t="s">
        <v>73</v>
      </c>
      <c r="B403" t="s">
        <v>17</v>
      </c>
      <c r="C403" t="s">
        <v>49</v>
      </c>
      <c r="D403">
        <v>75257</v>
      </c>
      <c r="E403" s="2">
        <v>545449.73</v>
      </c>
    </row>
    <row r="404" spans="1:5" ht="15" x14ac:dyDescent="0.2">
      <c r="A404" s="1" t="s">
        <v>101</v>
      </c>
      <c r="B404" t="s">
        <v>39</v>
      </c>
      <c r="C404" t="s">
        <v>49</v>
      </c>
      <c r="D404">
        <v>75257</v>
      </c>
      <c r="E404" s="2">
        <v>1065255.3</v>
      </c>
    </row>
    <row r="405" spans="1:5" ht="15" x14ac:dyDescent="0.2">
      <c r="A405" s="1" t="s">
        <v>65</v>
      </c>
      <c r="B405" t="s">
        <v>4</v>
      </c>
      <c r="C405" t="s">
        <v>49</v>
      </c>
      <c r="D405">
        <v>75257</v>
      </c>
      <c r="E405" s="2">
        <v>910585.56</v>
      </c>
    </row>
    <row r="406" spans="1:5" ht="15" x14ac:dyDescent="0.2">
      <c r="A406" s="1" t="s">
        <v>105</v>
      </c>
      <c r="B406" t="s">
        <v>41</v>
      </c>
      <c r="C406" t="s">
        <v>49</v>
      </c>
      <c r="D406">
        <v>75257</v>
      </c>
      <c r="E406" s="2">
        <v>1048422.26</v>
      </c>
    </row>
    <row r="407" spans="1:5" ht="15" x14ac:dyDescent="0.2">
      <c r="A407" s="1" t="s">
        <v>69</v>
      </c>
      <c r="B407" t="s">
        <v>7</v>
      </c>
      <c r="C407" t="s">
        <v>49</v>
      </c>
      <c r="D407">
        <v>75257</v>
      </c>
      <c r="E407" s="2">
        <v>1247.1500000000001</v>
      </c>
    </row>
    <row r="408" spans="1:5" ht="15" x14ac:dyDescent="0.2">
      <c r="A408" s="1" t="s">
        <v>70</v>
      </c>
      <c r="B408" t="s">
        <v>8</v>
      </c>
      <c r="C408" t="s">
        <v>49</v>
      </c>
      <c r="D408">
        <v>75257</v>
      </c>
      <c r="E408" s="2">
        <v>0.28000000000000003</v>
      </c>
    </row>
    <row r="409" spans="1:5" ht="15" x14ac:dyDescent="0.2">
      <c r="A409" s="1" t="s">
        <v>82</v>
      </c>
      <c r="B409" t="s">
        <v>15</v>
      </c>
      <c r="C409" t="s">
        <v>49</v>
      </c>
      <c r="D409">
        <v>75257</v>
      </c>
      <c r="E409" s="2">
        <v>2092521.97</v>
      </c>
    </row>
    <row r="410" spans="1:5" ht="15" x14ac:dyDescent="0.2">
      <c r="A410" s="1" t="s">
        <v>67</v>
      </c>
      <c r="B410" t="s">
        <v>5</v>
      </c>
      <c r="C410" t="s">
        <v>49</v>
      </c>
      <c r="D410">
        <v>79177</v>
      </c>
      <c r="E410" s="2">
        <v>-1721995.03</v>
      </c>
    </row>
    <row r="411" spans="1:5" ht="15" x14ac:dyDescent="0.2">
      <c r="A411" s="1" t="s">
        <v>93</v>
      </c>
      <c r="B411" t="s">
        <v>32</v>
      </c>
      <c r="C411" t="s">
        <v>49</v>
      </c>
      <c r="D411">
        <v>79177</v>
      </c>
      <c r="E411" s="2">
        <v>10105518.310000001</v>
      </c>
    </row>
    <row r="412" spans="1:5" ht="15" x14ac:dyDescent="0.2">
      <c r="A412" s="1" t="s">
        <v>76</v>
      </c>
      <c r="B412" t="s">
        <v>13</v>
      </c>
      <c r="C412" t="s">
        <v>49</v>
      </c>
      <c r="D412">
        <v>79177</v>
      </c>
      <c r="E412" s="2">
        <v>1170091.8799999999</v>
      </c>
    </row>
    <row r="413" spans="1:5" ht="15" x14ac:dyDescent="0.2">
      <c r="A413" s="1" t="s">
        <v>80</v>
      </c>
      <c r="B413" t="s">
        <v>22</v>
      </c>
      <c r="C413" t="s">
        <v>49</v>
      </c>
      <c r="D413">
        <v>79177</v>
      </c>
      <c r="E413" s="2">
        <v>1687296.98</v>
      </c>
    </row>
    <row r="414" spans="1:5" ht="15" x14ac:dyDescent="0.2">
      <c r="A414" s="1" t="s">
        <v>97</v>
      </c>
      <c r="B414" t="s">
        <v>42</v>
      </c>
      <c r="C414" t="s">
        <v>49</v>
      </c>
      <c r="D414">
        <v>79177</v>
      </c>
      <c r="E414" s="2">
        <v>751000.33</v>
      </c>
    </row>
    <row r="415" spans="1:5" ht="15" x14ac:dyDescent="0.2">
      <c r="A415" s="1" t="s">
        <v>87</v>
      </c>
      <c r="B415" t="s">
        <v>26</v>
      </c>
      <c r="C415" t="s">
        <v>49</v>
      </c>
      <c r="D415">
        <v>79177</v>
      </c>
      <c r="E415" s="2">
        <v>1989990.19</v>
      </c>
    </row>
    <row r="416" spans="1:5" ht="15" x14ac:dyDescent="0.2">
      <c r="A416" s="1" t="s">
        <v>103</v>
      </c>
      <c r="B416" t="s">
        <v>37</v>
      </c>
      <c r="C416" t="s">
        <v>49</v>
      </c>
      <c r="D416">
        <v>79177</v>
      </c>
      <c r="E416" s="2">
        <v>1519870.91</v>
      </c>
    </row>
    <row r="417" spans="1:5" ht="15" x14ac:dyDescent="0.2">
      <c r="A417" s="1" t="s">
        <v>73</v>
      </c>
      <c r="B417" t="s">
        <v>17</v>
      </c>
      <c r="C417" t="s">
        <v>49</v>
      </c>
      <c r="D417">
        <v>79177</v>
      </c>
      <c r="E417" s="2">
        <v>684374.12</v>
      </c>
    </row>
    <row r="418" spans="1:5" ht="15" x14ac:dyDescent="0.2">
      <c r="A418" s="1" t="s">
        <v>101</v>
      </c>
      <c r="B418" t="s">
        <v>39</v>
      </c>
      <c r="C418" t="s">
        <v>49</v>
      </c>
      <c r="D418">
        <v>79177</v>
      </c>
      <c r="E418" s="2">
        <v>1140232.1399999999</v>
      </c>
    </row>
    <row r="419" spans="1:5" ht="15" x14ac:dyDescent="0.2">
      <c r="A419" s="1" t="s">
        <v>104</v>
      </c>
      <c r="B419" t="s">
        <v>40</v>
      </c>
      <c r="C419" t="s">
        <v>49</v>
      </c>
      <c r="D419">
        <v>79177</v>
      </c>
      <c r="E419" s="2">
        <v>3704898.45</v>
      </c>
    </row>
    <row r="420" spans="1:5" ht="15" x14ac:dyDescent="0.2">
      <c r="A420" s="1" t="s">
        <v>105</v>
      </c>
      <c r="B420" t="s">
        <v>41</v>
      </c>
      <c r="C420" t="s">
        <v>49</v>
      </c>
      <c r="D420">
        <v>79177</v>
      </c>
      <c r="E420" s="2">
        <v>2084977.63</v>
      </c>
    </row>
    <row r="421" spans="1:5" ht="15" x14ac:dyDescent="0.2">
      <c r="A421" s="1" t="s">
        <v>71</v>
      </c>
      <c r="B421" t="s">
        <v>9</v>
      </c>
      <c r="C421" t="s">
        <v>49</v>
      </c>
      <c r="D421">
        <v>79177</v>
      </c>
      <c r="E421" s="2">
        <v>6322461.4000000004</v>
      </c>
    </row>
    <row r="422" spans="1:5" ht="15" x14ac:dyDescent="0.2">
      <c r="A422" s="1" t="s">
        <v>93</v>
      </c>
      <c r="B422" t="s">
        <v>32</v>
      </c>
      <c r="C422" t="s">
        <v>49</v>
      </c>
      <c r="D422">
        <v>82313</v>
      </c>
      <c r="E422" s="2">
        <v>12971241.17</v>
      </c>
    </row>
    <row r="423" spans="1:5" ht="15" x14ac:dyDescent="0.2">
      <c r="A423" s="1" t="s">
        <v>64</v>
      </c>
      <c r="B423" t="s">
        <v>3</v>
      </c>
      <c r="C423" t="s">
        <v>49</v>
      </c>
      <c r="D423">
        <v>82313</v>
      </c>
      <c r="E423" s="2">
        <v>6049955.8600000003</v>
      </c>
    </row>
    <row r="424" spans="1:5" ht="15" x14ac:dyDescent="0.2">
      <c r="A424" s="1" t="s">
        <v>85</v>
      </c>
      <c r="B424" t="s">
        <v>24</v>
      </c>
      <c r="C424" t="s">
        <v>49</v>
      </c>
      <c r="D424">
        <v>82313</v>
      </c>
      <c r="E424" s="2">
        <v>2012819.07</v>
      </c>
    </row>
    <row r="425" spans="1:5" ht="15" x14ac:dyDescent="0.2">
      <c r="A425" s="1" t="s">
        <v>83</v>
      </c>
      <c r="B425" t="s">
        <v>23</v>
      </c>
      <c r="C425" t="s">
        <v>49</v>
      </c>
      <c r="D425">
        <v>82313</v>
      </c>
      <c r="E425" s="2">
        <v>1843449.14</v>
      </c>
    </row>
    <row r="426" spans="1:5" ht="15" x14ac:dyDescent="0.2">
      <c r="A426" s="1" t="s">
        <v>74</v>
      </c>
      <c r="B426" t="s">
        <v>11</v>
      </c>
      <c r="C426" t="s">
        <v>49</v>
      </c>
      <c r="D426">
        <v>82313</v>
      </c>
      <c r="E426" s="2">
        <v>222282.86</v>
      </c>
    </row>
    <row r="427" spans="1:5" ht="15" x14ac:dyDescent="0.2">
      <c r="A427" s="1" t="s">
        <v>72</v>
      </c>
      <c r="B427" t="s">
        <v>10</v>
      </c>
      <c r="C427" t="s">
        <v>49</v>
      </c>
      <c r="D427">
        <v>82313</v>
      </c>
      <c r="E427" s="2">
        <v>3401841.65</v>
      </c>
    </row>
    <row r="428" spans="1:5" ht="15" x14ac:dyDescent="0.2">
      <c r="A428" s="1" t="s">
        <v>68</v>
      </c>
      <c r="B428" t="s">
        <v>6</v>
      </c>
      <c r="C428" t="s">
        <v>49</v>
      </c>
      <c r="D428">
        <v>82313</v>
      </c>
      <c r="E428" s="2">
        <v>941274.59</v>
      </c>
    </row>
    <row r="429" spans="1:5" ht="15" x14ac:dyDescent="0.2">
      <c r="A429" s="1" t="s">
        <v>81</v>
      </c>
      <c r="B429" t="s">
        <v>14</v>
      </c>
      <c r="C429" t="s">
        <v>49</v>
      </c>
      <c r="D429">
        <v>82313</v>
      </c>
      <c r="E429" s="2">
        <v>3985564.88</v>
      </c>
    </row>
    <row r="430" spans="1:5" ht="15" x14ac:dyDescent="0.2">
      <c r="A430" s="1" t="s">
        <v>88</v>
      </c>
      <c r="B430" t="s">
        <v>27</v>
      </c>
      <c r="C430" t="s">
        <v>49</v>
      </c>
      <c r="D430">
        <v>82313</v>
      </c>
      <c r="E430" s="2">
        <v>7055731.1699999999</v>
      </c>
    </row>
    <row r="431" spans="1:5" ht="15" x14ac:dyDescent="0.2">
      <c r="A431" s="1" t="s">
        <v>101</v>
      </c>
      <c r="B431" t="s">
        <v>39</v>
      </c>
      <c r="C431" t="s">
        <v>49</v>
      </c>
      <c r="D431">
        <v>82313</v>
      </c>
      <c r="E431" s="2">
        <v>768694.16</v>
      </c>
    </row>
    <row r="432" spans="1:5" ht="15" x14ac:dyDescent="0.2">
      <c r="A432" s="1" t="s">
        <v>104</v>
      </c>
      <c r="B432" t="s">
        <v>40</v>
      </c>
      <c r="C432" t="s">
        <v>49</v>
      </c>
      <c r="D432">
        <v>82313</v>
      </c>
      <c r="E432" s="2">
        <v>5760995.3499999996</v>
      </c>
    </row>
    <row r="433" spans="1:5" ht="15" x14ac:dyDescent="0.2">
      <c r="A433" s="1" t="s">
        <v>105</v>
      </c>
      <c r="B433" t="s">
        <v>41</v>
      </c>
      <c r="C433" t="s">
        <v>49</v>
      </c>
      <c r="D433">
        <v>82313</v>
      </c>
      <c r="E433" s="2">
        <v>0.12</v>
      </c>
    </row>
    <row r="434" spans="1:5" ht="15" x14ac:dyDescent="0.2">
      <c r="A434" s="1" t="s">
        <v>69</v>
      </c>
      <c r="B434" t="s">
        <v>7</v>
      </c>
      <c r="C434" t="s">
        <v>49</v>
      </c>
      <c r="D434">
        <v>82313</v>
      </c>
      <c r="E434" s="2">
        <v>8062.63</v>
      </c>
    </row>
    <row r="435" spans="1:5" ht="15" x14ac:dyDescent="0.2">
      <c r="A435" s="1" t="s">
        <v>82</v>
      </c>
      <c r="B435" t="s">
        <v>15</v>
      </c>
      <c r="C435" t="s">
        <v>49</v>
      </c>
      <c r="D435">
        <v>82313</v>
      </c>
      <c r="E435" s="2">
        <v>1472251.23</v>
      </c>
    </row>
    <row r="436" spans="1:5" ht="15" x14ac:dyDescent="0.2">
      <c r="A436" s="1" t="s">
        <v>66</v>
      </c>
      <c r="B436" t="s">
        <v>47</v>
      </c>
      <c r="C436" t="s">
        <v>50</v>
      </c>
      <c r="D436">
        <v>23326</v>
      </c>
      <c r="E436" s="2">
        <v>966750.66</v>
      </c>
    </row>
    <row r="437" spans="1:5" ht="15" x14ac:dyDescent="0.2">
      <c r="A437" s="1" t="s">
        <v>86</v>
      </c>
      <c r="B437" t="s">
        <v>25</v>
      </c>
      <c r="C437" t="s">
        <v>50</v>
      </c>
      <c r="D437">
        <v>23326</v>
      </c>
      <c r="E437" s="2">
        <v>2690446.16</v>
      </c>
    </row>
    <row r="438" spans="1:5" ht="15" x14ac:dyDescent="0.2">
      <c r="A438" s="1" t="s">
        <v>79</v>
      </c>
      <c r="B438" t="s">
        <v>21</v>
      </c>
      <c r="C438" t="s">
        <v>50</v>
      </c>
      <c r="D438">
        <v>23326</v>
      </c>
      <c r="E438" s="2">
        <v>2801624.01</v>
      </c>
    </row>
    <row r="439" spans="1:5" ht="15" x14ac:dyDescent="0.2">
      <c r="A439" s="1" t="s">
        <v>89</v>
      </c>
      <c r="B439" t="s">
        <v>28</v>
      </c>
      <c r="C439" t="s">
        <v>50</v>
      </c>
      <c r="D439">
        <v>23326</v>
      </c>
      <c r="E439" s="2">
        <v>845859.2</v>
      </c>
    </row>
    <row r="440" spans="1:5" ht="15" x14ac:dyDescent="0.2">
      <c r="A440" s="1" t="s">
        <v>92</v>
      </c>
      <c r="B440" t="s">
        <v>31</v>
      </c>
      <c r="C440" t="s">
        <v>50</v>
      </c>
      <c r="D440">
        <v>23326</v>
      </c>
      <c r="E440" s="2">
        <v>4193318.09</v>
      </c>
    </row>
    <row r="441" spans="1:5" ht="15" x14ac:dyDescent="0.2">
      <c r="A441" s="1" t="s">
        <v>94</v>
      </c>
      <c r="B441" t="s">
        <v>33</v>
      </c>
      <c r="C441" t="s">
        <v>50</v>
      </c>
      <c r="D441">
        <v>23326</v>
      </c>
      <c r="E441" s="2">
        <v>23443624.370000001</v>
      </c>
    </row>
    <row r="442" spans="1:5" ht="15" x14ac:dyDescent="0.2">
      <c r="A442" s="1" t="s">
        <v>64</v>
      </c>
      <c r="B442" t="s">
        <v>3</v>
      </c>
      <c r="C442" t="s">
        <v>50</v>
      </c>
      <c r="D442">
        <v>23326</v>
      </c>
      <c r="E442" s="2">
        <v>4972.47</v>
      </c>
    </row>
    <row r="443" spans="1:5" ht="15" x14ac:dyDescent="0.2">
      <c r="A443" s="1" t="s">
        <v>84</v>
      </c>
      <c r="B443" t="s">
        <v>16</v>
      </c>
      <c r="C443" t="s">
        <v>50</v>
      </c>
      <c r="D443">
        <v>23326</v>
      </c>
      <c r="E443" s="2">
        <v>0.33</v>
      </c>
    </row>
    <row r="444" spans="1:5" ht="15" x14ac:dyDescent="0.2">
      <c r="A444" s="1" t="s">
        <v>76</v>
      </c>
      <c r="B444" t="s">
        <v>13</v>
      </c>
      <c r="C444" t="s">
        <v>50</v>
      </c>
      <c r="D444">
        <v>23326</v>
      </c>
      <c r="E444" s="2">
        <v>1054734.55</v>
      </c>
    </row>
    <row r="445" spans="1:5" ht="15" x14ac:dyDescent="0.2">
      <c r="A445" s="1" t="s">
        <v>80</v>
      </c>
      <c r="B445" t="s">
        <v>22</v>
      </c>
      <c r="C445" t="s">
        <v>50</v>
      </c>
      <c r="D445">
        <v>23326</v>
      </c>
      <c r="E445" s="2">
        <v>1054378.29</v>
      </c>
    </row>
    <row r="446" spans="1:5" ht="15" x14ac:dyDescent="0.2">
      <c r="A446" s="1" t="s">
        <v>74</v>
      </c>
      <c r="B446" t="s">
        <v>11</v>
      </c>
      <c r="C446" t="s">
        <v>50</v>
      </c>
      <c r="D446">
        <v>23326</v>
      </c>
      <c r="E446" s="2">
        <v>438503.98</v>
      </c>
    </row>
    <row r="447" spans="1:5" ht="15" x14ac:dyDescent="0.2">
      <c r="A447" s="1" t="s">
        <v>72</v>
      </c>
      <c r="B447" t="s">
        <v>10</v>
      </c>
      <c r="C447" t="s">
        <v>50</v>
      </c>
      <c r="D447">
        <v>23326</v>
      </c>
      <c r="E447" s="2">
        <v>1395486.82</v>
      </c>
    </row>
    <row r="448" spans="1:5" ht="15" x14ac:dyDescent="0.2">
      <c r="A448" s="1" t="s">
        <v>97</v>
      </c>
      <c r="B448" t="s">
        <v>42</v>
      </c>
      <c r="C448" t="s">
        <v>50</v>
      </c>
      <c r="D448">
        <v>23326</v>
      </c>
      <c r="E448" s="2">
        <v>832746.2</v>
      </c>
    </row>
    <row r="449" spans="1:5" ht="15" x14ac:dyDescent="0.2">
      <c r="A449" s="1" t="s">
        <v>98</v>
      </c>
      <c r="B449" t="s">
        <v>34</v>
      </c>
      <c r="C449" t="s">
        <v>50</v>
      </c>
      <c r="D449">
        <v>23326</v>
      </c>
      <c r="E449" s="2">
        <v>6413461.8200000003</v>
      </c>
    </row>
    <row r="450" spans="1:5" ht="15" x14ac:dyDescent="0.2">
      <c r="A450" s="1" t="s">
        <v>77</v>
      </c>
      <c r="B450" t="s">
        <v>18</v>
      </c>
      <c r="C450" t="s">
        <v>50</v>
      </c>
      <c r="D450">
        <v>23326</v>
      </c>
      <c r="E450" s="2">
        <v>8865.19</v>
      </c>
    </row>
    <row r="451" spans="1:5" ht="15" x14ac:dyDescent="0.2">
      <c r="A451" s="1" t="s">
        <v>81</v>
      </c>
      <c r="B451" t="s">
        <v>14</v>
      </c>
      <c r="C451" t="s">
        <v>50</v>
      </c>
      <c r="D451">
        <v>23326</v>
      </c>
      <c r="E451" s="2">
        <v>1129996.5900000001</v>
      </c>
    </row>
    <row r="452" spans="1:5" ht="15" x14ac:dyDescent="0.2">
      <c r="A452" s="1" t="s">
        <v>78</v>
      </c>
      <c r="B452" t="s">
        <v>20</v>
      </c>
      <c r="C452" t="s">
        <v>50</v>
      </c>
      <c r="D452">
        <v>23326</v>
      </c>
      <c r="E452" s="2">
        <v>419395.11</v>
      </c>
    </row>
    <row r="453" spans="1:5" ht="15" x14ac:dyDescent="0.2">
      <c r="A453" s="1" t="s">
        <v>87</v>
      </c>
      <c r="B453" t="s">
        <v>26</v>
      </c>
      <c r="C453" t="s">
        <v>50</v>
      </c>
      <c r="D453">
        <v>23326</v>
      </c>
      <c r="E453" s="2">
        <v>1800311.07</v>
      </c>
    </row>
    <row r="454" spans="1:5" ht="15" x14ac:dyDescent="0.2">
      <c r="A454" s="1" t="s">
        <v>104</v>
      </c>
      <c r="B454" t="s">
        <v>40</v>
      </c>
      <c r="C454" t="s">
        <v>50</v>
      </c>
      <c r="D454">
        <v>23326</v>
      </c>
      <c r="E454" s="2">
        <v>0.86</v>
      </c>
    </row>
    <row r="455" spans="1:5" ht="15" x14ac:dyDescent="0.2">
      <c r="A455" s="1" t="s">
        <v>82</v>
      </c>
      <c r="B455" t="s">
        <v>15</v>
      </c>
      <c r="C455" t="s">
        <v>50</v>
      </c>
      <c r="D455">
        <v>23326</v>
      </c>
      <c r="E455" s="2">
        <v>0.74</v>
      </c>
    </row>
    <row r="456" spans="1:5" ht="15" x14ac:dyDescent="0.2">
      <c r="A456" s="1" t="s">
        <v>91</v>
      </c>
      <c r="B456" t="s">
        <v>30</v>
      </c>
      <c r="C456" t="s">
        <v>50</v>
      </c>
      <c r="D456">
        <v>24905</v>
      </c>
      <c r="E456" s="2">
        <v>2386625.14</v>
      </c>
    </row>
    <row r="457" spans="1:5" ht="15" x14ac:dyDescent="0.2">
      <c r="A457" s="1" t="s">
        <v>93</v>
      </c>
      <c r="B457" t="s">
        <v>32</v>
      </c>
      <c r="C457" t="s">
        <v>50</v>
      </c>
      <c r="D457">
        <v>24905</v>
      </c>
      <c r="E457" s="2">
        <v>3476861.81</v>
      </c>
    </row>
    <row r="458" spans="1:5" ht="15" x14ac:dyDescent="0.2">
      <c r="A458" s="1" t="s">
        <v>84</v>
      </c>
      <c r="B458" t="s">
        <v>16</v>
      </c>
      <c r="C458" t="s">
        <v>50</v>
      </c>
      <c r="D458">
        <v>24905</v>
      </c>
      <c r="E458" s="2">
        <v>1447.59</v>
      </c>
    </row>
    <row r="459" spans="1:5" ht="15" x14ac:dyDescent="0.2">
      <c r="A459" s="1" t="s">
        <v>76</v>
      </c>
      <c r="B459" t="s">
        <v>13</v>
      </c>
      <c r="C459" t="s">
        <v>50</v>
      </c>
      <c r="D459">
        <v>24905</v>
      </c>
      <c r="E459" s="2">
        <v>549618.22</v>
      </c>
    </row>
    <row r="460" spans="1:5" ht="15" x14ac:dyDescent="0.2">
      <c r="A460" s="1" t="s">
        <v>80</v>
      </c>
      <c r="B460" t="s">
        <v>22</v>
      </c>
      <c r="C460" t="s">
        <v>50</v>
      </c>
      <c r="D460">
        <v>24905</v>
      </c>
      <c r="E460" s="2">
        <v>1810562.02</v>
      </c>
    </row>
    <row r="461" spans="1:5" ht="15" x14ac:dyDescent="0.2">
      <c r="A461" s="1" t="s">
        <v>96</v>
      </c>
      <c r="B461" t="s">
        <v>44</v>
      </c>
      <c r="C461" t="s">
        <v>50</v>
      </c>
      <c r="D461">
        <v>24905</v>
      </c>
      <c r="E461" s="2">
        <v>3180846.89</v>
      </c>
    </row>
    <row r="462" spans="1:5" ht="15" x14ac:dyDescent="0.2">
      <c r="A462" s="1" t="s">
        <v>77</v>
      </c>
      <c r="B462" t="s">
        <v>18</v>
      </c>
      <c r="C462" t="s">
        <v>50</v>
      </c>
      <c r="D462">
        <v>24905</v>
      </c>
      <c r="E462" s="2">
        <v>9498.24</v>
      </c>
    </row>
    <row r="463" spans="1:5" ht="15" x14ac:dyDescent="0.2">
      <c r="A463" s="1" t="s">
        <v>81</v>
      </c>
      <c r="B463" t="s">
        <v>14</v>
      </c>
      <c r="C463" t="s">
        <v>50</v>
      </c>
      <c r="D463">
        <v>24905</v>
      </c>
      <c r="E463" s="2">
        <v>680353.41</v>
      </c>
    </row>
    <row r="464" spans="1:5" ht="15" x14ac:dyDescent="0.2">
      <c r="A464" s="1" t="s">
        <v>78</v>
      </c>
      <c r="B464" t="s">
        <v>20</v>
      </c>
      <c r="C464" t="s">
        <v>50</v>
      </c>
      <c r="D464">
        <v>24905</v>
      </c>
      <c r="E464" s="2">
        <v>193574.47</v>
      </c>
    </row>
    <row r="465" spans="1:5" ht="15" x14ac:dyDescent="0.2">
      <c r="A465" s="1" t="s">
        <v>105</v>
      </c>
      <c r="B465" t="s">
        <v>41</v>
      </c>
      <c r="C465" t="s">
        <v>50</v>
      </c>
      <c r="D465">
        <v>24905</v>
      </c>
      <c r="E465" s="2">
        <v>1661376.62</v>
      </c>
    </row>
    <row r="466" spans="1:5" ht="15" x14ac:dyDescent="0.2">
      <c r="A466" s="1" t="s">
        <v>69</v>
      </c>
      <c r="B466" t="s">
        <v>7</v>
      </c>
      <c r="C466" t="s">
        <v>50</v>
      </c>
      <c r="D466">
        <v>24905</v>
      </c>
      <c r="E466" s="2">
        <v>680583.53</v>
      </c>
    </row>
    <row r="467" spans="1:5" ht="15" x14ac:dyDescent="0.2">
      <c r="A467" s="1" t="s">
        <v>82</v>
      </c>
      <c r="B467" t="s">
        <v>15</v>
      </c>
      <c r="C467" t="s">
        <v>50</v>
      </c>
      <c r="D467">
        <v>24905</v>
      </c>
      <c r="E467" s="2">
        <v>827152.9</v>
      </c>
    </row>
    <row r="468" spans="1:5" ht="15" x14ac:dyDescent="0.2">
      <c r="A468" s="1" t="s">
        <v>66</v>
      </c>
      <c r="B468" t="s">
        <v>47</v>
      </c>
      <c r="C468" t="s">
        <v>50</v>
      </c>
      <c r="D468">
        <v>25937</v>
      </c>
      <c r="E468" s="2">
        <v>2169438.5299999998</v>
      </c>
    </row>
    <row r="469" spans="1:5" ht="15" x14ac:dyDescent="0.2">
      <c r="A469" s="1" t="s">
        <v>90</v>
      </c>
      <c r="B469" t="s">
        <v>29</v>
      </c>
      <c r="C469" t="s">
        <v>50</v>
      </c>
      <c r="D469">
        <v>25937</v>
      </c>
      <c r="E469" s="2">
        <v>889409.07</v>
      </c>
    </row>
    <row r="470" spans="1:5" ht="15" x14ac:dyDescent="0.2">
      <c r="A470" s="1" t="s">
        <v>92</v>
      </c>
      <c r="B470" t="s">
        <v>31</v>
      </c>
      <c r="C470" t="s">
        <v>50</v>
      </c>
      <c r="D470">
        <v>25937</v>
      </c>
      <c r="E470" s="2">
        <v>735490.32</v>
      </c>
    </row>
    <row r="471" spans="1:5" ht="15" x14ac:dyDescent="0.2">
      <c r="A471" s="1" t="s">
        <v>85</v>
      </c>
      <c r="B471" t="s">
        <v>24</v>
      </c>
      <c r="C471" t="s">
        <v>50</v>
      </c>
      <c r="D471">
        <v>25937</v>
      </c>
      <c r="E471" s="2">
        <v>3393388.22</v>
      </c>
    </row>
    <row r="472" spans="1:5" ht="15" x14ac:dyDescent="0.2">
      <c r="A472" s="1" t="s">
        <v>72</v>
      </c>
      <c r="B472" t="s">
        <v>10</v>
      </c>
      <c r="C472" t="s">
        <v>50</v>
      </c>
      <c r="D472">
        <v>25937</v>
      </c>
      <c r="E472" s="2">
        <v>3540.24</v>
      </c>
    </row>
    <row r="473" spans="1:5" ht="15" x14ac:dyDescent="0.2">
      <c r="A473" s="1" t="s">
        <v>96</v>
      </c>
      <c r="B473" t="s">
        <v>44</v>
      </c>
      <c r="C473" t="s">
        <v>50</v>
      </c>
      <c r="D473">
        <v>25937</v>
      </c>
      <c r="E473" s="2">
        <v>0.77</v>
      </c>
    </row>
    <row r="474" spans="1:5" ht="15" x14ac:dyDescent="0.2">
      <c r="A474" s="1" t="s">
        <v>99</v>
      </c>
      <c r="B474" t="s">
        <v>35</v>
      </c>
      <c r="C474" t="s">
        <v>50</v>
      </c>
      <c r="D474">
        <v>25937</v>
      </c>
      <c r="E474" s="2">
        <v>3779153.84</v>
      </c>
    </row>
    <row r="475" spans="1:5" ht="15" x14ac:dyDescent="0.2">
      <c r="A475" s="1" t="s">
        <v>78</v>
      </c>
      <c r="B475" t="s">
        <v>20</v>
      </c>
      <c r="C475" t="s">
        <v>50</v>
      </c>
      <c r="D475">
        <v>25937</v>
      </c>
      <c r="E475" s="2">
        <v>105500.25</v>
      </c>
    </row>
    <row r="476" spans="1:5" ht="15" x14ac:dyDescent="0.2">
      <c r="A476" s="1" t="s">
        <v>88</v>
      </c>
      <c r="B476" t="s">
        <v>27</v>
      </c>
      <c r="C476" t="s">
        <v>50</v>
      </c>
      <c r="D476">
        <v>25937</v>
      </c>
      <c r="E476" s="2">
        <v>793294.47</v>
      </c>
    </row>
    <row r="477" spans="1:5" ht="15" x14ac:dyDescent="0.2">
      <c r="A477" s="1" t="s">
        <v>87</v>
      </c>
      <c r="B477" t="s">
        <v>26</v>
      </c>
      <c r="C477" t="s">
        <v>50</v>
      </c>
      <c r="D477">
        <v>25937</v>
      </c>
      <c r="E477" s="2">
        <v>722689.16</v>
      </c>
    </row>
    <row r="478" spans="1:5" ht="15" x14ac:dyDescent="0.2">
      <c r="A478" s="1" t="s">
        <v>73</v>
      </c>
      <c r="B478" t="s">
        <v>17</v>
      </c>
      <c r="C478" t="s">
        <v>50</v>
      </c>
      <c r="D478">
        <v>25937</v>
      </c>
      <c r="E478" s="2">
        <v>338456.25</v>
      </c>
    </row>
    <row r="479" spans="1:5" ht="15" x14ac:dyDescent="0.2">
      <c r="A479" s="1" t="s">
        <v>105</v>
      </c>
      <c r="B479" t="s">
        <v>41</v>
      </c>
      <c r="C479" t="s">
        <v>50</v>
      </c>
      <c r="D479">
        <v>25937</v>
      </c>
      <c r="E479" s="2">
        <v>146.56</v>
      </c>
    </row>
    <row r="480" spans="1:5" ht="15" x14ac:dyDescent="0.2">
      <c r="A480" s="1" t="s">
        <v>71</v>
      </c>
      <c r="B480" t="s">
        <v>9</v>
      </c>
      <c r="C480" t="s">
        <v>50</v>
      </c>
      <c r="D480">
        <v>25937</v>
      </c>
      <c r="E480" s="2">
        <v>3593517.17</v>
      </c>
    </row>
    <row r="481" spans="1:5" ht="15" x14ac:dyDescent="0.2">
      <c r="A481" s="1" t="s">
        <v>89</v>
      </c>
      <c r="B481" t="s">
        <v>28</v>
      </c>
      <c r="C481" t="s">
        <v>50</v>
      </c>
      <c r="D481">
        <v>43566</v>
      </c>
      <c r="E481" s="2">
        <v>1240174.3500000001</v>
      </c>
    </row>
    <row r="482" spans="1:5" ht="15" x14ac:dyDescent="0.2">
      <c r="A482" s="1" t="s">
        <v>90</v>
      </c>
      <c r="B482" t="s">
        <v>29</v>
      </c>
      <c r="C482" t="s">
        <v>50</v>
      </c>
      <c r="D482">
        <v>43566</v>
      </c>
      <c r="E482" s="2">
        <v>4368064.79</v>
      </c>
    </row>
    <row r="483" spans="1:5" ht="15" x14ac:dyDescent="0.2">
      <c r="A483" s="1" t="s">
        <v>92</v>
      </c>
      <c r="B483" t="s">
        <v>31</v>
      </c>
      <c r="C483" t="s">
        <v>50</v>
      </c>
      <c r="D483">
        <v>43566</v>
      </c>
      <c r="E483" s="2">
        <v>678230.35</v>
      </c>
    </row>
    <row r="484" spans="1:5" ht="15" x14ac:dyDescent="0.2">
      <c r="A484" s="1" t="s">
        <v>95</v>
      </c>
      <c r="B484" t="s">
        <v>38</v>
      </c>
      <c r="C484" t="s">
        <v>50</v>
      </c>
      <c r="D484">
        <v>43566</v>
      </c>
      <c r="E484" s="2">
        <v>18752448.57</v>
      </c>
    </row>
    <row r="485" spans="1:5" ht="15" x14ac:dyDescent="0.2">
      <c r="A485" s="1" t="s">
        <v>76</v>
      </c>
      <c r="B485" t="s">
        <v>13</v>
      </c>
      <c r="C485" t="s">
        <v>50</v>
      </c>
      <c r="D485">
        <v>43566</v>
      </c>
      <c r="E485" s="2">
        <v>514316</v>
      </c>
    </row>
    <row r="486" spans="1:5" ht="15" x14ac:dyDescent="0.2">
      <c r="A486" s="1" t="s">
        <v>74</v>
      </c>
      <c r="B486" t="s">
        <v>11</v>
      </c>
      <c r="C486" t="s">
        <v>50</v>
      </c>
      <c r="D486">
        <v>43566</v>
      </c>
      <c r="E486" s="2">
        <v>104118.04</v>
      </c>
    </row>
    <row r="487" spans="1:5" ht="15" x14ac:dyDescent="0.2">
      <c r="A487" s="1" t="s">
        <v>97</v>
      </c>
      <c r="B487" t="s">
        <v>42</v>
      </c>
      <c r="C487" t="s">
        <v>50</v>
      </c>
      <c r="D487">
        <v>43566</v>
      </c>
      <c r="E487" s="2">
        <v>1232405.82</v>
      </c>
    </row>
    <row r="488" spans="1:5" ht="15" x14ac:dyDescent="0.2">
      <c r="A488" s="1" t="s">
        <v>99</v>
      </c>
      <c r="B488" t="s">
        <v>35</v>
      </c>
      <c r="C488" t="s">
        <v>50</v>
      </c>
      <c r="D488">
        <v>43566</v>
      </c>
      <c r="E488" s="2">
        <v>1942813.67</v>
      </c>
    </row>
    <row r="489" spans="1:5" ht="15" x14ac:dyDescent="0.2">
      <c r="A489" s="1" t="s">
        <v>81</v>
      </c>
      <c r="B489" t="s">
        <v>14</v>
      </c>
      <c r="C489" t="s">
        <v>50</v>
      </c>
      <c r="D489">
        <v>43566</v>
      </c>
      <c r="E489" s="2">
        <v>1532289.5</v>
      </c>
    </row>
    <row r="490" spans="1:5" ht="15" x14ac:dyDescent="0.2">
      <c r="A490" s="1" t="s">
        <v>102</v>
      </c>
      <c r="B490" t="s">
        <v>36</v>
      </c>
      <c r="C490" t="s">
        <v>50</v>
      </c>
      <c r="D490">
        <v>43566</v>
      </c>
      <c r="E490" s="2">
        <v>1233.92</v>
      </c>
    </row>
    <row r="491" spans="1:5" ht="15" x14ac:dyDescent="0.2">
      <c r="A491" s="1" t="s">
        <v>101</v>
      </c>
      <c r="B491" t="s">
        <v>39</v>
      </c>
      <c r="C491" t="s">
        <v>50</v>
      </c>
      <c r="D491">
        <v>43566</v>
      </c>
      <c r="E491" s="2">
        <v>2102145.2000000002</v>
      </c>
    </row>
    <row r="492" spans="1:5" ht="15" x14ac:dyDescent="0.2">
      <c r="A492" s="1" t="s">
        <v>104</v>
      </c>
      <c r="B492" t="s">
        <v>40</v>
      </c>
      <c r="C492" t="s">
        <v>50</v>
      </c>
      <c r="D492">
        <v>43566</v>
      </c>
      <c r="E492" s="2">
        <v>4991060.3499999996</v>
      </c>
    </row>
    <row r="493" spans="1:5" ht="15" x14ac:dyDescent="0.2">
      <c r="A493" s="1" t="s">
        <v>69</v>
      </c>
      <c r="B493" t="s">
        <v>7</v>
      </c>
      <c r="C493" t="s">
        <v>50</v>
      </c>
      <c r="D493">
        <v>43566</v>
      </c>
      <c r="E493" s="2">
        <v>2878910.18</v>
      </c>
    </row>
    <row r="494" spans="1:5" ht="15" x14ac:dyDescent="0.2">
      <c r="A494" s="1" t="s">
        <v>71</v>
      </c>
      <c r="B494" t="s">
        <v>9</v>
      </c>
      <c r="C494" t="s">
        <v>50</v>
      </c>
      <c r="D494">
        <v>43566</v>
      </c>
      <c r="E494" s="2">
        <v>2479348.86</v>
      </c>
    </row>
    <row r="495" spans="1:5" ht="15" x14ac:dyDescent="0.2">
      <c r="A495" s="1" t="s">
        <v>89</v>
      </c>
      <c r="B495" t="s">
        <v>28</v>
      </c>
      <c r="C495" t="s">
        <v>50</v>
      </c>
      <c r="D495">
        <v>46969</v>
      </c>
      <c r="E495" s="2">
        <v>504559.76</v>
      </c>
    </row>
    <row r="496" spans="1:5" ht="15" x14ac:dyDescent="0.2">
      <c r="A496" s="1" t="s">
        <v>90</v>
      </c>
      <c r="B496" t="s">
        <v>29</v>
      </c>
      <c r="C496" t="s">
        <v>50</v>
      </c>
      <c r="D496">
        <v>46969</v>
      </c>
      <c r="E496" s="2">
        <v>831017.45</v>
      </c>
    </row>
    <row r="497" spans="1:5" ht="15" x14ac:dyDescent="0.2">
      <c r="A497" s="1" t="s">
        <v>93</v>
      </c>
      <c r="B497" t="s">
        <v>32</v>
      </c>
      <c r="C497" t="s">
        <v>50</v>
      </c>
      <c r="D497">
        <v>46969</v>
      </c>
      <c r="E497" s="2">
        <v>3083168.28</v>
      </c>
    </row>
    <row r="498" spans="1:5" ht="15" x14ac:dyDescent="0.2">
      <c r="A498" s="1" t="s">
        <v>76</v>
      </c>
      <c r="B498" t="s">
        <v>13</v>
      </c>
      <c r="C498" t="s">
        <v>50</v>
      </c>
      <c r="D498">
        <v>46969</v>
      </c>
      <c r="E498" s="2">
        <v>835342.79</v>
      </c>
    </row>
    <row r="499" spans="1:5" ht="15" x14ac:dyDescent="0.2">
      <c r="A499" s="1" t="s">
        <v>77</v>
      </c>
      <c r="B499" t="s">
        <v>18</v>
      </c>
      <c r="C499" t="s">
        <v>50</v>
      </c>
      <c r="D499">
        <v>46969</v>
      </c>
      <c r="E499" s="2">
        <v>1157656.98</v>
      </c>
    </row>
    <row r="500" spans="1:5" ht="15" x14ac:dyDescent="0.2">
      <c r="A500" s="1" t="s">
        <v>78</v>
      </c>
      <c r="B500" t="s">
        <v>20</v>
      </c>
      <c r="C500" t="s">
        <v>50</v>
      </c>
      <c r="D500">
        <v>46969</v>
      </c>
      <c r="E500" s="2">
        <v>716531.63</v>
      </c>
    </row>
    <row r="501" spans="1:5" ht="15" x14ac:dyDescent="0.2">
      <c r="A501" s="1" t="s">
        <v>88</v>
      </c>
      <c r="B501" t="s">
        <v>27</v>
      </c>
      <c r="C501" t="s">
        <v>50</v>
      </c>
      <c r="D501">
        <v>46969</v>
      </c>
      <c r="E501" s="2">
        <v>966995.85</v>
      </c>
    </row>
    <row r="502" spans="1:5" ht="15" x14ac:dyDescent="0.2">
      <c r="A502" s="1" t="s">
        <v>87</v>
      </c>
      <c r="B502" t="s">
        <v>26</v>
      </c>
      <c r="C502" t="s">
        <v>50</v>
      </c>
      <c r="D502">
        <v>46969</v>
      </c>
      <c r="E502" s="2">
        <v>683932.9</v>
      </c>
    </row>
    <row r="503" spans="1:5" ht="15" x14ac:dyDescent="0.2">
      <c r="A503" s="1" t="s">
        <v>102</v>
      </c>
      <c r="B503" t="s">
        <v>36</v>
      </c>
      <c r="C503" t="s">
        <v>50</v>
      </c>
      <c r="D503">
        <v>46969</v>
      </c>
      <c r="E503" s="2">
        <v>174903.76</v>
      </c>
    </row>
    <row r="504" spans="1:5" ht="15" x14ac:dyDescent="0.2">
      <c r="A504" s="1" t="s">
        <v>103</v>
      </c>
      <c r="B504" t="s">
        <v>37</v>
      </c>
      <c r="C504" t="s">
        <v>50</v>
      </c>
      <c r="D504">
        <v>46969</v>
      </c>
      <c r="E504" s="2">
        <v>1714734.41</v>
      </c>
    </row>
    <row r="505" spans="1:5" ht="15" x14ac:dyDescent="0.2">
      <c r="A505" s="1" t="s">
        <v>73</v>
      </c>
      <c r="B505" t="s">
        <v>17</v>
      </c>
      <c r="C505" t="s">
        <v>50</v>
      </c>
      <c r="D505">
        <v>46969</v>
      </c>
      <c r="E505" s="2">
        <v>311988.90000000002</v>
      </c>
    </row>
    <row r="506" spans="1:5" ht="15" x14ac:dyDescent="0.2">
      <c r="A506" s="1" t="s">
        <v>75</v>
      </c>
      <c r="B506" t="s">
        <v>19</v>
      </c>
      <c r="C506" t="s">
        <v>50</v>
      </c>
      <c r="D506">
        <v>46969</v>
      </c>
      <c r="E506" s="2">
        <v>1909438.5</v>
      </c>
    </row>
    <row r="507" spans="1:5" ht="15" x14ac:dyDescent="0.2">
      <c r="A507" s="1" t="s">
        <v>66</v>
      </c>
      <c r="B507" t="s">
        <v>47</v>
      </c>
      <c r="C507" t="s">
        <v>50</v>
      </c>
      <c r="D507">
        <v>51457</v>
      </c>
      <c r="E507" s="2">
        <v>1.1200000000000001</v>
      </c>
    </row>
    <row r="508" spans="1:5" ht="15" x14ac:dyDescent="0.2">
      <c r="A508" s="1" t="s">
        <v>90</v>
      </c>
      <c r="B508" t="s">
        <v>29</v>
      </c>
      <c r="C508" t="s">
        <v>50</v>
      </c>
      <c r="D508">
        <v>51457</v>
      </c>
      <c r="E508" s="2">
        <v>2157261.83</v>
      </c>
    </row>
    <row r="509" spans="1:5" ht="15" x14ac:dyDescent="0.2">
      <c r="A509" s="1" t="s">
        <v>92</v>
      </c>
      <c r="B509" t="s">
        <v>31</v>
      </c>
      <c r="C509" t="s">
        <v>50</v>
      </c>
      <c r="D509">
        <v>51457</v>
      </c>
      <c r="E509" s="2">
        <v>1572747.88</v>
      </c>
    </row>
    <row r="510" spans="1:5" ht="15" x14ac:dyDescent="0.2">
      <c r="A510" s="1" t="s">
        <v>93</v>
      </c>
      <c r="B510" t="s">
        <v>32</v>
      </c>
      <c r="C510" t="s">
        <v>50</v>
      </c>
      <c r="D510">
        <v>51457</v>
      </c>
      <c r="E510" s="2">
        <v>7877034.9299999997</v>
      </c>
    </row>
    <row r="511" spans="1:5" ht="15" x14ac:dyDescent="0.2">
      <c r="A511" s="1" t="s">
        <v>94</v>
      </c>
      <c r="B511" t="s">
        <v>33</v>
      </c>
      <c r="C511" t="s">
        <v>50</v>
      </c>
      <c r="D511">
        <v>51457</v>
      </c>
      <c r="E511" s="2">
        <v>14946939.27</v>
      </c>
    </row>
    <row r="512" spans="1:5" ht="15" x14ac:dyDescent="0.2">
      <c r="A512" s="1" t="s">
        <v>64</v>
      </c>
      <c r="B512" t="s">
        <v>3</v>
      </c>
      <c r="C512" t="s">
        <v>50</v>
      </c>
      <c r="D512">
        <v>51457</v>
      </c>
      <c r="E512" s="2">
        <v>523650.29</v>
      </c>
    </row>
    <row r="513" spans="1:5" ht="15" x14ac:dyDescent="0.2">
      <c r="A513" s="1" t="s">
        <v>85</v>
      </c>
      <c r="B513" t="s">
        <v>24</v>
      </c>
      <c r="C513" t="s">
        <v>50</v>
      </c>
      <c r="D513">
        <v>51457</v>
      </c>
      <c r="E513" s="2">
        <v>2253503.44</v>
      </c>
    </row>
    <row r="514" spans="1:5" ht="15" x14ac:dyDescent="0.2">
      <c r="A514" s="1" t="s">
        <v>95</v>
      </c>
      <c r="B514" t="s">
        <v>38</v>
      </c>
      <c r="C514" t="s">
        <v>50</v>
      </c>
      <c r="D514">
        <v>51457</v>
      </c>
      <c r="E514" s="2">
        <v>50368086.109999999</v>
      </c>
    </row>
    <row r="515" spans="1:5" ht="15" x14ac:dyDescent="0.2">
      <c r="A515" s="1" t="s">
        <v>98</v>
      </c>
      <c r="B515" t="s">
        <v>34</v>
      </c>
      <c r="C515" t="s">
        <v>50</v>
      </c>
      <c r="D515">
        <v>51457</v>
      </c>
      <c r="E515" s="2">
        <v>8585837.2200000007</v>
      </c>
    </row>
    <row r="516" spans="1:5" ht="15" x14ac:dyDescent="0.2">
      <c r="A516" s="1" t="s">
        <v>77</v>
      </c>
      <c r="B516" t="s">
        <v>18</v>
      </c>
      <c r="C516" t="s">
        <v>50</v>
      </c>
      <c r="D516">
        <v>51457</v>
      </c>
      <c r="E516" s="2">
        <v>780925.37</v>
      </c>
    </row>
    <row r="517" spans="1:5" ht="15" x14ac:dyDescent="0.2">
      <c r="A517" s="1" t="s">
        <v>81</v>
      </c>
      <c r="B517" t="s">
        <v>14</v>
      </c>
      <c r="C517" t="s">
        <v>50</v>
      </c>
      <c r="D517">
        <v>51457</v>
      </c>
      <c r="E517" s="2">
        <v>1295623.49</v>
      </c>
    </row>
    <row r="518" spans="1:5" ht="15" x14ac:dyDescent="0.2">
      <c r="A518" s="1" t="s">
        <v>78</v>
      </c>
      <c r="B518" t="s">
        <v>20</v>
      </c>
      <c r="C518" t="s">
        <v>50</v>
      </c>
      <c r="D518">
        <v>51457</v>
      </c>
      <c r="E518" s="2">
        <v>7043.1</v>
      </c>
    </row>
    <row r="519" spans="1:5" ht="15" x14ac:dyDescent="0.2">
      <c r="A519" s="1" t="s">
        <v>87</v>
      </c>
      <c r="B519" t="s">
        <v>26</v>
      </c>
      <c r="C519" t="s">
        <v>50</v>
      </c>
      <c r="D519">
        <v>51457</v>
      </c>
      <c r="E519" s="2">
        <v>319492.90999999997</v>
      </c>
    </row>
    <row r="520" spans="1:5" ht="15" x14ac:dyDescent="0.2">
      <c r="A520" s="1" t="s">
        <v>102</v>
      </c>
      <c r="B520" t="s">
        <v>36</v>
      </c>
      <c r="C520" t="s">
        <v>50</v>
      </c>
      <c r="D520">
        <v>51457</v>
      </c>
      <c r="E520" s="2">
        <v>327.92</v>
      </c>
    </row>
    <row r="521" spans="1:5" ht="15" x14ac:dyDescent="0.2">
      <c r="A521" s="1" t="s">
        <v>103</v>
      </c>
      <c r="B521" t="s">
        <v>37</v>
      </c>
      <c r="C521" t="s">
        <v>50</v>
      </c>
      <c r="D521">
        <v>51457</v>
      </c>
      <c r="E521" s="2">
        <v>1217.3</v>
      </c>
    </row>
    <row r="522" spans="1:5" ht="15" x14ac:dyDescent="0.2">
      <c r="A522" s="1" t="s">
        <v>73</v>
      </c>
      <c r="B522" t="s">
        <v>17</v>
      </c>
      <c r="C522" t="s">
        <v>50</v>
      </c>
      <c r="D522">
        <v>51457</v>
      </c>
      <c r="E522" s="2">
        <v>525021.42000000004</v>
      </c>
    </row>
    <row r="523" spans="1:5" ht="15" x14ac:dyDescent="0.2">
      <c r="A523" s="1" t="s">
        <v>104</v>
      </c>
      <c r="B523" t="s">
        <v>40</v>
      </c>
      <c r="C523" t="s">
        <v>50</v>
      </c>
      <c r="D523">
        <v>51457</v>
      </c>
      <c r="E523" s="2">
        <v>4547109.88</v>
      </c>
    </row>
    <row r="524" spans="1:5" ht="15" x14ac:dyDescent="0.2">
      <c r="A524" s="1" t="s">
        <v>82</v>
      </c>
      <c r="B524" t="s">
        <v>15</v>
      </c>
      <c r="C524" t="s">
        <v>50</v>
      </c>
      <c r="D524">
        <v>51457</v>
      </c>
      <c r="E524" s="2">
        <v>1337947</v>
      </c>
    </row>
    <row r="525" spans="1:5" ht="15" x14ac:dyDescent="0.2">
      <c r="A525" s="1" t="s">
        <v>66</v>
      </c>
      <c r="B525" t="s">
        <v>47</v>
      </c>
      <c r="C525" t="s">
        <v>50</v>
      </c>
      <c r="D525">
        <v>53789</v>
      </c>
      <c r="E525" s="2">
        <v>333798.84999999998</v>
      </c>
    </row>
    <row r="526" spans="1:5" ht="15" x14ac:dyDescent="0.2">
      <c r="A526" s="1" t="s">
        <v>91</v>
      </c>
      <c r="B526" t="s">
        <v>30</v>
      </c>
      <c r="C526" t="s">
        <v>50</v>
      </c>
      <c r="D526">
        <v>53789</v>
      </c>
      <c r="E526" s="2">
        <v>11786592.4</v>
      </c>
    </row>
    <row r="527" spans="1:5" ht="15" x14ac:dyDescent="0.2">
      <c r="A527" s="1" t="s">
        <v>93</v>
      </c>
      <c r="B527" t="s">
        <v>32</v>
      </c>
      <c r="C527" t="s">
        <v>50</v>
      </c>
      <c r="D527">
        <v>53789</v>
      </c>
      <c r="E527" s="2">
        <v>5061983.7</v>
      </c>
    </row>
    <row r="528" spans="1:5" ht="15" x14ac:dyDescent="0.2">
      <c r="A528" s="1" t="s">
        <v>85</v>
      </c>
      <c r="B528" t="s">
        <v>24</v>
      </c>
      <c r="C528" t="s">
        <v>50</v>
      </c>
      <c r="D528">
        <v>53789</v>
      </c>
      <c r="E528" s="2">
        <v>1870949.94</v>
      </c>
    </row>
    <row r="529" spans="1:5" ht="15" x14ac:dyDescent="0.2">
      <c r="A529" s="1" t="s">
        <v>99</v>
      </c>
      <c r="B529" t="s">
        <v>35</v>
      </c>
      <c r="C529" t="s">
        <v>50</v>
      </c>
      <c r="D529">
        <v>53789</v>
      </c>
      <c r="E529" s="2">
        <v>2825.68</v>
      </c>
    </row>
    <row r="530" spans="1:5" ht="15" x14ac:dyDescent="0.2">
      <c r="A530" s="1" t="s">
        <v>88</v>
      </c>
      <c r="B530" t="s">
        <v>27</v>
      </c>
      <c r="C530" t="s">
        <v>50</v>
      </c>
      <c r="D530">
        <v>53789</v>
      </c>
      <c r="E530" s="2">
        <v>1820335.32</v>
      </c>
    </row>
    <row r="531" spans="1:5" ht="15" x14ac:dyDescent="0.2">
      <c r="A531" s="1" t="s">
        <v>73</v>
      </c>
      <c r="B531" t="s">
        <v>17</v>
      </c>
      <c r="C531" t="s">
        <v>50</v>
      </c>
      <c r="D531">
        <v>53789</v>
      </c>
      <c r="E531" s="2">
        <v>0.53</v>
      </c>
    </row>
    <row r="532" spans="1:5" ht="15" x14ac:dyDescent="0.2">
      <c r="A532" s="1" t="s">
        <v>105</v>
      </c>
      <c r="B532" t="s">
        <v>41</v>
      </c>
      <c r="C532" t="s">
        <v>50</v>
      </c>
      <c r="D532">
        <v>53789</v>
      </c>
      <c r="E532" s="2">
        <v>1219211.6299999999</v>
      </c>
    </row>
    <row r="533" spans="1:5" ht="15" x14ac:dyDescent="0.2">
      <c r="A533" s="1" t="s">
        <v>69</v>
      </c>
      <c r="B533" t="s">
        <v>7</v>
      </c>
      <c r="C533" t="s">
        <v>50</v>
      </c>
      <c r="D533">
        <v>53789</v>
      </c>
      <c r="E533" s="2">
        <v>6951412.5800000001</v>
      </c>
    </row>
    <row r="534" spans="1:5" ht="15" x14ac:dyDescent="0.2">
      <c r="A534" s="1" t="s">
        <v>71</v>
      </c>
      <c r="B534" t="s">
        <v>9</v>
      </c>
      <c r="C534" t="s">
        <v>50</v>
      </c>
      <c r="D534">
        <v>53789</v>
      </c>
      <c r="E534" s="2">
        <v>4198176.71</v>
      </c>
    </row>
    <row r="535" spans="1:5" ht="15" x14ac:dyDescent="0.2">
      <c r="A535" s="1" t="s">
        <v>82</v>
      </c>
      <c r="B535" t="s">
        <v>15</v>
      </c>
      <c r="C535" t="s">
        <v>50</v>
      </c>
      <c r="D535">
        <v>53789</v>
      </c>
      <c r="E535" s="2">
        <v>1.1399999999999999</v>
      </c>
    </row>
    <row r="536" spans="1:5" ht="15" x14ac:dyDescent="0.2">
      <c r="A536" s="1" t="s">
        <v>89</v>
      </c>
      <c r="B536" t="s">
        <v>28</v>
      </c>
      <c r="C536" t="s">
        <v>50</v>
      </c>
      <c r="D536">
        <v>63220</v>
      </c>
      <c r="E536" s="2">
        <v>668738.14</v>
      </c>
    </row>
    <row r="537" spans="1:5" ht="15" x14ac:dyDescent="0.2">
      <c r="A537" s="1" t="s">
        <v>92</v>
      </c>
      <c r="B537" t="s">
        <v>31</v>
      </c>
      <c r="C537" t="s">
        <v>50</v>
      </c>
      <c r="D537">
        <v>63220</v>
      </c>
      <c r="E537" s="2">
        <v>3818324.22</v>
      </c>
    </row>
    <row r="538" spans="1:5" ht="15" x14ac:dyDescent="0.2">
      <c r="A538" s="1" t="s">
        <v>64</v>
      </c>
      <c r="B538" t="s">
        <v>3</v>
      </c>
      <c r="C538" t="s">
        <v>50</v>
      </c>
      <c r="D538">
        <v>63220</v>
      </c>
      <c r="E538" s="2">
        <v>2556.8000000000002</v>
      </c>
    </row>
    <row r="539" spans="1:5" ht="15" x14ac:dyDescent="0.2">
      <c r="A539" s="1" t="s">
        <v>85</v>
      </c>
      <c r="B539" t="s">
        <v>24</v>
      </c>
      <c r="C539" t="s">
        <v>50</v>
      </c>
      <c r="D539">
        <v>63220</v>
      </c>
      <c r="E539" s="2">
        <v>1943601.88</v>
      </c>
    </row>
    <row r="540" spans="1:5" ht="15" x14ac:dyDescent="0.2">
      <c r="A540" s="1" t="s">
        <v>84</v>
      </c>
      <c r="B540" t="s">
        <v>16</v>
      </c>
      <c r="C540" t="s">
        <v>50</v>
      </c>
      <c r="D540">
        <v>63220</v>
      </c>
      <c r="E540" s="2">
        <v>1570208.16</v>
      </c>
    </row>
    <row r="541" spans="1:5" ht="15" x14ac:dyDescent="0.2">
      <c r="A541" s="1" t="s">
        <v>95</v>
      </c>
      <c r="B541" t="s">
        <v>38</v>
      </c>
      <c r="C541" t="s">
        <v>50</v>
      </c>
      <c r="D541">
        <v>63220</v>
      </c>
      <c r="E541" s="2">
        <v>23522571.489999998</v>
      </c>
    </row>
    <row r="542" spans="1:5" ht="15" x14ac:dyDescent="0.2">
      <c r="A542" s="1" t="s">
        <v>72</v>
      </c>
      <c r="B542" t="s">
        <v>10</v>
      </c>
      <c r="C542" t="s">
        <v>50</v>
      </c>
      <c r="D542">
        <v>63220</v>
      </c>
      <c r="E542" s="2">
        <v>2256187.14</v>
      </c>
    </row>
    <row r="543" spans="1:5" ht="15" x14ac:dyDescent="0.2">
      <c r="A543" s="1" t="s">
        <v>97</v>
      </c>
      <c r="B543" t="s">
        <v>42</v>
      </c>
      <c r="C543" t="s">
        <v>50</v>
      </c>
      <c r="D543">
        <v>63220</v>
      </c>
      <c r="E543" s="2">
        <v>437428.4</v>
      </c>
    </row>
    <row r="544" spans="1:5" ht="15" x14ac:dyDescent="0.2">
      <c r="A544" s="1" t="s">
        <v>98</v>
      </c>
      <c r="B544" t="s">
        <v>34</v>
      </c>
      <c r="C544" t="s">
        <v>50</v>
      </c>
      <c r="D544">
        <v>63220</v>
      </c>
      <c r="E544" s="2">
        <v>4389612.8899999997</v>
      </c>
    </row>
    <row r="545" spans="1:5" ht="15" x14ac:dyDescent="0.2">
      <c r="A545" s="1" t="s">
        <v>77</v>
      </c>
      <c r="B545" t="s">
        <v>18</v>
      </c>
      <c r="C545" t="s">
        <v>50</v>
      </c>
      <c r="D545">
        <v>63220</v>
      </c>
      <c r="E545" s="2">
        <v>554430.38</v>
      </c>
    </row>
    <row r="546" spans="1:5" ht="15" x14ac:dyDescent="0.2">
      <c r="A546" s="1" t="s">
        <v>102</v>
      </c>
      <c r="B546" t="s">
        <v>36</v>
      </c>
      <c r="C546" t="s">
        <v>50</v>
      </c>
      <c r="D546">
        <v>63220</v>
      </c>
      <c r="E546" s="2">
        <v>480127.99</v>
      </c>
    </row>
    <row r="547" spans="1:5" ht="15" x14ac:dyDescent="0.2">
      <c r="A547" s="1" t="s">
        <v>103</v>
      </c>
      <c r="B547" t="s">
        <v>37</v>
      </c>
      <c r="C547" t="s">
        <v>50</v>
      </c>
      <c r="D547">
        <v>63220</v>
      </c>
      <c r="E547" s="2">
        <v>1077.69</v>
      </c>
    </row>
    <row r="548" spans="1:5" ht="15" x14ac:dyDescent="0.2">
      <c r="A548" s="1" t="s">
        <v>101</v>
      </c>
      <c r="B548" t="s">
        <v>39</v>
      </c>
      <c r="C548" t="s">
        <v>50</v>
      </c>
      <c r="D548">
        <v>63220</v>
      </c>
      <c r="E548" s="2">
        <v>1554315.92</v>
      </c>
    </row>
    <row r="549" spans="1:5" ht="15" x14ac:dyDescent="0.2">
      <c r="A549" s="1" t="s">
        <v>104</v>
      </c>
      <c r="B549" t="s">
        <v>40</v>
      </c>
      <c r="C549" t="s">
        <v>50</v>
      </c>
      <c r="D549">
        <v>63220</v>
      </c>
      <c r="E549" s="2">
        <v>354.55</v>
      </c>
    </row>
    <row r="550" spans="1:5" ht="15" x14ac:dyDescent="0.2">
      <c r="A550" s="1" t="s">
        <v>71</v>
      </c>
      <c r="B550" t="s">
        <v>9</v>
      </c>
      <c r="C550" t="s">
        <v>50</v>
      </c>
      <c r="D550">
        <v>63220</v>
      </c>
      <c r="E550" s="2">
        <v>2491920.75</v>
      </c>
    </row>
    <row r="551" spans="1:5" ht="15" x14ac:dyDescent="0.2">
      <c r="A551" s="1" t="s">
        <v>86</v>
      </c>
      <c r="B551" t="s">
        <v>25</v>
      </c>
      <c r="C551" t="s">
        <v>50</v>
      </c>
      <c r="D551">
        <v>72919</v>
      </c>
      <c r="E551" s="2">
        <v>3669878.58</v>
      </c>
    </row>
    <row r="552" spans="1:5" ht="15" x14ac:dyDescent="0.2">
      <c r="A552" s="1" t="s">
        <v>79</v>
      </c>
      <c r="B552" t="s">
        <v>21</v>
      </c>
      <c r="C552" t="s">
        <v>50</v>
      </c>
      <c r="D552">
        <v>72919</v>
      </c>
      <c r="E552" s="2">
        <v>3405699.14</v>
      </c>
    </row>
    <row r="553" spans="1:5" ht="15" x14ac:dyDescent="0.2">
      <c r="A553" s="1" t="s">
        <v>89</v>
      </c>
      <c r="B553" t="s">
        <v>28</v>
      </c>
      <c r="C553" t="s">
        <v>50</v>
      </c>
      <c r="D553">
        <v>72919</v>
      </c>
      <c r="E553" s="2">
        <v>7061.15</v>
      </c>
    </row>
    <row r="554" spans="1:5" ht="15" x14ac:dyDescent="0.2">
      <c r="A554" s="1" t="s">
        <v>90</v>
      </c>
      <c r="B554" t="s">
        <v>29</v>
      </c>
      <c r="C554" t="s">
        <v>50</v>
      </c>
      <c r="D554">
        <v>72919</v>
      </c>
      <c r="E554" s="2">
        <v>1075083.98</v>
      </c>
    </row>
    <row r="555" spans="1:5" ht="15" x14ac:dyDescent="0.2">
      <c r="A555" s="1" t="s">
        <v>91</v>
      </c>
      <c r="B555" t="s">
        <v>30</v>
      </c>
      <c r="C555" t="s">
        <v>50</v>
      </c>
      <c r="D555">
        <v>72919</v>
      </c>
      <c r="E555" s="2">
        <v>14164989.58</v>
      </c>
    </row>
    <row r="556" spans="1:5" ht="15" x14ac:dyDescent="0.2">
      <c r="A556" s="1" t="s">
        <v>92</v>
      </c>
      <c r="B556" t="s">
        <v>31</v>
      </c>
      <c r="C556" t="s">
        <v>50</v>
      </c>
      <c r="D556">
        <v>72919</v>
      </c>
      <c r="E556" s="2">
        <v>5053227.0199999996</v>
      </c>
    </row>
    <row r="557" spans="1:5" ht="15" x14ac:dyDescent="0.2">
      <c r="A557" s="1" t="s">
        <v>85</v>
      </c>
      <c r="B557" t="s">
        <v>24</v>
      </c>
      <c r="C557" t="s">
        <v>50</v>
      </c>
      <c r="D557">
        <v>72919</v>
      </c>
      <c r="E557" s="2">
        <v>2792345.66</v>
      </c>
    </row>
    <row r="558" spans="1:5" ht="15" x14ac:dyDescent="0.2">
      <c r="A558" s="1" t="s">
        <v>95</v>
      </c>
      <c r="B558" t="s">
        <v>38</v>
      </c>
      <c r="C558" t="s">
        <v>50</v>
      </c>
      <c r="D558">
        <v>72919</v>
      </c>
      <c r="E558" s="2">
        <v>42738508.840000004</v>
      </c>
    </row>
    <row r="559" spans="1:5" ht="15" x14ac:dyDescent="0.2">
      <c r="A559" s="1" t="s">
        <v>76</v>
      </c>
      <c r="B559" t="s">
        <v>13</v>
      </c>
      <c r="C559" t="s">
        <v>50</v>
      </c>
      <c r="D559">
        <v>72919</v>
      </c>
      <c r="E559" s="2">
        <v>372541.19</v>
      </c>
    </row>
    <row r="560" spans="1:5" ht="15" x14ac:dyDescent="0.2">
      <c r="A560" s="1" t="s">
        <v>97</v>
      </c>
      <c r="B560" t="s">
        <v>42</v>
      </c>
      <c r="C560" t="s">
        <v>50</v>
      </c>
      <c r="D560">
        <v>72919</v>
      </c>
      <c r="E560" s="2">
        <v>12713.77</v>
      </c>
    </row>
    <row r="561" spans="1:5" ht="15" x14ac:dyDescent="0.2">
      <c r="A561" s="1" t="s">
        <v>99</v>
      </c>
      <c r="B561" t="s">
        <v>35</v>
      </c>
      <c r="C561" t="s">
        <v>50</v>
      </c>
      <c r="D561">
        <v>72919</v>
      </c>
      <c r="E561" s="2">
        <v>3266454.01</v>
      </c>
    </row>
    <row r="562" spans="1:5" ht="15" x14ac:dyDescent="0.2">
      <c r="A562" s="1" t="s">
        <v>88</v>
      </c>
      <c r="B562" t="s">
        <v>27</v>
      </c>
      <c r="C562" t="s">
        <v>50</v>
      </c>
      <c r="D562">
        <v>72919</v>
      </c>
      <c r="E562" s="2">
        <v>2802471.22</v>
      </c>
    </row>
    <row r="563" spans="1:5" ht="15" x14ac:dyDescent="0.2">
      <c r="A563" s="1" t="s">
        <v>102</v>
      </c>
      <c r="B563" t="s">
        <v>36</v>
      </c>
      <c r="C563" t="s">
        <v>50</v>
      </c>
      <c r="D563">
        <v>72919</v>
      </c>
      <c r="E563" s="2">
        <v>1613502.74</v>
      </c>
    </row>
    <row r="564" spans="1:5" ht="15" x14ac:dyDescent="0.2">
      <c r="A564" s="1" t="s">
        <v>101</v>
      </c>
      <c r="B564" t="s">
        <v>39</v>
      </c>
      <c r="C564" t="s">
        <v>50</v>
      </c>
      <c r="D564">
        <v>72919</v>
      </c>
      <c r="E564" s="2">
        <v>1955671.88</v>
      </c>
    </row>
    <row r="565" spans="1:5" ht="15" x14ac:dyDescent="0.2">
      <c r="A565" s="1" t="s">
        <v>82</v>
      </c>
      <c r="B565" t="s">
        <v>15</v>
      </c>
      <c r="C565" t="s">
        <v>50</v>
      </c>
      <c r="D565">
        <v>72919</v>
      </c>
      <c r="E565" s="2">
        <v>602179.85</v>
      </c>
    </row>
    <row r="566" spans="1:5" ht="15" x14ac:dyDescent="0.2">
      <c r="A566" s="1" t="s">
        <v>67</v>
      </c>
      <c r="B566" t="s">
        <v>5</v>
      </c>
      <c r="C566" t="s">
        <v>50</v>
      </c>
      <c r="D566">
        <v>73889</v>
      </c>
      <c r="E566" s="2">
        <v>-397285.44</v>
      </c>
    </row>
    <row r="567" spans="1:5" ht="15" x14ac:dyDescent="0.2">
      <c r="A567" s="1" t="s">
        <v>91</v>
      </c>
      <c r="B567" t="s">
        <v>30</v>
      </c>
      <c r="C567" t="s">
        <v>50</v>
      </c>
      <c r="D567">
        <v>73889</v>
      </c>
      <c r="E567" s="2">
        <v>10326043.640000001</v>
      </c>
    </row>
    <row r="568" spans="1:5" ht="15" x14ac:dyDescent="0.2">
      <c r="A568" s="1" t="s">
        <v>85</v>
      </c>
      <c r="B568" t="s">
        <v>24</v>
      </c>
      <c r="C568" t="s">
        <v>50</v>
      </c>
      <c r="D568">
        <v>73889</v>
      </c>
      <c r="E568" s="2">
        <v>3273813.42</v>
      </c>
    </row>
    <row r="569" spans="1:5" ht="15" x14ac:dyDescent="0.2">
      <c r="A569" s="1" t="s">
        <v>84</v>
      </c>
      <c r="B569" t="s">
        <v>16</v>
      </c>
      <c r="C569" t="s">
        <v>50</v>
      </c>
      <c r="D569">
        <v>73889</v>
      </c>
      <c r="E569" s="2">
        <v>4563767.58</v>
      </c>
    </row>
    <row r="570" spans="1:5" ht="15" x14ac:dyDescent="0.2">
      <c r="A570" s="1" t="s">
        <v>80</v>
      </c>
      <c r="B570" t="s">
        <v>22</v>
      </c>
      <c r="C570" t="s">
        <v>50</v>
      </c>
      <c r="D570">
        <v>73889</v>
      </c>
      <c r="E570" s="2">
        <v>1233080.94</v>
      </c>
    </row>
    <row r="571" spans="1:5" ht="15" x14ac:dyDescent="0.2">
      <c r="A571" s="1" t="s">
        <v>98</v>
      </c>
      <c r="B571" t="s">
        <v>34</v>
      </c>
      <c r="C571" t="s">
        <v>50</v>
      </c>
      <c r="D571">
        <v>73889</v>
      </c>
      <c r="E571" s="2">
        <v>3835791.89</v>
      </c>
    </row>
    <row r="572" spans="1:5" ht="15" x14ac:dyDescent="0.2">
      <c r="A572" s="1" t="s">
        <v>81</v>
      </c>
      <c r="B572" t="s">
        <v>14</v>
      </c>
      <c r="C572" t="s">
        <v>50</v>
      </c>
      <c r="D572">
        <v>73889</v>
      </c>
      <c r="E572" s="2">
        <v>974369.08</v>
      </c>
    </row>
    <row r="573" spans="1:5" ht="15" x14ac:dyDescent="0.2">
      <c r="A573" s="1" t="s">
        <v>78</v>
      </c>
      <c r="B573" t="s">
        <v>20</v>
      </c>
      <c r="C573" t="s">
        <v>50</v>
      </c>
      <c r="D573">
        <v>73889</v>
      </c>
      <c r="E573" s="2">
        <v>97808.27</v>
      </c>
    </row>
    <row r="574" spans="1:5" ht="15" x14ac:dyDescent="0.2">
      <c r="A574" s="1" t="s">
        <v>87</v>
      </c>
      <c r="B574" t="s">
        <v>26</v>
      </c>
      <c r="C574" t="s">
        <v>50</v>
      </c>
      <c r="D574">
        <v>73889</v>
      </c>
      <c r="E574" s="2">
        <v>594827.53</v>
      </c>
    </row>
    <row r="575" spans="1:5" ht="15" x14ac:dyDescent="0.2">
      <c r="A575" s="1" t="s">
        <v>73</v>
      </c>
      <c r="B575" t="s">
        <v>17</v>
      </c>
      <c r="C575" t="s">
        <v>50</v>
      </c>
      <c r="D575">
        <v>73889</v>
      </c>
      <c r="E575" s="2">
        <v>1090048.1200000001</v>
      </c>
    </row>
    <row r="576" spans="1:5" ht="15" x14ac:dyDescent="0.2">
      <c r="A576" s="1" t="s">
        <v>75</v>
      </c>
      <c r="B576" t="s">
        <v>19</v>
      </c>
      <c r="C576" t="s">
        <v>50</v>
      </c>
      <c r="D576">
        <v>73889</v>
      </c>
      <c r="E576" s="2">
        <v>7012.5</v>
      </c>
    </row>
    <row r="577" spans="1:5" ht="15" x14ac:dyDescent="0.2">
      <c r="A577" s="1" t="s">
        <v>105</v>
      </c>
      <c r="B577" t="s">
        <v>41</v>
      </c>
      <c r="C577" t="s">
        <v>50</v>
      </c>
      <c r="D577">
        <v>73889</v>
      </c>
      <c r="E577" s="2">
        <v>547.65</v>
      </c>
    </row>
    <row r="578" spans="1:5" ht="15" x14ac:dyDescent="0.2">
      <c r="A578" s="1" t="s">
        <v>67</v>
      </c>
      <c r="B578" t="s">
        <v>5</v>
      </c>
      <c r="C578" t="s">
        <v>50</v>
      </c>
      <c r="D578">
        <v>75250</v>
      </c>
      <c r="E578" s="2">
        <v>-635845.6</v>
      </c>
    </row>
    <row r="579" spans="1:5" ht="15" x14ac:dyDescent="0.2">
      <c r="A579" s="1" t="s">
        <v>90</v>
      </c>
      <c r="B579" t="s">
        <v>29</v>
      </c>
      <c r="C579" t="s">
        <v>50</v>
      </c>
      <c r="D579">
        <v>75250</v>
      </c>
      <c r="E579" s="2">
        <v>596.34</v>
      </c>
    </row>
    <row r="580" spans="1:5" ht="15" x14ac:dyDescent="0.2">
      <c r="A580" s="1" t="s">
        <v>91</v>
      </c>
      <c r="B580" t="s">
        <v>30</v>
      </c>
      <c r="C580" t="s">
        <v>50</v>
      </c>
      <c r="D580">
        <v>75250</v>
      </c>
      <c r="E580" s="2">
        <v>9186488.5099999998</v>
      </c>
    </row>
    <row r="581" spans="1:5" ht="15" x14ac:dyDescent="0.2">
      <c r="A581" s="1" t="s">
        <v>95</v>
      </c>
      <c r="B581" t="s">
        <v>38</v>
      </c>
      <c r="C581" t="s">
        <v>50</v>
      </c>
      <c r="D581">
        <v>75250</v>
      </c>
      <c r="E581" s="2">
        <v>42912664.409999996</v>
      </c>
    </row>
    <row r="582" spans="1:5" ht="15" x14ac:dyDescent="0.2">
      <c r="A582" s="1" t="s">
        <v>80</v>
      </c>
      <c r="B582" t="s">
        <v>22</v>
      </c>
      <c r="C582" t="s">
        <v>50</v>
      </c>
      <c r="D582">
        <v>75250</v>
      </c>
      <c r="E582" s="2">
        <v>2014093.54</v>
      </c>
    </row>
    <row r="583" spans="1:5" ht="15" x14ac:dyDescent="0.2">
      <c r="A583" s="1" t="s">
        <v>97</v>
      </c>
      <c r="B583" t="s">
        <v>42</v>
      </c>
      <c r="C583" t="s">
        <v>50</v>
      </c>
      <c r="D583">
        <v>75250</v>
      </c>
      <c r="E583" s="2">
        <v>1434076.46</v>
      </c>
    </row>
    <row r="584" spans="1:5" ht="15" x14ac:dyDescent="0.2">
      <c r="A584" s="1" t="s">
        <v>98</v>
      </c>
      <c r="B584" t="s">
        <v>34</v>
      </c>
      <c r="C584" t="s">
        <v>50</v>
      </c>
      <c r="D584">
        <v>75250</v>
      </c>
      <c r="E584" s="2">
        <v>4956099.49</v>
      </c>
    </row>
    <row r="585" spans="1:5" ht="15" x14ac:dyDescent="0.2">
      <c r="A585" s="1" t="s">
        <v>99</v>
      </c>
      <c r="B585" t="s">
        <v>35</v>
      </c>
      <c r="C585" t="s">
        <v>50</v>
      </c>
      <c r="D585">
        <v>75250</v>
      </c>
      <c r="E585" s="2">
        <v>1.1599999999999999</v>
      </c>
    </row>
    <row r="586" spans="1:5" ht="15" x14ac:dyDescent="0.2">
      <c r="A586" s="1" t="s">
        <v>103</v>
      </c>
      <c r="B586" t="s">
        <v>37</v>
      </c>
      <c r="C586" t="s">
        <v>50</v>
      </c>
      <c r="D586">
        <v>75250</v>
      </c>
      <c r="E586" s="2">
        <v>851156.44</v>
      </c>
    </row>
    <row r="587" spans="1:5" ht="15" x14ac:dyDescent="0.2">
      <c r="A587" s="1" t="s">
        <v>104</v>
      </c>
      <c r="B587" t="s">
        <v>40</v>
      </c>
      <c r="C587" t="s">
        <v>50</v>
      </c>
      <c r="D587">
        <v>75250</v>
      </c>
      <c r="E587" s="2">
        <v>7374136.5800000001</v>
      </c>
    </row>
    <row r="588" spans="1:5" ht="15" x14ac:dyDescent="0.2">
      <c r="A588" s="1" t="s">
        <v>105</v>
      </c>
      <c r="B588" t="s">
        <v>41</v>
      </c>
      <c r="C588" t="s">
        <v>50</v>
      </c>
      <c r="D588">
        <v>75250</v>
      </c>
      <c r="E588" s="2">
        <v>1551370.85</v>
      </c>
    </row>
    <row r="589" spans="1:5" ht="15" x14ac:dyDescent="0.2">
      <c r="A589" s="1" t="s">
        <v>71</v>
      </c>
      <c r="B589" t="s">
        <v>9</v>
      </c>
      <c r="C589" t="s">
        <v>50</v>
      </c>
      <c r="D589">
        <v>75250</v>
      </c>
      <c r="E589" s="2">
        <v>2226655.2200000002</v>
      </c>
    </row>
    <row r="590" spans="1:5" ht="15" x14ac:dyDescent="0.2">
      <c r="A590" s="1" t="s">
        <v>91</v>
      </c>
      <c r="B590" t="s">
        <v>30</v>
      </c>
      <c r="C590" t="s">
        <v>50</v>
      </c>
      <c r="D590">
        <v>75884</v>
      </c>
      <c r="E590" s="2">
        <v>9726001.5</v>
      </c>
    </row>
    <row r="591" spans="1:5" ht="15" x14ac:dyDescent="0.2">
      <c r="A591" s="1" t="s">
        <v>93</v>
      </c>
      <c r="B591" t="s">
        <v>32</v>
      </c>
      <c r="C591" t="s">
        <v>50</v>
      </c>
      <c r="D591">
        <v>75884</v>
      </c>
      <c r="E591" s="2">
        <v>4626908.99</v>
      </c>
    </row>
    <row r="592" spans="1:5" ht="15" x14ac:dyDescent="0.2">
      <c r="A592" s="1" t="s">
        <v>95</v>
      </c>
      <c r="B592" t="s">
        <v>38</v>
      </c>
      <c r="C592" t="s">
        <v>50</v>
      </c>
      <c r="D592">
        <v>75884</v>
      </c>
      <c r="E592" s="2">
        <v>14893047.27</v>
      </c>
    </row>
    <row r="593" spans="1:5" ht="15" x14ac:dyDescent="0.2">
      <c r="A593" s="1" t="s">
        <v>76</v>
      </c>
      <c r="B593" t="s">
        <v>13</v>
      </c>
      <c r="C593" t="s">
        <v>50</v>
      </c>
      <c r="D593">
        <v>75884</v>
      </c>
      <c r="E593" s="2">
        <v>716836.61</v>
      </c>
    </row>
    <row r="594" spans="1:5" ht="15" x14ac:dyDescent="0.2">
      <c r="A594" s="1" t="s">
        <v>80</v>
      </c>
      <c r="B594" t="s">
        <v>22</v>
      </c>
      <c r="C594" t="s">
        <v>50</v>
      </c>
      <c r="D594">
        <v>75884</v>
      </c>
      <c r="E594" s="2">
        <v>889.09</v>
      </c>
    </row>
    <row r="595" spans="1:5" ht="15" x14ac:dyDescent="0.2">
      <c r="A595" s="1" t="s">
        <v>72</v>
      </c>
      <c r="B595" t="s">
        <v>10</v>
      </c>
      <c r="C595" t="s">
        <v>50</v>
      </c>
      <c r="D595">
        <v>75884</v>
      </c>
      <c r="E595" s="2">
        <v>5166.75</v>
      </c>
    </row>
    <row r="596" spans="1:5" ht="15" x14ac:dyDescent="0.2">
      <c r="A596" s="1" t="s">
        <v>99</v>
      </c>
      <c r="B596" t="s">
        <v>35</v>
      </c>
      <c r="C596" t="s">
        <v>50</v>
      </c>
      <c r="D596">
        <v>75884</v>
      </c>
      <c r="E596" s="2">
        <v>1631660.89</v>
      </c>
    </row>
    <row r="597" spans="1:5" ht="15" x14ac:dyDescent="0.2">
      <c r="A597" s="1" t="s">
        <v>77</v>
      </c>
      <c r="B597" t="s">
        <v>18</v>
      </c>
      <c r="C597" t="s">
        <v>50</v>
      </c>
      <c r="D597">
        <v>75884</v>
      </c>
      <c r="E597" s="2">
        <v>2624886.58</v>
      </c>
    </row>
    <row r="598" spans="1:5" ht="15" x14ac:dyDescent="0.2">
      <c r="A598" s="1" t="s">
        <v>88</v>
      </c>
      <c r="B598" t="s">
        <v>27</v>
      </c>
      <c r="C598" t="s">
        <v>50</v>
      </c>
      <c r="D598">
        <v>75884</v>
      </c>
      <c r="E598" s="2">
        <v>1037771.12</v>
      </c>
    </row>
    <row r="599" spans="1:5" ht="15" x14ac:dyDescent="0.2">
      <c r="A599" s="1" t="s">
        <v>87</v>
      </c>
      <c r="B599" t="s">
        <v>26</v>
      </c>
      <c r="C599" t="s">
        <v>50</v>
      </c>
      <c r="D599">
        <v>75884</v>
      </c>
      <c r="E599" s="2">
        <v>628055.85</v>
      </c>
    </row>
    <row r="600" spans="1:5" ht="15" x14ac:dyDescent="0.2">
      <c r="A600" s="1" t="s">
        <v>102</v>
      </c>
      <c r="B600" t="s">
        <v>36</v>
      </c>
      <c r="C600" t="s">
        <v>50</v>
      </c>
      <c r="D600">
        <v>75884</v>
      </c>
      <c r="E600" s="2">
        <v>435226.57</v>
      </c>
    </row>
    <row r="601" spans="1:5" ht="15" x14ac:dyDescent="0.2">
      <c r="A601" s="1" t="s">
        <v>103</v>
      </c>
      <c r="B601" t="s">
        <v>37</v>
      </c>
      <c r="C601" t="s">
        <v>50</v>
      </c>
      <c r="D601">
        <v>75884</v>
      </c>
      <c r="E601" s="2">
        <v>731877.51</v>
      </c>
    </row>
    <row r="602" spans="1:5" ht="15" x14ac:dyDescent="0.2">
      <c r="A602" s="1" t="s">
        <v>73</v>
      </c>
      <c r="B602" t="s">
        <v>17</v>
      </c>
      <c r="C602" t="s">
        <v>50</v>
      </c>
      <c r="D602">
        <v>75884</v>
      </c>
      <c r="E602" s="2">
        <v>553952.24</v>
      </c>
    </row>
    <row r="603" spans="1:5" ht="15" x14ac:dyDescent="0.2">
      <c r="A603" s="1" t="s">
        <v>69</v>
      </c>
      <c r="B603" t="s">
        <v>7</v>
      </c>
      <c r="C603" t="s">
        <v>50</v>
      </c>
      <c r="D603">
        <v>75884</v>
      </c>
      <c r="E603" s="2">
        <v>3048649.4</v>
      </c>
    </row>
    <row r="604" spans="1:5" ht="15" x14ac:dyDescent="0.2">
      <c r="A604" s="1" t="s">
        <v>82</v>
      </c>
      <c r="B604" t="s">
        <v>15</v>
      </c>
      <c r="C604" t="s">
        <v>50</v>
      </c>
      <c r="D604">
        <v>75884</v>
      </c>
      <c r="E604" s="2">
        <v>1150443.24</v>
      </c>
    </row>
    <row r="605" spans="1:5" ht="15" x14ac:dyDescent="0.2">
      <c r="A605" s="1" t="s">
        <v>67</v>
      </c>
      <c r="B605" t="s">
        <v>5</v>
      </c>
      <c r="C605" t="s">
        <v>50</v>
      </c>
      <c r="D605">
        <v>77825</v>
      </c>
      <c r="E605" s="2">
        <v>-968974.75</v>
      </c>
    </row>
    <row r="606" spans="1:5" ht="15" x14ac:dyDescent="0.2">
      <c r="A606" s="1" t="s">
        <v>86</v>
      </c>
      <c r="B606" t="s">
        <v>25</v>
      </c>
      <c r="C606" t="s">
        <v>50</v>
      </c>
      <c r="D606">
        <v>77825</v>
      </c>
      <c r="E606" s="2">
        <v>1306394.23</v>
      </c>
    </row>
    <row r="607" spans="1:5" ht="15" x14ac:dyDescent="0.2">
      <c r="A607" s="1" t="s">
        <v>89</v>
      </c>
      <c r="B607" t="s">
        <v>28</v>
      </c>
      <c r="C607" t="s">
        <v>50</v>
      </c>
      <c r="D607">
        <v>77825</v>
      </c>
      <c r="E607" s="2">
        <v>5223.6899999999996</v>
      </c>
    </row>
    <row r="608" spans="1:5" ht="15" x14ac:dyDescent="0.2">
      <c r="A608" s="1" t="s">
        <v>92</v>
      </c>
      <c r="B608" t="s">
        <v>31</v>
      </c>
      <c r="C608" t="s">
        <v>50</v>
      </c>
      <c r="D608">
        <v>77825</v>
      </c>
      <c r="E608" s="2">
        <v>1649547.96</v>
      </c>
    </row>
    <row r="609" spans="1:5" ht="15" x14ac:dyDescent="0.2">
      <c r="A609" s="1" t="s">
        <v>95</v>
      </c>
      <c r="B609" t="s">
        <v>38</v>
      </c>
      <c r="C609" t="s">
        <v>50</v>
      </c>
      <c r="D609">
        <v>77825</v>
      </c>
      <c r="E609" s="2">
        <v>19759026.460000001</v>
      </c>
    </row>
    <row r="610" spans="1:5" ht="15" x14ac:dyDescent="0.2">
      <c r="A610" s="1" t="s">
        <v>97</v>
      </c>
      <c r="B610" t="s">
        <v>42</v>
      </c>
      <c r="C610" t="s">
        <v>50</v>
      </c>
      <c r="D610">
        <v>77825</v>
      </c>
      <c r="E610" s="2">
        <v>0.17</v>
      </c>
    </row>
    <row r="611" spans="1:5" ht="15" x14ac:dyDescent="0.2">
      <c r="A611" s="1" t="s">
        <v>98</v>
      </c>
      <c r="B611" t="s">
        <v>34</v>
      </c>
      <c r="C611" t="s">
        <v>50</v>
      </c>
      <c r="D611">
        <v>77825</v>
      </c>
      <c r="E611" s="2">
        <v>4988664.8600000003</v>
      </c>
    </row>
    <row r="612" spans="1:5" ht="15" x14ac:dyDescent="0.2">
      <c r="A612" s="1" t="s">
        <v>99</v>
      </c>
      <c r="B612" t="s">
        <v>35</v>
      </c>
      <c r="C612" t="s">
        <v>50</v>
      </c>
      <c r="D612">
        <v>77825</v>
      </c>
      <c r="E612" s="2">
        <v>1388269.55</v>
      </c>
    </row>
    <row r="613" spans="1:5" ht="15" x14ac:dyDescent="0.2">
      <c r="A613" s="1" t="s">
        <v>77</v>
      </c>
      <c r="B613" t="s">
        <v>18</v>
      </c>
      <c r="C613" t="s">
        <v>50</v>
      </c>
      <c r="D613">
        <v>77825</v>
      </c>
      <c r="E613" s="2">
        <v>6026629.1500000004</v>
      </c>
    </row>
    <row r="614" spans="1:5" ht="15" x14ac:dyDescent="0.2">
      <c r="A614" s="1" t="s">
        <v>81</v>
      </c>
      <c r="B614" t="s">
        <v>14</v>
      </c>
      <c r="C614" t="s">
        <v>50</v>
      </c>
      <c r="D614">
        <v>77825</v>
      </c>
      <c r="E614" s="2">
        <v>2011997.84</v>
      </c>
    </row>
    <row r="615" spans="1:5" ht="15" x14ac:dyDescent="0.2">
      <c r="A615" s="1" t="s">
        <v>78</v>
      </c>
      <c r="B615" t="s">
        <v>20</v>
      </c>
      <c r="C615" t="s">
        <v>50</v>
      </c>
      <c r="D615">
        <v>77825</v>
      </c>
      <c r="E615" s="2">
        <v>295890.25</v>
      </c>
    </row>
    <row r="616" spans="1:5" ht="15" x14ac:dyDescent="0.2">
      <c r="A616" s="1" t="s">
        <v>103</v>
      </c>
      <c r="B616" t="s">
        <v>37</v>
      </c>
      <c r="C616" t="s">
        <v>50</v>
      </c>
      <c r="D616">
        <v>77825</v>
      </c>
      <c r="E616" s="2">
        <v>1005519.17</v>
      </c>
    </row>
    <row r="617" spans="1:5" ht="15" x14ac:dyDescent="0.2">
      <c r="A617" s="1" t="s">
        <v>73</v>
      </c>
      <c r="B617" t="s">
        <v>17</v>
      </c>
      <c r="C617" t="s">
        <v>50</v>
      </c>
      <c r="D617">
        <v>77825</v>
      </c>
      <c r="E617" s="2">
        <v>220199.81</v>
      </c>
    </row>
    <row r="618" spans="1:5" ht="15" x14ac:dyDescent="0.2">
      <c r="A618" s="1" t="s">
        <v>67</v>
      </c>
      <c r="B618" t="s">
        <v>5</v>
      </c>
      <c r="C618" t="s">
        <v>50</v>
      </c>
      <c r="D618">
        <v>78221</v>
      </c>
      <c r="E618" s="2">
        <v>-492437.56</v>
      </c>
    </row>
    <row r="619" spans="1:5" ht="15" x14ac:dyDescent="0.2">
      <c r="A619" s="1" t="s">
        <v>86</v>
      </c>
      <c r="B619" t="s">
        <v>25</v>
      </c>
      <c r="C619" t="s">
        <v>50</v>
      </c>
      <c r="D619">
        <v>78221</v>
      </c>
      <c r="E619" s="2">
        <v>1536517.93</v>
      </c>
    </row>
    <row r="620" spans="1:5" ht="15" x14ac:dyDescent="0.2">
      <c r="A620" s="1" t="s">
        <v>93</v>
      </c>
      <c r="B620" t="s">
        <v>32</v>
      </c>
      <c r="C620" t="s">
        <v>50</v>
      </c>
      <c r="D620">
        <v>78221</v>
      </c>
      <c r="E620" s="2">
        <v>6375007.3200000003</v>
      </c>
    </row>
    <row r="621" spans="1:5" ht="15" x14ac:dyDescent="0.2">
      <c r="A621" s="1" t="s">
        <v>64</v>
      </c>
      <c r="B621" t="s">
        <v>3</v>
      </c>
      <c r="C621" t="s">
        <v>50</v>
      </c>
      <c r="D621">
        <v>78221</v>
      </c>
      <c r="E621" s="2">
        <v>8050400.7699999996</v>
      </c>
    </row>
    <row r="622" spans="1:5" ht="15" x14ac:dyDescent="0.2">
      <c r="A622" s="1" t="s">
        <v>85</v>
      </c>
      <c r="B622" t="s">
        <v>24</v>
      </c>
      <c r="C622" t="s">
        <v>50</v>
      </c>
      <c r="D622">
        <v>78221</v>
      </c>
      <c r="E622" s="2">
        <v>3337890.47</v>
      </c>
    </row>
    <row r="623" spans="1:5" ht="15" x14ac:dyDescent="0.2">
      <c r="A623" s="1" t="s">
        <v>84</v>
      </c>
      <c r="B623" t="s">
        <v>16</v>
      </c>
      <c r="C623" t="s">
        <v>50</v>
      </c>
      <c r="D623">
        <v>78221</v>
      </c>
      <c r="E623" s="2">
        <v>19934.759999999998</v>
      </c>
    </row>
    <row r="624" spans="1:5" ht="15" x14ac:dyDescent="0.2">
      <c r="A624" s="1" t="s">
        <v>80</v>
      </c>
      <c r="B624" t="s">
        <v>22</v>
      </c>
      <c r="C624" t="s">
        <v>50</v>
      </c>
      <c r="D624">
        <v>78221</v>
      </c>
      <c r="E624" s="2">
        <v>2143175.7200000002</v>
      </c>
    </row>
    <row r="625" spans="1:5" ht="15" x14ac:dyDescent="0.2">
      <c r="A625" s="1" t="s">
        <v>74</v>
      </c>
      <c r="B625" t="s">
        <v>11</v>
      </c>
      <c r="C625" t="s">
        <v>50</v>
      </c>
      <c r="D625">
        <v>78221</v>
      </c>
      <c r="E625" s="2">
        <v>514220.53</v>
      </c>
    </row>
    <row r="626" spans="1:5" ht="15" x14ac:dyDescent="0.2">
      <c r="A626" s="1" t="s">
        <v>77</v>
      </c>
      <c r="B626" t="s">
        <v>18</v>
      </c>
      <c r="C626" t="s">
        <v>50</v>
      </c>
      <c r="D626">
        <v>78221</v>
      </c>
      <c r="E626" s="2">
        <v>1506995.87</v>
      </c>
    </row>
    <row r="627" spans="1:5" ht="15" x14ac:dyDescent="0.2">
      <c r="A627" s="1" t="s">
        <v>81</v>
      </c>
      <c r="B627" t="s">
        <v>14</v>
      </c>
      <c r="C627" t="s">
        <v>50</v>
      </c>
      <c r="D627">
        <v>78221</v>
      </c>
      <c r="E627" s="2">
        <v>1274100.02</v>
      </c>
    </row>
    <row r="628" spans="1:5" ht="15" x14ac:dyDescent="0.2">
      <c r="A628" s="1" t="s">
        <v>87</v>
      </c>
      <c r="B628" t="s">
        <v>26</v>
      </c>
      <c r="C628" t="s">
        <v>50</v>
      </c>
      <c r="D628">
        <v>78221</v>
      </c>
      <c r="E628" s="2">
        <v>1198984.76</v>
      </c>
    </row>
    <row r="629" spans="1:5" ht="15" x14ac:dyDescent="0.2">
      <c r="A629" s="1" t="s">
        <v>103</v>
      </c>
      <c r="B629" t="s">
        <v>37</v>
      </c>
      <c r="C629" t="s">
        <v>50</v>
      </c>
      <c r="D629">
        <v>78221</v>
      </c>
      <c r="E629" s="2">
        <v>995885.49</v>
      </c>
    </row>
    <row r="630" spans="1:5" ht="15" x14ac:dyDescent="0.2">
      <c r="A630" s="1" t="s">
        <v>73</v>
      </c>
      <c r="B630" t="s">
        <v>17</v>
      </c>
      <c r="C630" t="s">
        <v>50</v>
      </c>
      <c r="D630">
        <v>78221</v>
      </c>
      <c r="E630" s="2">
        <v>268080.28999999998</v>
      </c>
    </row>
    <row r="631" spans="1:5" ht="15" x14ac:dyDescent="0.2">
      <c r="A631" s="1" t="s">
        <v>75</v>
      </c>
      <c r="B631" t="s">
        <v>19</v>
      </c>
      <c r="C631" t="s">
        <v>50</v>
      </c>
      <c r="D631">
        <v>78221</v>
      </c>
      <c r="E631" s="2">
        <v>3591764.06</v>
      </c>
    </row>
    <row r="632" spans="1:5" ht="15" x14ac:dyDescent="0.2">
      <c r="A632" s="1" t="s">
        <v>69</v>
      </c>
      <c r="B632" t="s">
        <v>7</v>
      </c>
      <c r="C632" t="s">
        <v>50</v>
      </c>
      <c r="D632">
        <v>78221</v>
      </c>
      <c r="E632" s="2">
        <v>902.71</v>
      </c>
    </row>
    <row r="633" spans="1:5" ht="15" x14ac:dyDescent="0.2">
      <c r="A633" s="1" t="s">
        <v>71</v>
      </c>
      <c r="B633" t="s">
        <v>9</v>
      </c>
      <c r="C633" t="s">
        <v>50</v>
      </c>
      <c r="D633">
        <v>78221</v>
      </c>
      <c r="E633" s="2">
        <v>1513968.35</v>
      </c>
    </row>
    <row r="634" spans="1:5" ht="15" x14ac:dyDescent="0.2">
      <c r="A634" s="1" t="s">
        <v>79</v>
      </c>
      <c r="B634" t="s">
        <v>21</v>
      </c>
      <c r="C634" t="s">
        <v>50</v>
      </c>
      <c r="D634">
        <v>79177</v>
      </c>
      <c r="E634" s="2">
        <v>1785606.55</v>
      </c>
    </row>
    <row r="635" spans="1:5" ht="15" x14ac:dyDescent="0.2">
      <c r="A635" s="1" t="s">
        <v>90</v>
      </c>
      <c r="B635" t="s">
        <v>29</v>
      </c>
      <c r="C635" t="s">
        <v>50</v>
      </c>
      <c r="D635">
        <v>79177</v>
      </c>
      <c r="E635" s="2">
        <v>4730814.21</v>
      </c>
    </row>
    <row r="636" spans="1:5" ht="15" x14ac:dyDescent="0.2">
      <c r="A636" s="1" t="s">
        <v>91</v>
      </c>
      <c r="B636" t="s">
        <v>30</v>
      </c>
      <c r="C636" t="s">
        <v>50</v>
      </c>
      <c r="D636">
        <v>79177</v>
      </c>
      <c r="E636" s="2">
        <v>4314334.2</v>
      </c>
    </row>
    <row r="637" spans="1:5" ht="15" x14ac:dyDescent="0.2">
      <c r="A637" s="1" t="s">
        <v>93</v>
      </c>
      <c r="B637" t="s">
        <v>32</v>
      </c>
      <c r="C637" t="s">
        <v>50</v>
      </c>
      <c r="D637">
        <v>79177</v>
      </c>
      <c r="E637" s="2">
        <v>9881685.7300000004</v>
      </c>
    </row>
    <row r="638" spans="1:5" ht="15" x14ac:dyDescent="0.2">
      <c r="A638" s="1" t="s">
        <v>94</v>
      </c>
      <c r="B638" t="s">
        <v>33</v>
      </c>
      <c r="C638" t="s">
        <v>50</v>
      </c>
      <c r="D638">
        <v>79177</v>
      </c>
      <c r="E638" s="2">
        <v>9463050.7899999991</v>
      </c>
    </row>
    <row r="639" spans="1:5" ht="15" x14ac:dyDescent="0.2">
      <c r="A639" s="1" t="s">
        <v>84</v>
      </c>
      <c r="B639" t="s">
        <v>16</v>
      </c>
      <c r="C639" t="s">
        <v>50</v>
      </c>
      <c r="D639">
        <v>79177</v>
      </c>
      <c r="E639" s="2">
        <v>2.0699999999999998</v>
      </c>
    </row>
    <row r="640" spans="1:5" ht="15" x14ac:dyDescent="0.2">
      <c r="A640" s="1" t="s">
        <v>95</v>
      </c>
      <c r="B640" t="s">
        <v>38</v>
      </c>
      <c r="C640" t="s">
        <v>50</v>
      </c>
      <c r="D640">
        <v>79177</v>
      </c>
      <c r="E640" s="2">
        <v>648.1</v>
      </c>
    </row>
    <row r="641" spans="1:5" ht="15" x14ac:dyDescent="0.2">
      <c r="A641" s="1" t="s">
        <v>80</v>
      </c>
      <c r="B641" t="s">
        <v>22</v>
      </c>
      <c r="C641" t="s">
        <v>50</v>
      </c>
      <c r="D641">
        <v>79177</v>
      </c>
      <c r="E641" s="2">
        <v>513.26</v>
      </c>
    </row>
    <row r="642" spans="1:5" ht="15" x14ac:dyDescent="0.2">
      <c r="A642" s="1" t="s">
        <v>72</v>
      </c>
      <c r="B642" t="s">
        <v>10</v>
      </c>
      <c r="C642" t="s">
        <v>50</v>
      </c>
      <c r="D642">
        <v>79177</v>
      </c>
      <c r="E642" s="2">
        <v>1573693.64</v>
      </c>
    </row>
    <row r="643" spans="1:5" ht="15" x14ac:dyDescent="0.2">
      <c r="A643" s="1" t="s">
        <v>96</v>
      </c>
      <c r="B643" t="s">
        <v>44</v>
      </c>
      <c r="C643" t="s">
        <v>50</v>
      </c>
      <c r="D643">
        <v>79177</v>
      </c>
      <c r="E643" s="2">
        <v>1088823.27</v>
      </c>
    </row>
    <row r="644" spans="1:5" ht="15" x14ac:dyDescent="0.2">
      <c r="A644" s="1" t="s">
        <v>87</v>
      </c>
      <c r="B644" t="s">
        <v>26</v>
      </c>
      <c r="C644" t="s">
        <v>50</v>
      </c>
      <c r="D644">
        <v>79177</v>
      </c>
      <c r="E644" s="2">
        <v>1398.69</v>
      </c>
    </row>
    <row r="645" spans="1:5" ht="15" x14ac:dyDescent="0.2">
      <c r="A645" s="1" t="s">
        <v>104</v>
      </c>
      <c r="B645" t="s">
        <v>40</v>
      </c>
      <c r="C645" t="s">
        <v>50</v>
      </c>
      <c r="D645">
        <v>79177</v>
      </c>
      <c r="E645" s="2">
        <v>1003.58</v>
      </c>
    </row>
    <row r="646" spans="1:5" ht="15" x14ac:dyDescent="0.2">
      <c r="A646" s="1" t="s">
        <v>71</v>
      </c>
      <c r="B646" t="s">
        <v>9</v>
      </c>
      <c r="C646" t="s">
        <v>50</v>
      </c>
      <c r="D646">
        <v>79177</v>
      </c>
      <c r="E646" s="2">
        <v>5702779.3499999996</v>
      </c>
    </row>
    <row r="647" spans="1:5" ht="15" x14ac:dyDescent="0.2">
      <c r="A647" s="1" t="s">
        <v>92</v>
      </c>
      <c r="B647" t="s">
        <v>31</v>
      </c>
      <c r="C647" t="s">
        <v>50</v>
      </c>
      <c r="D647">
        <v>82313</v>
      </c>
      <c r="E647" s="2">
        <v>3112789.5</v>
      </c>
    </row>
    <row r="648" spans="1:5" ht="15" x14ac:dyDescent="0.2">
      <c r="A648" s="1" t="s">
        <v>93</v>
      </c>
      <c r="B648" t="s">
        <v>32</v>
      </c>
      <c r="C648" t="s">
        <v>50</v>
      </c>
      <c r="D648">
        <v>82313</v>
      </c>
      <c r="E648" s="2">
        <v>7930510.4100000001</v>
      </c>
    </row>
    <row r="649" spans="1:5" ht="15" x14ac:dyDescent="0.2">
      <c r="A649" s="1" t="s">
        <v>64</v>
      </c>
      <c r="B649" t="s">
        <v>3</v>
      </c>
      <c r="C649" t="s">
        <v>50</v>
      </c>
      <c r="D649">
        <v>82313</v>
      </c>
      <c r="E649" s="2">
        <v>9320300.4499999993</v>
      </c>
    </row>
    <row r="650" spans="1:5" ht="15" x14ac:dyDescent="0.2">
      <c r="A650" s="1" t="s">
        <v>76</v>
      </c>
      <c r="B650" t="s">
        <v>13</v>
      </c>
      <c r="C650" t="s">
        <v>50</v>
      </c>
      <c r="D650">
        <v>82313</v>
      </c>
      <c r="E650" s="2">
        <v>1165239.1200000001</v>
      </c>
    </row>
    <row r="651" spans="1:5" ht="15" x14ac:dyDescent="0.2">
      <c r="A651" s="1" t="s">
        <v>98</v>
      </c>
      <c r="B651" t="s">
        <v>34</v>
      </c>
      <c r="C651" t="s">
        <v>50</v>
      </c>
      <c r="D651">
        <v>82313</v>
      </c>
      <c r="E651" s="2">
        <v>6220472.3300000001</v>
      </c>
    </row>
    <row r="652" spans="1:5" ht="15" x14ac:dyDescent="0.2">
      <c r="A652" s="1" t="s">
        <v>99</v>
      </c>
      <c r="B652" t="s">
        <v>35</v>
      </c>
      <c r="C652" t="s">
        <v>50</v>
      </c>
      <c r="D652">
        <v>82313</v>
      </c>
      <c r="E652" s="2">
        <v>3781177.86</v>
      </c>
    </row>
    <row r="653" spans="1:5" ht="15" x14ac:dyDescent="0.2">
      <c r="A653" s="1" t="s">
        <v>81</v>
      </c>
      <c r="B653" t="s">
        <v>14</v>
      </c>
      <c r="C653" t="s">
        <v>50</v>
      </c>
      <c r="D653">
        <v>82313</v>
      </c>
      <c r="E653" s="2">
        <v>1795182.38</v>
      </c>
    </row>
    <row r="654" spans="1:5" ht="15" x14ac:dyDescent="0.2">
      <c r="A654" s="1" t="s">
        <v>103</v>
      </c>
      <c r="B654" t="s">
        <v>37</v>
      </c>
      <c r="C654" t="s">
        <v>50</v>
      </c>
      <c r="D654">
        <v>82313</v>
      </c>
      <c r="E654" s="2">
        <v>490242.23</v>
      </c>
    </row>
    <row r="655" spans="1:5" ht="15" x14ac:dyDescent="0.2">
      <c r="A655" s="1" t="s">
        <v>104</v>
      </c>
      <c r="B655" t="s">
        <v>40</v>
      </c>
      <c r="C655" t="s">
        <v>50</v>
      </c>
      <c r="D655">
        <v>82313</v>
      </c>
      <c r="E655" s="2">
        <v>3648858.82</v>
      </c>
    </row>
    <row r="656" spans="1:5" ht="15" x14ac:dyDescent="0.2">
      <c r="A656" s="1" t="s">
        <v>105</v>
      </c>
      <c r="B656" t="s">
        <v>41</v>
      </c>
      <c r="C656" t="s">
        <v>50</v>
      </c>
      <c r="D656">
        <v>82313</v>
      </c>
      <c r="E656" s="2">
        <v>1002672.04</v>
      </c>
    </row>
    <row r="657" spans="1:5" ht="15" x14ac:dyDescent="0.2">
      <c r="A657" s="1" t="s">
        <v>69</v>
      </c>
      <c r="B657" t="s">
        <v>7</v>
      </c>
      <c r="C657" t="s">
        <v>50</v>
      </c>
      <c r="D657">
        <v>82313</v>
      </c>
      <c r="E657" s="2">
        <v>2003893.95</v>
      </c>
    </row>
    <row r="658" spans="1:5" ht="15" x14ac:dyDescent="0.2">
      <c r="A658" s="1" t="s">
        <v>82</v>
      </c>
      <c r="B658" t="s">
        <v>15</v>
      </c>
      <c r="C658" t="s">
        <v>50</v>
      </c>
      <c r="D658">
        <v>82313</v>
      </c>
      <c r="E658" s="2">
        <v>374658.81</v>
      </c>
    </row>
    <row r="659" spans="1:5" ht="15" x14ac:dyDescent="0.2">
      <c r="A659" s="1" t="s">
        <v>67</v>
      </c>
      <c r="B659" t="s">
        <v>5</v>
      </c>
      <c r="C659" t="s">
        <v>46</v>
      </c>
      <c r="D659">
        <v>17019</v>
      </c>
      <c r="E659" s="2">
        <v>-1817594.54</v>
      </c>
    </row>
    <row r="660" spans="1:5" ht="15" x14ac:dyDescent="0.2">
      <c r="A660" s="1" t="s">
        <v>92</v>
      </c>
      <c r="B660" t="s">
        <v>31</v>
      </c>
      <c r="C660" t="s">
        <v>46</v>
      </c>
      <c r="D660">
        <v>17019</v>
      </c>
      <c r="E660" s="2">
        <v>9671405.6699999999</v>
      </c>
    </row>
    <row r="661" spans="1:5" ht="15" x14ac:dyDescent="0.2">
      <c r="A661" s="1" t="s">
        <v>95</v>
      </c>
      <c r="B661" t="s">
        <v>38</v>
      </c>
      <c r="C661" t="s">
        <v>46</v>
      </c>
      <c r="D661">
        <v>17019</v>
      </c>
      <c r="E661" s="2">
        <v>227717784.72</v>
      </c>
    </row>
    <row r="662" spans="1:5" ht="15" x14ac:dyDescent="0.2">
      <c r="A662" s="1" t="s">
        <v>83</v>
      </c>
      <c r="B662" t="s">
        <v>23</v>
      </c>
      <c r="C662" t="s">
        <v>46</v>
      </c>
      <c r="D662">
        <v>17019</v>
      </c>
      <c r="E662" s="2">
        <v>2875228.66</v>
      </c>
    </row>
    <row r="663" spans="1:5" ht="15" x14ac:dyDescent="0.2">
      <c r="A663" s="1" t="s">
        <v>96</v>
      </c>
      <c r="B663" t="s">
        <v>44</v>
      </c>
      <c r="C663" t="s">
        <v>46</v>
      </c>
      <c r="D663">
        <v>17019</v>
      </c>
      <c r="E663" s="2">
        <v>2647923.9500000002</v>
      </c>
    </row>
    <row r="664" spans="1:5" ht="15" x14ac:dyDescent="0.2">
      <c r="A664" s="1" t="s">
        <v>99</v>
      </c>
      <c r="B664" t="s">
        <v>35</v>
      </c>
      <c r="C664" t="s">
        <v>46</v>
      </c>
      <c r="D664">
        <v>17019</v>
      </c>
      <c r="E664" s="2">
        <v>5060.67</v>
      </c>
    </row>
    <row r="665" spans="1:5" ht="15" x14ac:dyDescent="0.2">
      <c r="A665" s="1" t="s">
        <v>100</v>
      </c>
      <c r="B665" t="s">
        <v>43</v>
      </c>
      <c r="C665" t="s">
        <v>46</v>
      </c>
      <c r="D665">
        <v>17019</v>
      </c>
      <c r="E665" s="2">
        <v>9815362.4000000004</v>
      </c>
    </row>
    <row r="666" spans="1:5" ht="15" x14ac:dyDescent="0.2">
      <c r="A666" s="1" t="s">
        <v>81</v>
      </c>
      <c r="B666" t="s">
        <v>14</v>
      </c>
      <c r="C666" t="s">
        <v>46</v>
      </c>
      <c r="D666">
        <v>17019</v>
      </c>
      <c r="E666" s="2">
        <v>9524278.1699999999</v>
      </c>
    </row>
    <row r="667" spans="1:5" ht="15" x14ac:dyDescent="0.2">
      <c r="A667" s="1" t="s">
        <v>78</v>
      </c>
      <c r="B667" t="s">
        <v>20</v>
      </c>
      <c r="C667" t="s">
        <v>46</v>
      </c>
      <c r="D667">
        <v>17019</v>
      </c>
      <c r="E667" s="2">
        <v>1335820.6599999999</v>
      </c>
    </row>
    <row r="668" spans="1:5" ht="15" x14ac:dyDescent="0.2">
      <c r="A668" s="1" t="s">
        <v>73</v>
      </c>
      <c r="B668" t="s">
        <v>17</v>
      </c>
      <c r="C668" t="s">
        <v>46</v>
      </c>
      <c r="D668">
        <v>17019</v>
      </c>
      <c r="E668" s="2">
        <v>3384069.86</v>
      </c>
    </row>
    <row r="669" spans="1:5" ht="15" x14ac:dyDescent="0.2">
      <c r="A669" s="1" t="s">
        <v>90</v>
      </c>
      <c r="B669" t="s">
        <v>29</v>
      </c>
      <c r="C669" t="s">
        <v>46</v>
      </c>
      <c r="D669">
        <v>17845</v>
      </c>
      <c r="E669" s="2">
        <v>16605194.4</v>
      </c>
    </row>
    <row r="670" spans="1:5" ht="15" x14ac:dyDescent="0.2">
      <c r="A670" s="1" t="s">
        <v>95</v>
      </c>
      <c r="B670" t="s">
        <v>38</v>
      </c>
      <c r="C670" t="s">
        <v>46</v>
      </c>
      <c r="D670">
        <v>17845</v>
      </c>
      <c r="E670" s="2">
        <v>159265714.91999999</v>
      </c>
    </row>
    <row r="671" spans="1:5" ht="15" x14ac:dyDescent="0.2">
      <c r="A671" s="1" t="s">
        <v>83</v>
      </c>
      <c r="B671" t="s">
        <v>23</v>
      </c>
      <c r="C671" t="s">
        <v>46</v>
      </c>
      <c r="D671">
        <v>17845</v>
      </c>
      <c r="E671" s="2">
        <v>2951144.67</v>
      </c>
    </row>
    <row r="672" spans="1:5" ht="15" x14ac:dyDescent="0.2">
      <c r="A672" s="1" t="s">
        <v>96</v>
      </c>
      <c r="B672" t="s">
        <v>44</v>
      </c>
      <c r="C672" t="s">
        <v>46</v>
      </c>
      <c r="D672">
        <v>17845</v>
      </c>
      <c r="E672" s="2">
        <v>4640015.75</v>
      </c>
    </row>
    <row r="673" spans="1:5" ht="15" x14ac:dyDescent="0.2">
      <c r="A673" s="1" t="s">
        <v>73</v>
      </c>
      <c r="B673" t="s">
        <v>17</v>
      </c>
      <c r="C673" t="s">
        <v>46</v>
      </c>
      <c r="D673">
        <v>17845</v>
      </c>
      <c r="E673" s="2">
        <v>10169.06</v>
      </c>
    </row>
    <row r="674" spans="1:5" ht="15" x14ac:dyDescent="0.2">
      <c r="A674" s="1" t="s">
        <v>82</v>
      </c>
      <c r="B674" t="s">
        <v>15</v>
      </c>
      <c r="C674" t="s">
        <v>46</v>
      </c>
      <c r="D674">
        <v>17845</v>
      </c>
      <c r="E674" s="2">
        <v>6456003.4100000001</v>
      </c>
    </row>
    <row r="675" spans="1:5" ht="15" x14ac:dyDescent="0.2">
      <c r="A675" s="1" t="s">
        <v>80</v>
      </c>
      <c r="B675" t="s">
        <v>22</v>
      </c>
      <c r="C675" t="s">
        <v>46</v>
      </c>
      <c r="D675">
        <v>24003</v>
      </c>
      <c r="E675" s="2">
        <v>1894397.59</v>
      </c>
    </row>
    <row r="676" spans="1:5" ht="15" x14ac:dyDescent="0.2">
      <c r="A676" s="1" t="s">
        <v>97</v>
      </c>
      <c r="B676" t="s">
        <v>42</v>
      </c>
      <c r="C676" t="s">
        <v>46</v>
      </c>
      <c r="D676">
        <v>24003</v>
      </c>
      <c r="E676" s="2">
        <v>2284257.2799999998</v>
      </c>
    </row>
    <row r="677" spans="1:5" ht="15" x14ac:dyDescent="0.2">
      <c r="A677" s="1" t="s">
        <v>98</v>
      </c>
      <c r="B677" t="s">
        <v>34</v>
      </c>
      <c r="C677" t="s">
        <v>46</v>
      </c>
      <c r="D677">
        <v>24003</v>
      </c>
      <c r="E677" s="2">
        <v>100997104.5</v>
      </c>
    </row>
    <row r="678" spans="1:5" ht="15" x14ac:dyDescent="0.2">
      <c r="A678" s="1" t="s">
        <v>99</v>
      </c>
      <c r="B678" t="s">
        <v>35</v>
      </c>
      <c r="C678" t="s">
        <v>46</v>
      </c>
      <c r="D678">
        <v>24003</v>
      </c>
      <c r="E678" s="2">
        <v>23907329.010000002</v>
      </c>
    </row>
    <row r="679" spans="1:5" ht="15" x14ac:dyDescent="0.2">
      <c r="A679" s="1" t="s">
        <v>102</v>
      </c>
      <c r="B679" t="s">
        <v>36</v>
      </c>
      <c r="C679" t="s">
        <v>46</v>
      </c>
      <c r="D679">
        <v>24003</v>
      </c>
      <c r="E679" s="2">
        <v>3399966.21</v>
      </c>
    </row>
    <row r="680" spans="1:5" ht="15" x14ac:dyDescent="0.2">
      <c r="A680" s="1" t="s">
        <v>73</v>
      </c>
      <c r="B680" t="s">
        <v>17</v>
      </c>
      <c r="C680" t="s">
        <v>46</v>
      </c>
      <c r="D680">
        <v>24003</v>
      </c>
      <c r="E680" s="2">
        <v>4727770.17</v>
      </c>
    </row>
    <row r="681" spans="1:5" ht="15" x14ac:dyDescent="0.2">
      <c r="A681" s="1" t="s">
        <v>101</v>
      </c>
      <c r="B681" t="s">
        <v>39</v>
      </c>
      <c r="C681" t="s">
        <v>46</v>
      </c>
      <c r="D681">
        <v>24003</v>
      </c>
      <c r="E681" s="2">
        <v>442.2</v>
      </c>
    </row>
    <row r="682" spans="1:5" ht="15" x14ac:dyDescent="0.2">
      <c r="A682" s="1" t="s">
        <v>85</v>
      </c>
      <c r="B682" t="s">
        <v>24</v>
      </c>
      <c r="C682" t="s">
        <v>46</v>
      </c>
      <c r="D682">
        <v>25382</v>
      </c>
      <c r="E682" s="2">
        <v>9278827.7599999998</v>
      </c>
    </row>
    <row r="683" spans="1:5" ht="15" x14ac:dyDescent="0.2">
      <c r="A683" s="1" t="s">
        <v>84</v>
      </c>
      <c r="B683" t="s">
        <v>16</v>
      </c>
      <c r="C683" t="s">
        <v>46</v>
      </c>
      <c r="D683">
        <v>25382</v>
      </c>
      <c r="E683" s="2">
        <v>7838763.7800000003</v>
      </c>
    </row>
    <row r="684" spans="1:5" ht="15" x14ac:dyDescent="0.2">
      <c r="A684" s="1" t="s">
        <v>80</v>
      </c>
      <c r="B684" t="s">
        <v>22</v>
      </c>
      <c r="C684" t="s">
        <v>46</v>
      </c>
      <c r="D684">
        <v>25382</v>
      </c>
      <c r="E684" s="2">
        <v>5873729.54</v>
      </c>
    </row>
    <row r="685" spans="1:5" ht="15" x14ac:dyDescent="0.2">
      <c r="A685" s="1" t="s">
        <v>96</v>
      </c>
      <c r="B685" t="s">
        <v>44</v>
      </c>
      <c r="C685" t="s">
        <v>46</v>
      </c>
      <c r="D685">
        <v>25382</v>
      </c>
      <c r="E685" s="2">
        <v>2156342.56</v>
      </c>
    </row>
    <row r="686" spans="1:5" ht="15" x14ac:dyDescent="0.2">
      <c r="A686" s="1" t="s">
        <v>78</v>
      </c>
      <c r="B686" t="s">
        <v>20</v>
      </c>
      <c r="C686" t="s">
        <v>46</v>
      </c>
      <c r="D686">
        <v>25382</v>
      </c>
      <c r="E686" s="2">
        <v>348768.82</v>
      </c>
    </row>
    <row r="687" spans="1:5" ht="15" x14ac:dyDescent="0.2">
      <c r="A687" s="1" t="s">
        <v>75</v>
      </c>
      <c r="B687" t="s">
        <v>19</v>
      </c>
      <c r="C687" t="s">
        <v>46</v>
      </c>
      <c r="D687">
        <v>25382</v>
      </c>
      <c r="E687" s="2">
        <v>5680475.2599999998</v>
      </c>
    </row>
    <row r="688" spans="1:5" ht="15" x14ac:dyDescent="0.2">
      <c r="A688" s="1" t="s">
        <v>86</v>
      </c>
      <c r="B688" t="s">
        <v>25</v>
      </c>
      <c r="C688" t="s">
        <v>46</v>
      </c>
      <c r="D688">
        <v>25937</v>
      </c>
      <c r="E688" s="2">
        <v>4838196.49</v>
      </c>
    </row>
    <row r="689" spans="1:5" ht="15" x14ac:dyDescent="0.2">
      <c r="A689" s="1" t="s">
        <v>85</v>
      </c>
      <c r="B689" t="s">
        <v>24</v>
      </c>
      <c r="C689" t="s">
        <v>46</v>
      </c>
      <c r="D689">
        <v>25937</v>
      </c>
      <c r="E689" s="2">
        <v>25718708.32</v>
      </c>
    </row>
    <row r="690" spans="1:5" ht="15" x14ac:dyDescent="0.2">
      <c r="A690" s="1" t="s">
        <v>75</v>
      </c>
      <c r="B690" t="s">
        <v>12</v>
      </c>
      <c r="C690" t="s">
        <v>46</v>
      </c>
      <c r="D690">
        <v>25937</v>
      </c>
      <c r="E690" s="2">
        <v>9052458.8599999994</v>
      </c>
    </row>
    <row r="691" spans="1:5" ht="15" x14ac:dyDescent="0.2">
      <c r="A691" s="1" t="s">
        <v>95</v>
      </c>
      <c r="B691" t="s">
        <v>38</v>
      </c>
      <c r="C691" t="s">
        <v>46</v>
      </c>
      <c r="D691">
        <v>25937</v>
      </c>
      <c r="E691" s="2">
        <v>31042269.120000001</v>
      </c>
    </row>
    <row r="692" spans="1:5" ht="15" x14ac:dyDescent="0.2">
      <c r="A692" s="1" t="s">
        <v>83</v>
      </c>
      <c r="B692" t="s">
        <v>23</v>
      </c>
      <c r="C692" t="s">
        <v>46</v>
      </c>
      <c r="D692">
        <v>25937</v>
      </c>
      <c r="E692" s="2">
        <v>8438307.3200000003</v>
      </c>
    </row>
    <row r="693" spans="1:5" ht="15" x14ac:dyDescent="0.2">
      <c r="A693" s="1" t="s">
        <v>97</v>
      </c>
      <c r="B693" t="s">
        <v>42</v>
      </c>
      <c r="C693" t="s">
        <v>46</v>
      </c>
      <c r="D693">
        <v>25937</v>
      </c>
      <c r="E693" s="2">
        <v>1053.3399999999999</v>
      </c>
    </row>
    <row r="694" spans="1:5" ht="15" x14ac:dyDescent="0.2">
      <c r="A694" s="1" t="s">
        <v>81</v>
      </c>
      <c r="B694" t="s">
        <v>14</v>
      </c>
      <c r="C694" t="s">
        <v>46</v>
      </c>
      <c r="D694">
        <v>25937</v>
      </c>
      <c r="E694" s="2">
        <v>12406485.33</v>
      </c>
    </row>
    <row r="695" spans="1:5" ht="15" x14ac:dyDescent="0.2">
      <c r="A695" s="1" t="s">
        <v>88</v>
      </c>
      <c r="B695" t="s">
        <v>27</v>
      </c>
      <c r="C695" t="s">
        <v>46</v>
      </c>
      <c r="D695">
        <v>25937</v>
      </c>
      <c r="E695" s="2">
        <v>6194885.0499999998</v>
      </c>
    </row>
    <row r="696" spans="1:5" ht="15" x14ac:dyDescent="0.2">
      <c r="A696" s="1" t="s">
        <v>71</v>
      </c>
      <c r="B696" t="s">
        <v>9</v>
      </c>
      <c r="C696" t="s">
        <v>46</v>
      </c>
      <c r="D696">
        <v>25937</v>
      </c>
      <c r="E696" s="2">
        <v>6178.29</v>
      </c>
    </row>
    <row r="697" spans="1:5" ht="15" x14ac:dyDescent="0.2">
      <c r="A697" s="1" t="s">
        <v>90</v>
      </c>
      <c r="B697" t="s">
        <v>29</v>
      </c>
      <c r="C697" t="s">
        <v>46</v>
      </c>
      <c r="D697">
        <v>26271</v>
      </c>
      <c r="E697" s="2">
        <v>22520492.739999998</v>
      </c>
    </row>
    <row r="698" spans="1:5" ht="15" x14ac:dyDescent="0.2">
      <c r="A698" s="1" t="s">
        <v>95</v>
      </c>
      <c r="B698" t="s">
        <v>38</v>
      </c>
      <c r="C698" t="s">
        <v>46</v>
      </c>
      <c r="D698">
        <v>26271</v>
      </c>
      <c r="E698" s="2">
        <v>182208151.40000001</v>
      </c>
    </row>
    <row r="699" spans="1:5" ht="15" x14ac:dyDescent="0.2">
      <c r="A699" s="1" t="s">
        <v>76</v>
      </c>
      <c r="B699" t="s">
        <v>13</v>
      </c>
      <c r="C699" t="s">
        <v>46</v>
      </c>
      <c r="D699">
        <v>26271</v>
      </c>
      <c r="E699" s="2">
        <v>1164304.23</v>
      </c>
    </row>
    <row r="700" spans="1:5" ht="15" x14ac:dyDescent="0.2">
      <c r="A700" s="1" t="s">
        <v>83</v>
      </c>
      <c r="B700" t="s">
        <v>23</v>
      </c>
      <c r="C700" t="s">
        <v>46</v>
      </c>
      <c r="D700">
        <v>26271</v>
      </c>
      <c r="E700" s="2">
        <v>2385741.8199999998</v>
      </c>
    </row>
    <row r="701" spans="1:5" ht="15" x14ac:dyDescent="0.2">
      <c r="A701" s="1" t="s">
        <v>74</v>
      </c>
      <c r="B701" t="s">
        <v>11</v>
      </c>
      <c r="C701" t="s">
        <v>46</v>
      </c>
      <c r="D701">
        <v>26271</v>
      </c>
      <c r="E701" s="2">
        <v>1174.25</v>
      </c>
    </row>
    <row r="702" spans="1:5" ht="15" x14ac:dyDescent="0.2">
      <c r="A702" s="1" t="s">
        <v>84</v>
      </c>
      <c r="B702" t="s">
        <v>16</v>
      </c>
      <c r="C702" t="s">
        <v>46</v>
      </c>
      <c r="D702">
        <v>26287</v>
      </c>
      <c r="E702" s="2">
        <v>4203550.46</v>
      </c>
    </row>
    <row r="703" spans="1:5" ht="15" x14ac:dyDescent="0.2">
      <c r="A703" s="1" t="s">
        <v>75</v>
      </c>
      <c r="B703" t="s">
        <v>12</v>
      </c>
      <c r="C703" t="s">
        <v>46</v>
      </c>
      <c r="D703">
        <v>26287</v>
      </c>
      <c r="E703" s="2">
        <v>13590909.560000001</v>
      </c>
    </row>
    <row r="704" spans="1:5" ht="15" x14ac:dyDescent="0.2">
      <c r="A704" s="1" t="s">
        <v>83</v>
      </c>
      <c r="B704" t="s">
        <v>23</v>
      </c>
      <c r="C704" t="s">
        <v>46</v>
      </c>
      <c r="D704">
        <v>26287</v>
      </c>
      <c r="E704" s="2">
        <v>5834337.9800000004</v>
      </c>
    </row>
    <row r="705" spans="1:5" ht="15" x14ac:dyDescent="0.2">
      <c r="A705" s="1" t="s">
        <v>74</v>
      </c>
      <c r="B705" t="s">
        <v>11</v>
      </c>
      <c r="C705" t="s">
        <v>46</v>
      </c>
      <c r="D705">
        <v>26287</v>
      </c>
      <c r="E705" s="2">
        <v>814876.75</v>
      </c>
    </row>
    <row r="706" spans="1:5" ht="15" x14ac:dyDescent="0.2">
      <c r="A706" s="1" t="s">
        <v>68</v>
      </c>
      <c r="B706" t="s">
        <v>6</v>
      </c>
      <c r="C706" t="s">
        <v>46</v>
      </c>
      <c r="D706">
        <v>26287</v>
      </c>
      <c r="E706" s="2">
        <v>4922108.8499999996</v>
      </c>
    </row>
    <row r="707" spans="1:5" ht="15" x14ac:dyDescent="0.2">
      <c r="A707" s="1" t="s">
        <v>100</v>
      </c>
      <c r="B707" t="s">
        <v>43</v>
      </c>
      <c r="C707" t="s">
        <v>46</v>
      </c>
      <c r="D707">
        <v>26287</v>
      </c>
      <c r="E707" s="2">
        <v>1.1599999999999999</v>
      </c>
    </row>
    <row r="708" spans="1:5" ht="15" x14ac:dyDescent="0.2">
      <c r="A708" s="1" t="s">
        <v>93</v>
      </c>
      <c r="B708" t="s">
        <v>32</v>
      </c>
      <c r="C708" t="s">
        <v>46</v>
      </c>
      <c r="D708">
        <v>27528</v>
      </c>
      <c r="E708" s="2">
        <v>23267889.960000001</v>
      </c>
    </row>
    <row r="709" spans="1:5" ht="15" x14ac:dyDescent="0.2">
      <c r="A709" s="1" t="s">
        <v>105</v>
      </c>
      <c r="B709" t="s">
        <v>41</v>
      </c>
      <c r="C709" t="s">
        <v>46</v>
      </c>
      <c r="D709">
        <v>27528</v>
      </c>
      <c r="E709" s="2">
        <v>2805856.32</v>
      </c>
    </row>
    <row r="710" spans="1:5" ht="15" x14ac:dyDescent="0.2">
      <c r="A710" s="1" t="s">
        <v>71</v>
      </c>
      <c r="B710" t="s">
        <v>9</v>
      </c>
      <c r="C710" t="s">
        <v>46</v>
      </c>
      <c r="D710">
        <v>27528</v>
      </c>
      <c r="E710" s="2">
        <v>16858495.620000001</v>
      </c>
    </row>
    <row r="711" spans="1:5" ht="15" x14ac:dyDescent="0.2">
      <c r="A711" s="1" t="s">
        <v>86</v>
      </c>
      <c r="B711" t="s">
        <v>25</v>
      </c>
      <c r="C711" t="s">
        <v>46</v>
      </c>
      <c r="D711">
        <v>30776</v>
      </c>
      <c r="E711" s="2">
        <v>5427204.9000000004</v>
      </c>
    </row>
    <row r="712" spans="1:5" ht="15" x14ac:dyDescent="0.2">
      <c r="A712" s="1" t="s">
        <v>74</v>
      </c>
      <c r="B712" t="s">
        <v>11</v>
      </c>
      <c r="C712" t="s">
        <v>46</v>
      </c>
      <c r="D712">
        <v>30776</v>
      </c>
      <c r="E712" s="2">
        <v>1275630.8</v>
      </c>
    </row>
    <row r="713" spans="1:5" ht="15" x14ac:dyDescent="0.2">
      <c r="A713" s="1" t="s">
        <v>68</v>
      </c>
      <c r="B713" t="s">
        <v>6</v>
      </c>
      <c r="C713" t="s">
        <v>46</v>
      </c>
      <c r="D713">
        <v>30776</v>
      </c>
      <c r="E713" s="2">
        <v>5909178.8200000003</v>
      </c>
    </row>
    <row r="714" spans="1:5" ht="15" x14ac:dyDescent="0.2">
      <c r="A714" s="1" t="s">
        <v>78</v>
      </c>
      <c r="B714" t="s">
        <v>20</v>
      </c>
      <c r="C714" t="s">
        <v>46</v>
      </c>
      <c r="D714">
        <v>30776</v>
      </c>
      <c r="E714" s="2">
        <v>7950.98</v>
      </c>
    </row>
    <row r="715" spans="1:5" ht="15" x14ac:dyDescent="0.2">
      <c r="A715" s="1" t="s">
        <v>88</v>
      </c>
      <c r="B715" t="s">
        <v>27</v>
      </c>
      <c r="C715" t="s">
        <v>46</v>
      </c>
      <c r="D715">
        <v>30776</v>
      </c>
      <c r="E715" s="2">
        <v>4935665.16</v>
      </c>
    </row>
    <row r="716" spans="1:5" ht="15" x14ac:dyDescent="0.2">
      <c r="A716" s="1" t="s">
        <v>105</v>
      </c>
      <c r="B716" t="s">
        <v>41</v>
      </c>
      <c r="C716" t="s">
        <v>46</v>
      </c>
      <c r="D716">
        <v>30776</v>
      </c>
      <c r="E716" s="2">
        <v>8331.39</v>
      </c>
    </row>
    <row r="717" spans="1:5" ht="15" x14ac:dyDescent="0.2">
      <c r="A717" s="1" t="s">
        <v>70</v>
      </c>
      <c r="B717" t="s">
        <v>8</v>
      </c>
      <c r="C717" t="s">
        <v>46</v>
      </c>
      <c r="D717">
        <v>30776</v>
      </c>
      <c r="E717" s="2">
        <v>142266930.63</v>
      </c>
    </row>
    <row r="718" spans="1:5" ht="15" x14ac:dyDescent="0.2">
      <c r="A718" s="1" t="s">
        <v>93</v>
      </c>
      <c r="B718" t="s">
        <v>32</v>
      </c>
      <c r="C718" t="s">
        <v>46</v>
      </c>
      <c r="D718">
        <v>35415</v>
      </c>
      <c r="E718" s="2">
        <v>71005081.430000007</v>
      </c>
    </row>
    <row r="719" spans="1:5" ht="15" x14ac:dyDescent="0.2">
      <c r="A719" s="1" t="s">
        <v>80</v>
      </c>
      <c r="B719" t="s">
        <v>22</v>
      </c>
      <c r="C719" t="s">
        <v>46</v>
      </c>
      <c r="D719">
        <v>35415</v>
      </c>
      <c r="E719" s="2">
        <v>4442563.3499999996</v>
      </c>
    </row>
    <row r="720" spans="1:5" ht="15" x14ac:dyDescent="0.2">
      <c r="A720" s="1" t="s">
        <v>96</v>
      </c>
      <c r="B720" t="s">
        <v>44</v>
      </c>
      <c r="C720" t="s">
        <v>46</v>
      </c>
      <c r="D720">
        <v>35415</v>
      </c>
      <c r="E720" s="2">
        <v>3695458.88</v>
      </c>
    </row>
    <row r="721" spans="1:5" ht="15" x14ac:dyDescent="0.2">
      <c r="A721" s="1" t="s">
        <v>77</v>
      </c>
      <c r="B721" t="s">
        <v>18</v>
      </c>
      <c r="C721" t="s">
        <v>46</v>
      </c>
      <c r="D721">
        <v>35415</v>
      </c>
      <c r="E721" s="2">
        <v>13424236.359999999</v>
      </c>
    </row>
    <row r="722" spans="1:5" ht="15" x14ac:dyDescent="0.2">
      <c r="A722" s="1" t="s">
        <v>104</v>
      </c>
      <c r="B722" t="s">
        <v>40</v>
      </c>
      <c r="C722" t="s">
        <v>46</v>
      </c>
      <c r="D722">
        <v>35415</v>
      </c>
      <c r="E722" s="2">
        <v>17055022.199999999</v>
      </c>
    </row>
    <row r="723" spans="1:5" ht="15" x14ac:dyDescent="0.2">
      <c r="A723" s="1" t="s">
        <v>91</v>
      </c>
      <c r="B723" t="s">
        <v>30</v>
      </c>
      <c r="C723" t="s">
        <v>46</v>
      </c>
      <c r="D723">
        <v>36135</v>
      </c>
      <c r="E723" s="2">
        <v>54018679.600000001</v>
      </c>
    </row>
    <row r="724" spans="1:5" ht="15" x14ac:dyDescent="0.2">
      <c r="A724" s="1" t="s">
        <v>94</v>
      </c>
      <c r="B724" t="s">
        <v>33</v>
      </c>
      <c r="C724" t="s">
        <v>46</v>
      </c>
      <c r="D724">
        <v>36135</v>
      </c>
      <c r="E724" s="2">
        <v>38406438.969999999</v>
      </c>
    </row>
    <row r="725" spans="1:5" ht="15" x14ac:dyDescent="0.2">
      <c r="A725" s="1" t="s">
        <v>96</v>
      </c>
      <c r="B725" t="s">
        <v>44</v>
      </c>
      <c r="C725" t="s">
        <v>46</v>
      </c>
      <c r="D725">
        <v>36135</v>
      </c>
      <c r="E725" s="2">
        <v>2711046.01</v>
      </c>
    </row>
    <row r="726" spans="1:5" ht="15" x14ac:dyDescent="0.2">
      <c r="A726" s="1" t="s">
        <v>98</v>
      </c>
      <c r="B726" t="s">
        <v>34</v>
      </c>
      <c r="C726" t="s">
        <v>46</v>
      </c>
      <c r="D726">
        <v>36135</v>
      </c>
      <c r="E726" s="2">
        <v>33605700</v>
      </c>
    </row>
    <row r="727" spans="1:5" ht="15" x14ac:dyDescent="0.2">
      <c r="A727" s="1" t="s">
        <v>100</v>
      </c>
      <c r="B727" t="s">
        <v>43</v>
      </c>
      <c r="C727" t="s">
        <v>46</v>
      </c>
      <c r="D727">
        <v>36135</v>
      </c>
      <c r="E727" s="2">
        <v>10954.25</v>
      </c>
    </row>
    <row r="728" spans="1:5" ht="15" x14ac:dyDescent="0.2">
      <c r="A728" s="1" t="s">
        <v>88</v>
      </c>
      <c r="B728" t="s">
        <v>27</v>
      </c>
      <c r="C728" t="s">
        <v>46</v>
      </c>
      <c r="D728">
        <v>36135</v>
      </c>
      <c r="E728" s="2">
        <v>4981645.04</v>
      </c>
    </row>
    <row r="729" spans="1:5" ht="15" x14ac:dyDescent="0.2">
      <c r="A729" s="1" t="s">
        <v>73</v>
      </c>
      <c r="B729" t="s">
        <v>17</v>
      </c>
      <c r="C729" t="s">
        <v>46</v>
      </c>
      <c r="D729">
        <v>36135</v>
      </c>
      <c r="E729" s="2">
        <v>3057586.88</v>
      </c>
    </row>
    <row r="730" spans="1:5" ht="15" x14ac:dyDescent="0.2">
      <c r="A730" s="1" t="s">
        <v>86</v>
      </c>
      <c r="B730" t="s">
        <v>25</v>
      </c>
      <c r="C730" t="s">
        <v>46</v>
      </c>
      <c r="D730">
        <v>37424</v>
      </c>
      <c r="E730" s="2">
        <v>10190045.57</v>
      </c>
    </row>
    <row r="731" spans="1:5" ht="15" x14ac:dyDescent="0.2">
      <c r="A731" s="1" t="s">
        <v>93</v>
      </c>
      <c r="B731" t="s">
        <v>32</v>
      </c>
      <c r="C731" t="s">
        <v>46</v>
      </c>
      <c r="D731">
        <v>37424</v>
      </c>
      <c r="E731" s="2">
        <v>0.98</v>
      </c>
    </row>
    <row r="732" spans="1:5" ht="15" x14ac:dyDescent="0.2">
      <c r="A732" s="1" t="s">
        <v>76</v>
      </c>
      <c r="B732" t="s">
        <v>13</v>
      </c>
      <c r="C732" t="s">
        <v>46</v>
      </c>
      <c r="D732">
        <v>37424</v>
      </c>
      <c r="E732" s="2">
        <v>2539923.9500000002</v>
      </c>
    </row>
    <row r="733" spans="1:5" ht="15" x14ac:dyDescent="0.2">
      <c r="A733" s="1" t="s">
        <v>77</v>
      </c>
      <c r="B733" t="s">
        <v>18</v>
      </c>
      <c r="C733" t="s">
        <v>46</v>
      </c>
      <c r="D733">
        <v>37424</v>
      </c>
      <c r="E733" s="2">
        <v>17097873.859999999</v>
      </c>
    </row>
    <row r="734" spans="1:5" ht="15" x14ac:dyDescent="0.2">
      <c r="A734" s="1" t="s">
        <v>102</v>
      </c>
      <c r="B734" t="s">
        <v>36</v>
      </c>
      <c r="C734" t="s">
        <v>46</v>
      </c>
      <c r="D734">
        <v>37424</v>
      </c>
      <c r="E734" s="2">
        <v>939572.53</v>
      </c>
    </row>
    <row r="735" spans="1:5" ht="15" x14ac:dyDescent="0.2">
      <c r="A735" s="1" t="s">
        <v>101</v>
      </c>
      <c r="B735" t="s">
        <v>39</v>
      </c>
      <c r="C735" t="s">
        <v>46</v>
      </c>
      <c r="D735">
        <v>37424</v>
      </c>
      <c r="E735" s="2">
        <v>8846519.4600000009</v>
      </c>
    </row>
    <row r="736" spans="1:5" ht="15" x14ac:dyDescent="0.2">
      <c r="A736" s="1" t="s">
        <v>70</v>
      </c>
      <c r="B736" t="s">
        <v>8</v>
      </c>
      <c r="C736" t="s">
        <v>46</v>
      </c>
      <c r="D736">
        <v>37424</v>
      </c>
      <c r="E736" s="2">
        <v>1.35</v>
      </c>
    </row>
    <row r="737" spans="1:5" ht="15" x14ac:dyDescent="0.2">
      <c r="A737" s="1" t="s">
        <v>71</v>
      </c>
      <c r="B737" t="s">
        <v>9</v>
      </c>
      <c r="C737" t="s">
        <v>46</v>
      </c>
      <c r="D737">
        <v>37424</v>
      </c>
      <c r="E737" s="2">
        <v>13695240.050000001</v>
      </c>
    </row>
    <row r="738" spans="1:5" ht="15" x14ac:dyDescent="0.2">
      <c r="A738" s="1" t="s">
        <v>67</v>
      </c>
      <c r="B738" t="s">
        <v>5</v>
      </c>
      <c r="C738" t="s">
        <v>46</v>
      </c>
      <c r="D738">
        <v>41143</v>
      </c>
      <c r="E738" s="2">
        <v>-4081050</v>
      </c>
    </row>
    <row r="739" spans="1:5" ht="15" x14ac:dyDescent="0.2">
      <c r="A739" s="1" t="s">
        <v>86</v>
      </c>
      <c r="B739" t="s">
        <v>25</v>
      </c>
      <c r="C739" t="s">
        <v>46</v>
      </c>
      <c r="D739">
        <v>41143</v>
      </c>
      <c r="E739" s="2">
        <v>0.73</v>
      </c>
    </row>
    <row r="740" spans="1:5" ht="15" x14ac:dyDescent="0.2">
      <c r="A740" s="1" t="s">
        <v>91</v>
      </c>
      <c r="B740" t="s">
        <v>30</v>
      </c>
      <c r="C740" t="s">
        <v>46</v>
      </c>
      <c r="D740">
        <v>41143</v>
      </c>
      <c r="E740" s="2">
        <v>54302375.579999998</v>
      </c>
    </row>
    <row r="741" spans="1:5" ht="15" x14ac:dyDescent="0.2">
      <c r="A741" s="1" t="s">
        <v>84</v>
      </c>
      <c r="B741" t="s">
        <v>16</v>
      </c>
      <c r="C741" t="s">
        <v>46</v>
      </c>
      <c r="D741">
        <v>41143</v>
      </c>
      <c r="E741" s="2">
        <v>2880000.97</v>
      </c>
    </row>
    <row r="742" spans="1:5" ht="15" x14ac:dyDescent="0.2">
      <c r="A742" s="1" t="s">
        <v>76</v>
      </c>
      <c r="B742" t="s">
        <v>13</v>
      </c>
      <c r="C742" t="s">
        <v>46</v>
      </c>
      <c r="D742">
        <v>41143</v>
      </c>
      <c r="E742" s="2">
        <v>736446.61</v>
      </c>
    </row>
    <row r="743" spans="1:5" ht="15" x14ac:dyDescent="0.2">
      <c r="A743" s="1" t="s">
        <v>83</v>
      </c>
      <c r="B743" t="s">
        <v>23</v>
      </c>
      <c r="C743" t="s">
        <v>46</v>
      </c>
      <c r="D743">
        <v>41143</v>
      </c>
      <c r="E743" s="2">
        <v>5367172.55</v>
      </c>
    </row>
    <row r="744" spans="1:5" ht="15" x14ac:dyDescent="0.2">
      <c r="A744" s="1" t="s">
        <v>80</v>
      </c>
      <c r="B744" t="s">
        <v>22</v>
      </c>
      <c r="C744" t="s">
        <v>46</v>
      </c>
      <c r="D744">
        <v>41143</v>
      </c>
      <c r="E744" s="2">
        <v>5245666.76</v>
      </c>
    </row>
    <row r="745" spans="1:5" ht="15" x14ac:dyDescent="0.2">
      <c r="A745" s="1" t="s">
        <v>99</v>
      </c>
      <c r="B745" t="s">
        <v>35</v>
      </c>
      <c r="C745" t="s">
        <v>46</v>
      </c>
      <c r="D745">
        <v>41143</v>
      </c>
      <c r="E745" s="2">
        <v>12043350.32</v>
      </c>
    </row>
    <row r="746" spans="1:5" ht="15" x14ac:dyDescent="0.2">
      <c r="A746" s="1" t="s">
        <v>100</v>
      </c>
      <c r="B746" t="s">
        <v>43</v>
      </c>
      <c r="C746" t="s">
        <v>46</v>
      </c>
      <c r="D746">
        <v>41143</v>
      </c>
      <c r="E746" s="2">
        <v>5231281.97</v>
      </c>
    </row>
    <row r="747" spans="1:5" ht="15" x14ac:dyDescent="0.2">
      <c r="A747" s="1" t="s">
        <v>78</v>
      </c>
      <c r="B747" t="s">
        <v>20</v>
      </c>
      <c r="C747" t="s">
        <v>46</v>
      </c>
      <c r="D747">
        <v>41143</v>
      </c>
      <c r="E747" s="2">
        <v>1103687.6799999999</v>
      </c>
    </row>
    <row r="748" spans="1:5" ht="15" x14ac:dyDescent="0.2">
      <c r="A748" s="1" t="s">
        <v>102</v>
      </c>
      <c r="B748" t="s">
        <v>36</v>
      </c>
      <c r="C748" t="s">
        <v>46</v>
      </c>
      <c r="D748">
        <v>41143</v>
      </c>
      <c r="E748" s="2">
        <v>1090798.03</v>
      </c>
    </row>
    <row r="749" spans="1:5" ht="15" x14ac:dyDescent="0.2">
      <c r="A749" s="1" t="s">
        <v>101</v>
      </c>
      <c r="B749" t="s">
        <v>39</v>
      </c>
      <c r="C749" t="s">
        <v>46</v>
      </c>
      <c r="D749">
        <v>41143</v>
      </c>
      <c r="E749" s="2">
        <v>5890244.3399999999</v>
      </c>
    </row>
    <row r="750" spans="1:5" ht="15" x14ac:dyDescent="0.2">
      <c r="A750" s="1" t="s">
        <v>75</v>
      </c>
      <c r="B750" t="s">
        <v>19</v>
      </c>
      <c r="C750" t="s">
        <v>46</v>
      </c>
      <c r="D750">
        <v>41143</v>
      </c>
      <c r="E750" s="2">
        <v>2240.2199999999998</v>
      </c>
    </row>
    <row r="751" spans="1:5" ht="15" x14ac:dyDescent="0.2">
      <c r="A751" s="1" t="s">
        <v>104</v>
      </c>
      <c r="B751" t="s">
        <v>40</v>
      </c>
      <c r="C751" t="s">
        <v>46</v>
      </c>
      <c r="D751">
        <v>41143</v>
      </c>
      <c r="E751" s="2">
        <v>11284544.380000001</v>
      </c>
    </row>
    <row r="752" spans="1:5" ht="15" x14ac:dyDescent="0.2">
      <c r="A752" s="1" t="s">
        <v>105</v>
      </c>
      <c r="B752" t="s">
        <v>41</v>
      </c>
      <c r="C752" t="s">
        <v>46</v>
      </c>
      <c r="D752">
        <v>41143</v>
      </c>
      <c r="E752" s="2">
        <v>4431390.55</v>
      </c>
    </row>
    <row r="753" spans="1:5" ht="15" x14ac:dyDescent="0.2">
      <c r="A753" s="1" t="s">
        <v>69</v>
      </c>
      <c r="B753" t="s">
        <v>7</v>
      </c>
      <c r="C753" t="s">
        <v>46</v>
      </c>
      <c r="D753">
        <v>41143</v>
      </c>
      <c r="E753" s="2">
        <v>19276641.890000001</v>
      </c>
    </row>
    <row r="754" spans="1:5" ht="15" x14ac:dyDescent="0.2">
      <c r="A754" s="1" t="s">
        <v>94</v>
      </c>
      <c r="B754" t="s">
        <v>33</v>
      </c>
      <c r="C754" t="s">
        <v>46</v>
      </c>
      <c r="D754">
        <v>46187</v>
      </c>
      <c r="E754" s="2">
        <v>50241915.759999998</v>
      </c>
    </row>
    <row r="755" spans="1:5" ht="15" x14ac:dyDescent="0.2">
      <c r="A755" s="1" t="s">
        <v>84</v>
      </c>
      <c r="B755" t="s">
        <v>16</v>
      </c>
      <c r="C755" t="s">
        <v>46</v>
      </c>
      <c r="D755">
        <v>46187</v>
      </c>
      <c r="E755" s="2">
        <v>2405461.06</v>
      </c>
    </row>
    <row r="756" spans="1:5" ht="15" x14ac:dyDescent="0.2">
      <c r="A756" s="1" t="s">
        <v>95</v>
      </c>
      <c r="B756" t="s">
        <v>38</v>
      </c>
      <c r="C756" t="s">
        <v>46</v>
      </c>
      <c r="D756">
        <v>46187</v>
      </c>
      <c r="E756" s="2">
        <v>173005881.50999999</v>
      </c>
    </row>
    <row r="757" spans="1:5" ht="15" x14ac:dyDescent="0.2">
      <c r="A757" s="1" t="s">
        <v>97</v>
      </c>
      <c r="B757" t="s">
        <v>42</v>
      </c>
      <c r="C757" t="s">
        <v>46</v>
      </c>
      <c r="D757">
        <v>46187</v>
      </c>
      <c r="E757" s="2">
        <v>1594462.67</v>
      </c>
    </row>
    <row r="758" spans="1:5" ht="15" x14ac:dyDescent="0.2">
      <c r="A758" s="1" t="s">
        <v>99</v>
      </c>
      <c r="B758" t="s">
        <v>35</v>
      </c>
      <c r="C758" t="s">
        <v>46</v>
      </c>
      <c r="D758">
        <v>46187</v>
      </c>
      <c r="E758" s="2">
        <v>17360331.399999999</v>
      </c>
    </row>
    <row r="759" spans="1:5" ht="15" x14ac:dyDescent="0.2">
      <c r="A759" s="1" t="s">
        <v>68</v>
      </c>
      <c r="B759" t="s">
        <v>6</v>
      </c>
      <c r="C759" t="s">
        <v>46</v>
      </c>
      <c r="D759">
        <v>46187</v>
      </c>
      <c r="E759" s="2">
        <v>7722990.9199999999</v>
      </c>
    </row>
    <row r="760" spans="1:5" ht="15" x14ac:dyDescent="0.2">
      <c r="A760" s="1" t="s">
        <v>100</v>
      </c>
      <c r="B760" t="s">
        <v>43</v>
      </c>
      <c r="C760" t="s">
        <v>46</v>
      </c>
      <c r="D760">
        <v>46187</v>
      </c>
      <c r="E760" s="2">
        <v>5415529.96</v>
      </c>
    </row>
    <row r="761" spans="1:5" ht="15" x14ac:dyDescent="0.2">
      <c r="A761" s="1" t="s">
        <v>101</v>
      </c>
      <c r="B761" t="s">
        <v>39</v>
      </c>
      <c r="C761" t="s">
        <v>46</v>
      </c>
      <c r="D761">
        <v>46187</v>
      </c>
      <c r="E761" s="2">
        <v>2843765.69</v>
      </c>
    </row>
    <row r="762" spans="1:5" ht="15" x14ac:dyDescent="0.2">
      <c r="A762" s="1" t="s">
        <v>75</v>
      </c>
      <c r="B762" t="s">
        <v>19</v>
      </c>
      <c r="C762" t="s">
        <v>46</v>
      </c>
      <c r="D762">
        <v>46187</v>
      </c>
      <c r="E762" s="2">
        <v>4802324.41</v>
      </c>
    </row>
    <row r="763" spans="1:5" ht="15" x14ac:dyDescent="0.2">
      <c r="A763" s="1" t="s">
        <v>65</v>
      </c>
      <c r="B763" t="s">
        <v>4</v>
      </c>
      <c r="C763" t="s">
        <v>46</v>
      </c>
      <c r="D763">
        <v>46187</v>
      </c>
      <c r="E763" s="2">
        <v>983285.56</v>
      </c>
    </row>
    <row r="764" spans="1:5" ht="15" x14ac:dyDescent="0.2">
      <c r="A764" s="1" t="s">
        <v>70</v>
      </c>
      <c r="B764" t="s">
        <v>8</v>
      </c>
      <c r="C764" t="s">
        <v>46</v>
      </c>
      <c r="D764">
        <v>46187</v>
      </c>
      <c r="E764" s="2">
        <v>78536963.900000006</v>
      </c>
    </row>
    <row r="765" spans="1:5" ht="15" x14ac:dyDescent="0.2">
      <c r="A765" s="1" t="s">
        <v>71</v>
      </c>
      <c r="B765" t="s">
        <v>9</v>
      </c>
      <c r="C765" t="s">
        <v>46</v>
      </c>
      <c r="D765">
        <v>46187</v>
      </c>
      <c r="E765" s="2">
        <v>10990749.529999999</v>
      </c>
    </row>
    <row r="766" spans="1:5" ht="15" x14ac:dyDescent="0.2">
      <c r="A766" s="1" t="s">
        <v>82</v>
      </c>
      <c r="B766" t="s">
        <v>15</v>
      </c>
      <c r="C766" t="s">
        <v>46</v>
      </c>
      <c r="D766">
        <v>46187</v>
      </c>
      <c r="E766" s="2">
        <v>2545279.7599999998</v>
      </c>
    </row>
    <row r="767" spans="1:5" ht="15" x14ac:dyDescent="0.2">
      <c r="A767" s="1" t="s">
        <v>94</v>
      </c>
      <c r="B767" t="s">
        <v>33</v>
      </c>
      <c r="C767" t="s">
        <v>46</v>
      </c>
      <c r="D767">
        <v>46638</v>
      </c>
      <c r="E767" s="2">
        <v>67028025.299999997</v>
      </c>
    </row>
    <row r="768" spans="1:5" ht="15" x14ac:dyDescent="0.2">
      <c r="A768" s="1" t="s">
        <v>97</v>
      </c>
      <c r="B768" t="s">
        <v>42</v>
      </c>
      <c r="C768" t="s">
        <v>46</v>
      </c>
      <c r="D768">
        <v>46638</v>
      </c>
      <c r="E768" s="2">
        <v>4471956.3099999996</v>
      </c>
    </row>
    <row r="769" spans="1:5" ht="15" x14ac:dyDescent="0.2">
      <c r="A769" s="1" t="s">
        <v>88</v>
      </c>
      <c r="B769" t="s">
        <v>27</v>
      </c>
      <c r="C769" t="s">
        <v>46</v>
      </c>
      <c r="D769">
        <v>46638</v>
      </c>
      <c r="E769" s="2">
        <v>4353258.45</v>
      </c>
    </row>
    <row r="770" spans="1:5" ht="15" x14ac:dyDescent="0.2">
      <c r="A770" s="1" t="s">
        <v>85</v>
      </c>
      <c r="B770" t="s">
        <v>24</v>
      </c>
      <c r="C770" t="s">
        <v>46</v>
      </c>
      <c r="D770">
        <v>50240</v>
      </c>
      <c r="E770" s="2">
        <v>1103.3399999999999</v>
      </c>
    </row>
    <row r="771" spans="1:5" ht="15" x14ac:dyDescent="0.2">
      <c r="A771" s="1" t="s">
        <v>84</v>
      </c>
      <c r="B771" t="s">
        <v>16</v>
      </c>
      <c r="C771" t="s">
        <v>46</v>
      </c>
      <c r="D771">
        <v>50240</v>
      </c>
      <c r="E771" s="2">
        <v>6191341.04</v>
      </c>
    </row>
    <row r="772" spans="1:5" ht="15" x14ac:dyDescent="0.2">
      <c r="A772" s="1" t="s">
        <v>96</v>
      </c>
      <c r="B772" t="s">
        <v>44</v>
      </c>
      <c r="C772" t="s">
        <v>46</v>
      </c>
      <c r="D772">
        <v>50240</v>
      </c>
      <c r="E772" s="2">
        <v>4916238.7699999996</v>
      </c>
    </row>
    <row r="773" spans="1:5" ht="15" x14ac:dyDescent="0.2">
      <c r="A773" s="1" t="s">
        <v>99</v>
      </c>
      <c r="B773" t="s">
        <v>35</v>
      </c>
      <c r="C773" t="s">
        <v>46</v>
      </c>
      <c r="D773">
        <v>50240</v>
      </c>
      <c r="E773" s="2">
        <v>14696233.84</v>
      </c>
    </row>
    <row r="774" spans="1:5" ht="15" x14ac:dyDescent="0.2">
      <c r="A774" s="1" t="s">
        <v>102</v>
      </c>
      <c r="B774" t="s">
        <v>36</v>
      </c>
      <c r="C774" t="s">
        <v>46</v>
      </c>
      <c r="D774">
        <v>50240</v>
      </c>
      <c r="E774" s="2">
        <v>2590967.62</v>
      </c>
    </row>
    <row r="775" spans="1:5" ht="15" x14ac:dyDescent="0.2">
      <c r="A775" s="1" t="s">
        <v>105</v>
      </c>
      <c r="B775" t="s">
        <v>41</v>
      </c>
      <c r="C775" t="s">
        <v>46</v>
      </c>
      <c r="D775">
        <v>50240</v>
      </c>
      <c r="E775" s="2">
        <v>4556703.04</v>
      </c>
    </row>
    <row r="776" spans="1:5" ht="15" x14ac:dyDescent="0.2">
      <c r="A776" s="1" t="s">
        <v>67</v>
      </c>
      <c r="B776" t="s">
        <v>5</v>
      </c>
      <c r="C776" t="s">
        <v>46</v>
      </c>
      <c r="D776">
        <v>50695</v>
      </c>
      <c r="E776" s="2">
        <v>-3757861.41</v>
      </c>
    </row>
    <row r="777" spans="1:5" ht="15" x14ac:dyDescent="0.2">
      <c r="A777" s="1" t="s">
        <v>90</v>
      </c>
      <c r="B777" t="s">
        <v>29</v>
      </c>
      <c r="C777" t="s">
        <v>46</v>
      </c>
      <c r="D777">
        <v>50695</v>
      </c>
      <c r="E777" s="2">
        <v>5695.28</v>
      </c>
    </row>
    <row r="778" spans="1:5" ht="15" x14ac:dyDescent="0.2">
      <c r="A778" s="1" t="s">
        <v>92</v>
      </c>
      <c r="B778" t="s">
        <v>31</v>
      </c>
      <c r="C778" t="s">
        <v>46</v>
      </c>
      <c r="D778">
        <v>50695</v>
      </c>
      <c r="E778" s="2">
        <v>5468679.6200000001</v>
      </c>
    </row>
    <row r="779" spans="1:5" ht="15" x14ac:dyDescent="0.2">
      <c r="A779" s="1" t="s">
        <v>84</v>
      </c>
      <c r="B779" t="s">
        <v>16</v>
      </c>
      <c r="C779" t="s">
        <v>46</v>
      </c>
      <c r="D779">
        <v>50695</v>
      </c>
      <c r="E779" s="2">
        <v>436.56</v>
      </c>
    </row>
    <row r="780" spans="1:5" ht="15" x14ac:dyDescent="0.2">
      <c r="A780" s="1" t="s">
        <v>97</v>
      </c>
      <c r="B780" t="s">
        <v>42</v>
      </c>
      <c r="C780" t="s">
        <v>46</v>
      </c>
      <c r="D780">
        <v>50695</v>
      </c>
      <c r="E780" s="2">
        <v>8723733.3699999992</v>
      </c>
    </row>
    <row r="781" spans="1:5" ht="15" x14ac:dyDescent="0.2">
      <c r="A781" s="1" t="s">
        <v>98</v>
      </c>
      <c r="B781" t="s">
        <v>34</v>
      </c>
      <c r="C781" t="s">
        <v>46</v>
      </c>
      <c r="D781">
        <v>50695</v>
      </c>
      <c r="E781" s="2">
        <v>2393.11</v>
      </c>
    </row>
    <row r="782" spans="1:5" ht="15" x14ac:dyDescent="0.2">
      <c r="A782" s="1" t="s">
        <v>82</v>
      </c>
      <c r="B782" t="s">
        <v>15</v>
      </c>
      <c r="C782" t="s">
        <v>46</v>
      </c>
      <c r="D782">
        <v>50695</v>
      </c>
      <c r="E782" s="2">
        <v>8144468.8399999999</v>
      </c>
    </row>
    <row r="783" spans="1:5" ht="15" x14ac:dyDescent="0.2">
      <c r="A783" s="1" t="s">
        <v>90</v>
      </c>
      <c r="B783" t="s">
        <v>29</v>
      </c>
      <c r="C783" t="s">
        <v>46</v>
      </c>
      <c r="D783">
        <v>51198</v>
      </c>
      <c r="E783" s="2">
        <v>13617850.140000001</v>
      </c>
    </row>
    <row r="784" spans="1:5" ht="15" x14ac:dyDescent="0.2">
      <c r="A784" s="1" t="s">
        <v>95</v>
      </c>
      <c r="B784" t="s">
        <v>38</v>
      </c>
      <c r="C784" t="s">
        <v>46</v>
      </c>
      <c r="D784">
        <v>51198</v>
      </c>
      <c r="E784" s="2">
        <v>8831.73</v>
      </c>
    </row>
    <row r="785" spans="1:5" ht="15" x14ac:dyDescent="0.2">
      <c r="A785" s="1" t="s">
        <v>76</v>
      </c>
      <c r="B785" t="s">
        <v>13</v>
      </c>
      <c r="C785" t="s">
        <v>46</v>
      </c>
      <c r="D785">
        <v>51198</v>
      </c>
      <c r="E785" s="2">
        <v>2666423.48</v>
      </c>
    </row>
    <row r="786" spans="1:5" ht="15" x14ac:dyDescent="0.2">
      <c r="A786" s="1" t="s">
        <v>80</v>
      </c>
      <c r="B786" t="s">
        <v>22</v>
      </c>
      <c r="C786" t="s">
        <v>46</v>
      </c>
      <c r="D786">
        <v>51198</v>
      </c>
      <c r="E786" s="2">
        <v>5746559.2400000002</v>
      </c>
    </row>
    <row r="787" spans="1:5" ht="15" x14ac:dyDescent="0.2">
      <c r="A787" s="1" t="s">
        <v>69</v>
      </c>
      <c r="B787" t="s">
        <v>7</v>
      </c>
      <c r="C787" t="s">
        <v>46</v>
      </c>
      <c r="D787">
        <v>51198</v>
      </c>
      <c r="E787" s="2">
        <v>24652340.710000001</v>
      </c>
    </row>
    <row r="788" spans="1:5" ht="15" x14ac:dyDescent="0.2">
      <c r="A788" s="1" t="s">
        <v>71</v>
      </c>
      <c r="B788" t="s">
        <v>9</v>
      </c>
      <c r="C788" t="s">
        <v>46</v>
      </c>
      <c r="D788">
        <v>51198</v>
      </c>
      <c r="E788" s="2">
        <v>15387670.24</v>
      </c>
    </row>
    <row r="789" spans="1:5" ht="15" x14ac:dyDescent="0.2">
      <c r="A789" s="1" t="s">
        <v>82</v>
      </c>
      <c r="B789" t="s">
        <v>15</v>
      </c>
      <c r="C789" t="s">
        <v>46</v>
      </c>
      <c r="D789">
        <v>51198</v>
      </c>
      <c r="E789" s="2">
        <v>7538027.8700000001</v>
      </c>
    </row>
    <row r="790" spans="1:5" ht="15" x14ac:dyDescent="0.2">
      <c r="A790" s="1" t="s">
        <v>92</v>
      </c>
      <c r="B790" t="s">
        <v>31</v>
      </c>
      <c r="C790" t="s">
        <v>46</v>
      </c>
      <c r="D790">
        <v>53027</v>
      </c>
      <c r="E790" s="2">
        <v>164.51</v>
      </c>
    </row>
    <row r="791" spans="1:5" ht="15" x14ac:dyDescent="0.2">
      <c r="A791" s="1" t="s">
        <v>84</v>
      </c>
      <c r="B791" t="s">
        <v>16</v>
      </c>
      <c r="C791" t="s">
        <v>46</v>
      </c>
      <c r="D791">
        <v>53027</v>
      </c>
      <c r="E791" s="2">
        <v>6330657.4500000002</v>
      </c>
    </row>
    <row r="792" spans="1:5" ht="15" x14ac:dyDescent="0.2">
      <c r="A792" s="1" t="s">
        <v>74</v>
      </c>
      <c r="B792" t="s">
        <v>11</v>
      </c>
      <c r="C792" t="s">
        <v>46</v>
      </c>
      <c r="D792">
        <v>53027</v>
      </c>
      <c r="E792" s="2">
        <v>612976.75</v>
      </c>
    </row>
    <row r="793" spans="1:5" ht="15" x14ac:dyDescent="0.2">
      <c r="A793" s="1" t="s">
        <v>102</v>
      </c>
      <c r="B793" t="s">
        <v>36</v>
      </c>
      <c r="C793" t="s">
        <v>46</v>
      </c>
      <c r="D793">
        <v>53027</v>
      </c>
      <c r="E793" s="2">
        <v>799993.81</v>
      </c>
    </row>
    <row r="794" spans="1:5" ht="15" x14ac:dyDescent="0.2">
      <c r="A794" s="1" t="s">
        <v>65</v>
      </c>
      <c r="B794" t="s">
        <v>4</v>
      </c>
      <c r="C794" t="s">
        <v>46</v>
      </c>
      <c r="D794">
        <v>53027</v>
      </c>
      <c r="E794" s="2">
        <v>1618708.66</v>
      </c>
    </row>
    <row r="795" spans="1:5" ht="15" x14ac:dyDescent="0.2">
      <c r="A795" s="1" t="s">
        <v>86</v>
      </c>
      <c r="B795" t="s">
        <v>25</v>
      </c>
      <c r="C795" t="s">
        <v>46</v>
      </c>
      <c r="D795">
        <v>63220</v>
      </c>
      <c r="E795" s="2">
        <v>10812153.58</v>
      </c>
    </row>
    <row r="796" spans="1:5" ht="15" x14ac:dyDescent="0.2">
      <c r="A796" s="1" t="s">
        <v>91</v>
      </c>
      <c r="B796" t="s">
        <v>30</v>
      </c>
      <c r="C796" t="s">
        <v>46</v>
      </c>
      <c r="D796">
        <v>63220</v>
      </c>
      <c r="E796" s="2">
        <v>103221027.3</v>
      </c>
    </row>
    <row r="797" spans="1:5" ht="15" x14ac:dyDescent="0.2">
      <c r="A797" s="1" t="s">
        <v>83</v>
      </c>
      <c r="B797" t="s">
        <v>23</v>
      </c>
      <c r="C797" t="s">
        <v>46</v>
      </c>
      <c r="D797">
        <v>63220</v>
      </c>
      <c r="E797" s="2">
        <v>1321346.83</v>
      </c>
    </row>
    <row r="798" spans="1:5" ht="15" x14ac:dyDescent="0.2">
      <c r="A798" s="1" t="s">
        <v>80</v>
      </c>
      <c r="B798" t="s">
        <v>22</v>
      </c>
      <c r="C798" t="s">
        <v>46</v>
      </c>
      <c r="D798">
        <v>63220</v>
      </c>
      <c r="E798" s="2">
        <v>422.01</v>
      </c>
    </row>
    <row r="799" spans="1:5" ht="15" x14ac:dyDescent="0.2">
      <c r="A799" s="1" t="s">
        <v>88</v>
      </c>
      <c r="B799" t="s">
        <v>27</v>
      </c>
      <c r="C799" t="s">
        <v>46</v>
      </c>
      <c r="D799">
        <v>63220</v>
      </c>
      <c r="E799" s="2">
        <v>6335042.1299999999</v>
      </c>
    </row>
    <row r="800" spans="1:5" ht="15" x14ac:dyDescent="0.2">
      <c r="A800" s="1" t="s">
        <v>101</v>
      </c>
      <c r="B800" t="s">
        <v>39</v>
      </c>
      <c r="C800" t="s">
        <v>46</v>
      </c>
      <c r="D800">
        <v>63220</v>
      </c>
      <c r="E800" s="2">
        <v>0.16</v>
      </c>
    </row>
    <row r="801" spans="1:5" ht="15" x14ac:dyDescent="0.2">
      <c r="A801" s="1" t="s">
        <v>65</v>
      </c>
      <c r="B801" t="s">
        <v>4</v>
      </c>
      <c r="C801" t="s">
        <v>46</v>
      </c>
      <c r="D801">
        <v>63220</v>
      </c>
      <c r="E801" s="2">
        <v>969264.56</v>
      </c>
    </row>
    <row r="802" spans="1:5" ht="15" x14ac:dyDescent="0.2">
      <c r="A802" s="1" t="s">
        <v>104</v>
      </c>
      <c r="B802" t="s">
        <v>40</v>
      </c>
      <c r="C802" t="s">
        <v>46</v>
      </c>
      <c r="D802">
        <v>63220</v>
      </c>
      <c r="E802" s="2">
        <v>29908184.41</v>
      </c>
    </row>
    <row r="803" spans="1:5" ht="15" x14ac:dyDescent="0.2">
      <c r="A803" s="1" t="s">
        <v>93</v>
      </c>
      <c r="B803" t="s">
        <v>32</v>
      </c>
      <c r="C803" t="s">
        <v>46</v>
      </c>
      <c r="D803">
        <v>63405</v>
      </c>
      <c r="E803" s="2">
        <v>43169113.810000002</v>
      </c>
    </row>
    <row r="804" spans="1:5" ht="15" x14ac:dyDescent="0.2">
      <c r="A804" s="1" t="s">
        <v>94</v>
      </c>
      <c r="B804" t="s">
        <v>33</v>
      </c>
      <c r="C804" t="s">
        <v>46</v>
      </c>
      <c r="D804">
        <v>63405</v>
      </c>
      <c r="E804" s="2">
        <v>74040476.310000002</v>
      </c>
    </row>
    <row r="805" spans="1:5" ht="15" x14ac:dyDescent="0.2">
      <c r="A805" s="1" t="s">
        <v>102</v>
      </c>
      <c r="B805" t="s">
        <v>36</v>
      </c>
      <c r="C805" t="s">
        <v>46</v>
      </c>
      <c r="D805">
        <v>63405</v>
      </c>
      <c r="E805" s="2">
        <v>2411324.0299999998</v>
      </c>
    </row>
    <row r="806" spans="1:5" ht="15" x14ac:dyDescent="0.2">
      <c r="A806" s="1" t="s">
        <v>75</v>
      </c>
      <c r="B806" t="s">
        <v>19</v>
      </c>
      <c r="C806" t="s">
        <v>46</v>
      </c>
      <c r="D806">
        <v>63405</v>
      </c>
      <c r="E806" s="2">
        <v>728.16</v>
      </c>
    </row>
    <row r="807" spans="1:5" ht="15" x14ac:dyDescent="0.2">
      <c r="A807" s="1" t="s">
        <v>104</v>
      </c>
      <c r="B807" t="s">
        <v>40</v>
      </c>
      <c r="C807" t="s">
        <v>46</v>
      </c>
      <c r="D807">
        <v>63405</v>
      </c>
      <c r="E807" s="2">
        <v>13966940.130000001</v>
      </c>
    </row>
    <row r="808" spans="1:5" ht="15" x14ac:dyDescent="0.2">
      <c r="A808" s="1" t="s">
        <v>82</v>
      </c>
      <c r="B808" t="s">
        <v>15</v>
      </c>
      <c r="C808" t="s">
        <v>46</v>
      </c>
      <c r="D808">
        <v>63405</v>
      </c>
      <c r="E808" s="2">
        <v>4354826.8099999996</v>
      </c>
    </row>
    <row r="809" spans="1:5" ht="15" x14ac:dyDescent="0.2">
      <c r="A809" s="1" t="s">
        <v>91</v>
      </c>
      <c r="B809" t="s">
        <v>30</v>
      </c>
      <c r="C809" t="s">
        <v>46</v>
      </c>
      <c r="D809">
        <v>64705</v>
      </c>
      <c r="E809" s="2">
        <v>58205148.619999997</v>
      </c>
    </row>
    <row r="810" spans="1:5" ht="15" x14ac:dyDescent="0.2">
      <c r="A810" s="1" t="s">
        <v>96</v>
      </c>
      <c r="B810" t="s">
        <v>44</v>
      </c>
      <c r="C810" t="s">
        <v>46</v>
      </c>
      <c r="D810">
        <v>64705</v>
      </c>
      <c r="E810" s="2">
        <v>6628639.2400000002</v>
      </c>
    </row>
    <row r="811" spans="1:5" ht="15" x14ac:dyDescent="0.2">
      <c r="A811" s="1" t="s">
        <v>68</v>
      </c>
      <c r="B811" t="s">
        <v>6</v>
      </c>
      <c r="C811" t="s">
        <v>46</v>
      </c>
      <c r="D811">
        <v>64705</v>
      </c>
      <c r="E811" s="2">
        <v>5511686.3799999999</v>
      </c>
    </row>
    <row r="812" spans="1:5" ht="15" x14ac:dyDescent="0.2">
      <c r="A812" s="1" t="s">
        <v>92</v>
      </c>
      <c r="B812" t="s">
        <v>31</v>
      </c>
      <c r="C812" t="s">
        <v>46</v>
      </c>
      <c r="D812">
        <v>66919</v>
      </c>
      <c r="E812" s="2">
        <v>40694281.729999997</v>
      </c>
    </row>
    <row r="813" spans="1:5" ht="15" x14ac:dyDescent="0.2">
      <c r="A813" s="1" t="s">
        <v>74</v>
      </c>
      <c r="B813" t="s">
        <v>11</v>
      </c>
      <c r="C813" t="s">
        <v>46</v>
      </c>
      <c r="D813">
        <v>66919</v>
      </c>
      <c r="E813" s="2">
        <v>267369.59999999998</v>
      </c>
    </row>
    <row r="814" spans="1:5" ht="15" x14ac:dyDescent="0.2">
      <c r="A814" s="1" t="s">
        <v>98</v>
      </c>
      <c r="B814" t="s">
        <v>34</v>
      </c>
      <c r="C814" t="s">
        <v>46</v>
      </c>
      <c r="D814">
        <v>66919</v>
      </c>
      <c r="E814" s="2">
        <v>63499302.299999997</v>
      </c>
    </row>
    <row r="815" spans="1:5" ht="15" x14ac:dyDescent="0.2">
      <c r="A815" s="1" t="s">
        <v>82</v>
      </c>
      <c r="B815" t="s">
        <v>15</v>
      </c>
      <c r="C815" t="s">
        <v>46</v>
      </c>
      <c r="D815">
        <v>66919</v>
      </c>
      <c r="E815" s="2">
        <v>1762686.29</v>
      </c>
    </row>
    <row r="816" spans="1:5" ht="15" x14ac:dyDescent="0.2">
      <c r="A816" s="1" t="s">
        <v>67</v>
      </c>
      <c r="B816" t="s">
        <v>5</v>
      </c>
      <c r="C816" t="s">
        <v>46</v>
      </c>
      <c r="D816">
        <v>67103</v>
      </c>
      <c r="E816" s="2">
        <v>-1293274.28</v>
      </c>
    </row>
    <row r="817" spans="1:5" ht="15" x14ac:dyDescent="0.2">
      <c r="A817" s="1" t="s">
        <v>92</v>
      </c>
      <c r="B817" t="s">
        <v>31</v>
      </c>
      <c r="C817" t="s">
        <v>46</v>
      </c>
      <c r="D817">
        <v>67103</v>
      </c>
      <c r="E817" s="2">
        <v>36413303.920000002</v>
      </c>
    </row>
    <row r="818" spans="1:5" ht="15" x14ac:dyDescent="0.2">
      <c r="A818" s="1" t="s">
        <v>76</v>
      </c>
      <c r="B818" t="s">
        <v>13</v>
      </c>
      <c r="C818" t="s">
        <v>46</v>
      </c>
      <c r="D818">
        <v>67103</v>
      </c>
      <c r="E818" s="2">
        <v>935937.02</v>
      </c>
    </row>
    <row r="819" spans="1:5" ht="15" x14ac:dyDescent="0.2">
      <c r="A819" s="1" t="s">
        <v>80</v>
      </c>
      <c r="B819" t="s">
        <v>22</v>
      </c>
      <c r="C819" t="s">
        <v>46</v>
      </c>
      <c r="D819">
        <v>67103</v>
      </c>
      <c r="E819" s="2">
        <v>3150308.95</v>
      </c>
    </row>
    <row r="820" spans="1:5" ht="15" x14ac:dyDescent="0.2">
      <c r="A820" s="1" t="s">
        <v>99</v>
      </c>
      <c r="B820" t="s">
        <v>35</v>
      </c>
      <c r="C820" t="s">
        <v>46</v>
      </c>
      <c r="D820">
        <v>67103</v>
      </c>
      <c r="E820" s="2">
        <v>9818732.5099999998</v>
      </c>
    </row>
    <row r="821" spans="1:5" ht="15" x14ac:dyDescent="0.2">
      <c r="A821" s="1" t="s">
        <v>77</v>
      </c>
      <c r="B821" t="s">
        <v>18</v>
      </c>
      <c r="C821" t="s">
        <v>46</v>
      </c>
      <c r="D821">
        <v>67103</v>
      </c>
      <c r="E821" s="2">
        <v>26275664.07</v>
      </c>
    </row>
    <row r="822" spans="1:5" ht="15" x14ac:dyDescent="0.2">
      <c r="A822" s="1" t="s">
        <v>101</v>
      </c>
      <c r="B822" t="s">
        <v>39</v>
      </c>
      <c r="C822" t="s">
        <v>46</v>
      </c>
      <c r="D822">
        <v>67103</v>
      </c>
      <c r="E822" s="2">
        <v>2522361.58</v>
      </c>
    </row>
    <row r="823" spans="1:5" ht="15" x14ac:dyDescent="0.2">
      <c r="A823" s="1" t="s">
        <v>86</v>
      </c>
      <c r="B823" t="s">
        <v>25</v>
      </c>
      <c r="C823" t="s">
        <v>46</v>
      </c>
      <c r="D823">
        <v>67561</v>
      </c>
      <c r="E823" s="2">
        <v>10894789.66</v>
      </c>
    </row>
    <row r="824" spans="1:5" ht="15" x14ac:dyDescent="0.2">
      <c r="A824" s="1" t="s">
        <v>93</v>
      </c>
      <c r="B824" t="s">
        <v>32</v>
      </c>
      <c r="C824" t="s">
        <v>46</v>
      </c>
      <c r="D824">
        <v>67561</v>
      </c>
      <c r="E824" s="2">
        <v>96723989.859999999</v>
      </c>
    </row>
    <row r="825" spans="1:5" ht="15" x14ac:dyDescent="0.2">
      <c r="A825" s="1" t="s">
        <v>85</v>
      </c>
      <c r="B825" t="s">
        <v>24</v>
      </c>
      <c r="C825" t="s">
        <v>46</v>
      </c>
      <c r="D825">
        <v>67561</v>
      </c>
      <c r="E825" s="2">
        <v>22200211.300000001</v>
      </c>
    </row>
    <row r="826" spans="1:5" ht="15" x14ac:dyDescent="0.2">
      <c r="A826" s="1" t="s">
        <v>95</v>
      </c>
      <c r="B826" t="s">
        <v>38</v>
      </c>
      <c r="C826" t="s">
        <v>46</v>
      </c>
      <c r="D826">
        <v>67561</v>
      </c>
      <c r="E826" s="2">
        <v>196689416.18000001</v>
      </c>
    </row>
    <row r="827" spans="1:5" ht="15" x14ac:dyDescent="0.2">
      <c r="A827" s="1" t="s">
        <v>76</v>
      </c>
      <c r="B827" t="s">
        <v>13</v>
      </c>
      <c r="C827" t="s">
        <v>46</v>
      </c>
      <c r="D827">
        <v>67561</v>
      </c>
      <c r="E827" s="2">
        <v>1457813.24</v>
      </c>
    </row>
    <row r="828" spans="1:5" ht="15" x14ac:dyDescent="0.2">
      <c r="A828" s="1" t="s">
        <v>100</v>
      </c>
      <c r="B828" t="s">
        <v>43</v>
      </c>
      <c r="C828" t="s">
        <v>46</v>
      </c>
      <c r="D828">
        <v>67561</v>
      </c>
      <c r="E828" s="2">
        <v>4368614.78</v>
      </c>
    </row>
    <row r="829" spans="1:5" ht="15" x14ac:dyDescent="0.2">
      <c r="A829" s="1" t="s">
        <v>78</v>
      </c>
      <c r="B829" t="s">
        <v>20</v>
      </c>
      <c r="C829" t="s">
        <v>46</v>
      </c>
      <c r="D829">
        <v>67561</v>
      </c>
      <c r="E829" s="2">
        <v>1809612.13</v>
      </c>
    </row>
    <row r="830" spans="1:5" ht="15" x14ac:dyDescent="0.2">
      <c r="A830" s="1" t="s">
        <v>65</v>
      </c>
      <c r="B830" t="s">
        <v>4</v>
      </c>
      <c r="C830" t="s">
        <v>46</v>
      </c>
      <c r="D830">
        <v>67561</v>
      </c>
      <c r="E830" s="2">
        <v>3802243</v>
      </c>
    </row>
    <row r="831" spans="1:5" ht="15" x14ac:dyDescent="0.2">
      <c r="A831" s="1" t="s">
        <v>71</v>
      </c>
      <c r="B831" t="s">
        <v>9</v>
      </c>
      <c r="C831" t="s">
        <v>46</v>
      </c>
      <c r="D831">
        <v>67561</v>
      </c>
      <c r="E831" s="2">
        <v>28515806.109999999</v>
      </c>
    </row>
    <row r="832" spans="1:5" ht="15" x14ac:dyDescent="0.2">
      <c r="A832" s="1" t="s">
        <v>85</v>
      </c>
      <c r="B832" t="s">
        <v>24</v>
      </c>
      <c r="C832" t="s">
        <v>46</v>
      </c>
      <c r="D832">
        <v>72187</v>
      </c>
      <c r="E832" s="2">
        <v>11668104.220000001</v>
      </c>
    </row>
    <row r="833" spans="1:5" ht="15" x14ac:dyDescent="0.2">
      <c r="A833" s="1" t="s">
        <v>97</v>
      </c>
      <c r="B833" t="s">
        <v>42</v>
      </c>
      <c r="C833" t="s">
        <v>46</v>
      </c>
      <c r="D833">
        <v>72187</v>
      </c>
      <c r="E833" s="2">
        <v>1780193.95</v>
      </c>
    </row>
    <row r="834" spans="1:5" ht="15" x14ac:dyDescent="0.2">
      <c r="A834" s="1" t="s">
        <v>81</v>
      </c>
      <c r="B834" t="s">
        <v>14</v>
      </c>
      <c r="C834" t="s">
        <v>46</v>
      </c>
      <c r="D834">
        <v>72187</v>
      </c>
      <c r="E834" s="2">
        <v>12768825.1</v>
      </c>
    </row>
    <row r="835" spans="1:5" ht="15" x14ac:dyDescent="0.2">
      <c r="A835" s="1" t="s">
        <v>101</v>
      </c>
      <c r="B835" t="s">
        <v>39</v>
      </c>
      <c r="C835" t="s">
        <v>46</v>
      </c>
      <c r="D835">
        <v>72187</v>
      </c>
      <c r="E835" s="2">
        <v>5963094.4900000002</v>
      </c>
    </row>
    <row r="836" spans="1:5" ht="15" x14ac:dyDescent="0.2">
      <c r="A836" s="1" t="s">
        <v>105</v>
      </c>
      <c r="B836" t="s">
        <v>41</v>
      </c>
      <c r="C836" t="s">
        <v>46</v>
      </c>
      <c r="D836">
        <v>72187</v>
      </c>
      <c r="E836" s="2">
        <v>7791901.7599999998</v>
      </c>
    </row>
    <row r="837" spans="1:5" ht="15" x14ac:dyDescent="0.2">
      <c r="A837" s="1" t="s">
        <v>82</v>
      </c>
      <c r="B837" t="s">
        <v>15</v>
      </c>
      <c r="C837" t="s">
        <v>46</v>
      </c>
      <c r="D837">
        <v>72187</v>
      </c>
      <c r="E837" s="2">
        <v>5047538.01</v>
      </c>
    </row>
    <row r="838" spans="1:5" ht="15" x14ac:dyDescent="0.2">
      <c r="A838" s="1" t="s">
        <v>78</v>
      </c>
      <c r="B838" t="s">
        <v>20</v>
      </c>
      <c r="C838" t="s">
        <v>46</v>
      </c>
      <c r="D838">
        <v>74713</v>
      </c>
      <c r="E838" s="2">
        <v>896614.7</v>
      </c>
    </row>
    <row r="839" spans="1:5" ht="15" x14ac:dyDescent="0.2">
      <c r="A839" s="1" t="s">
        <v>102</v>
      </c>
      <c r="B839" t="s">
        <v>36</v>
      </c>
      <c r="C839" t="s">
        <v>46</v>
      </c>
      <c r="D839">
        <v>74713</v>
      </c>
      <c r="E839" s="2">
        <v>1122217.6399999999</v>
      </c>
    </row>
    <row r="840" spans="1:5" ht="15" x14ac:dyDescent="0.2">
      <c r="A840" s="1" t="s">
        <v>73</v>
      </c>
      <c r="B840" t="s">
        <v>17</v>
      </c>
      <c r="C840" t="s">
        <v>46</v>
      </c>
      <c r="D840">
        <v>74713</v>
      </c>
      <c r="E840" s="2">
        <v>2023988.96</v>
      </c>
    </row>
    <row r="841" spans="1:5" ht="15" x14ac:dyDescent="0.2">
      <c r="A841" s="1" t="s">
        <v>71</v>
      </c>
      <c r="B841" t="s">
        <v>9</v>
      </c>
      <c r="C841" t="s">
        <v>46</v>
      </c>
      <c r="D841">
        <v>74713</v>
      </c>
      <c r="E841" s="2">
        <v>611.76</v>
      </c>
    </row>
    <row r="842" spans="1:5" ht="15" x14ac:dyDescent="0.2">
      <c r="A842" s="1" t="s">
        <v>86</v>
      </c>
      <c r="B842" t="s">
        <v>25</v>
      </c>
      <c r="C842" t="s">
        <v>46</v>
      </c>
      <c r="D842">
        <v>75257</v>
      </c>
      <c r="E842" s="2">
        <v>2488163.52</v>
      </c>
    </row>
    <row r="843" spans="1:5" ht="15" x14ac:dyDescent="0.2">
      <c r="A843" s="1" t="s">
        <v>85</v>
      </c>
      <c r="B843" t="s">
        <v>24</v>
      </c>
      <c r="C843" t="s">
        <v>46</v>
      </c>
      <c r="D843">
        <v>75257</v>
      </c>
      <c r="E843" s="2">
        <v>17546499.050000001</v>
      </c>
    </row>
    <row r="844" spans="1:5" ht="15" x14ac:dyDescent="0.2">
      <c r="A844" s="1" t="s">
        <v>75</v>
      </c>
      <c r="B844" t="s">
        <v>12</v>
      </c>
      <c r="C844" t="s">
        <v>46</v>
      </c>
      <c r="D844">
        <v>75257</v>
      </c>
      <c r="E844" s="2">
        <v>6475818.2300000004</v>
      </c>
    </row>
    <row r="845" spans="1:5" ht="15" x14ac:dyDescent="0.2">
      <c r="A845" s="1" t="s">
        <v>100</v>
      </c>
      <c r="B845" t="s">
        <v>43</v>
      </c>
      <c r="C845" t="s">
        <v>46</v>
      </c>
      <c r="D845">
        <v>75257</v>
      </c>
      <c r="E845" s="2">
        <v>1.4</v>
      </c>
    </row>
    <row r="846" spans="1:5" ht="15" x14ac:dyDescent="0.2">
      <c r="A846" s="1" t="s">
        <v>73</v>
      </c>
      <c r="B846" t="s">
        <v>17</v>
      </c>
      <c r="C846" t="s">
        <v>46</v>
      </c>
      <c r="D846">
        <v>75257</v>
      </c>
      <c r="E846" s="2">
        <v>1910182.03</v>
      </c>
    </row>
    <row r="847" spans="1:5" ht="15" x14ac:dyDescent="0.2">
      <c r="A847" s="1" t="s">
        <v>65</v>
      </c>
      <c r="B847" t="s">
        <v>4</v>
      </c>
      <c r="C847" t="s">
        <v>46</v>
      </c>
      <c r="D847">
        <v>75257</v>
      </c>
      <c r="E847" s="2">
        <v>8803.09</v>
      </c>
    </row>
    <row r="848" spans="1:5" ht="15" x14ac:dyDescent="0.2">
      <c r="A848" s="1" t="s">
        <v>105</v>
      </c>
      <c r="B848" t="s">
        <v>41</v>
      </c>
      <c r="C848" t="s">
        <v>46</v>
      </c>
      <c r="D848">
        <v>75257</v>
      </c>
      <c r="E848" s="2">
        <v>6285241.2400000002</v>
      </c>
    </row>
    <row r="849" spans="1:5" ht="15" x14ac:dyDescent="0.2">
      <c r="A849" s="1" t="s">
        <v>85</v>
      </c>
      <c r="B849" t="s">
        <v>24</v>
      </c>
      <c r="C849" t="s">
        <v>46</v>
      </c>
      <c r="D849">
        <v>75327</v>
      </c>
      <c r="E849" s="2">
        <v>12659209.640000001</v>
      </c>
    </row>
    <row r="850" spans="1:5" ht="15" x14ac:dyDescent="0.2">
      <c r="A850" s="1" t="s">
        <v>95</v>
      </c>
      <c r="B850" t="s">
        <v>38</v>
      </c>
      <c r="C850" t="s">
        <v>46</v>
      </c>
      <c r="D850">
        <v>75327</v>
      </c>
      <c r="E850" s="2">
        <v>68980405.719999999</v>
      </c>
    </row>
    <row r="851" spans="1:5" ht="15" x14ac:dyDescent="0.2">
      <c r="A851" s="1" t="s">
        <v>81</v>
      </c>
      <c r="B851" t="s">
        <v>14</v>
      </c>
      <c r="C851" t="s">
        <v>46</v>
      </c>
      <c r="D851">
        <v>75327</v>
      </c>
      <c r="E851" s="2">
        <v>10120089.289999999</v>
      </c>
    </row>
    <row r="852" spans="1:5" ht="15" x14ac:dyDescent="0.2">
      <c r="A852" s="1" t="s">
        <v>76</v>
      </c>
      <c r="B852" t="s">
        <v>13</v>
      </c>
      <c r="C852" t="s">
        <v>46</v>
      </c>
      <c r="D852">
        <v>75884</v>
      </c>
      <c r="E852" s="2">
        <v>2463234.86</v>
      </c>
    </row>
    <row r="853" spans="1:5" ht="15" x14ac:dyDescent="0.2">
      <c r="A853" s="1" t="s">
        <v>74</v>
      </c>
      <c r="B853" t="s">
        <v>11</v>
      </c>
      <c r="C853" t="s">
        <v>46</v>
      </c>
      <c r="D853">
        <v>75884</v>
      </c>
      <c r="E853" s="2">
        <v>1532792.78</v>
      </c>
    </row>
    <row r="854" spans="1:5" ht="15" x14ac:dyDescent="0.2">
      <c r="A854" s="1" t="s">
        <v>78</v>
      </c>
      <c r="B854" t="s">
        <v>20</v>
      </c>
      <c r="C854" t="s">
        <v>46</v>
      </c>
      <c r="D854">
        <v>75884</v>
      </c>
      <c r="E854" s="2">
        <v>2110695.52</v>
      </c>
    </row>
    <row r="855" spans="1:5" ht="15" x14ac:dyDescent="0.2">
      <c r="A855" s="1" t="s">
        <v>75</v>
      </c>
      <c r="B855" t="s">
        <v>19</v>
      </c>
      <c r="C855" t="s">
        <v>46</v>
      </c>
      <c r="D855">
        <v>75884</v>
      </c>
      <c r="E855" s="2">
        <v>17882334.739999998</v>
      </c>
    </row>
    <row r="856" spans="1:5" ht="15" x14ac:dyDescent="0.2">
      <c r="A856" s="1" t="s">
        <v>65</v>
      </c>
      <c r="B856" t="s">
        <v>4</v>
      </c>
      <c r="C856" t="s">
        <v>46</v>
      </c>
      <c r="D856">
        <v>75884</v>
      </c>
      <c r="E856" s="2">
        <v>1242818.49</v>
      </c>
    </row>
    <row r="857" spans="1:5" ht="15" x14ac:dyDescent="0.2">
      <c r="A857" s="1" t="s">
        <v>104</v>
      </c>
      <c r="B857" t="s">
        <v>40</v>
      </c>
      <c r="C857" t="s">
        <v>46</v>
      </c>
      <c r="D857">
        <v>75884</v>
      </c>
      <c r="E857" s="2">
        <v>31233864.129999999</v>
      </c>
    </row>
    <row r="858" spans="1:5" ht="15" x14ac:dyDescent="0.2">
      <c r="A858" s="1" t="s">
        <v>67</v>
      </c>
      <c r="B858" t="s">
        <v>5</v>
      </c>
      <c r="C858" t="s">
        <v>46</v>
      </c>
      <c r="D858">
        <v>80154</v>
      </c>
      <c r="E858" s="2">
        <v>-1128541.24</v>
      </c>
    </row>
    <row r="859" spans="1:5" ht="15" x14ac:dyDescent="0.2">
      <c r="A859" s="1" t="s">
        <v>81</v>
      </c>
      <c r="B859" t="s">
        <v>14</v>
      </c>
      <c r="C859" t="s">
        <v>46</v>
      </c>
      <c r="D859">
        <v>80154</v>
      </c>
      <c r="E859" s="2">
        <v>12017193.109999999</v>
      </c>
    </row>
    <row r="860" spans="1:5" ht="15" x14ac:dyDescent="0.2">
      <c r="A860" s="1" t="s">
        <v>90</v>
      </c>
      <c r="B860" t="s">
        <v>29</v>
      </c>
      <c r="C860" t="s">
        <v>46</v>
      </c>
      <c r="D860">
        <v>82602</v>
      </c>
      <c r="E860" s="2">
        <v>9721617.0199999996</v>
      </c>
    </row>
    <row r="861" spans="1:5" ht="15" x14ac:dyDescent="0.2">
      <c r="A861" s="1" t="s">
        <v>91</v>
      </c>
      <c r="B861" t="s">
        <v>30</v>
      </c>
      <c r="C861" t="s">
        <v>46</v>
      </c>
      <c r="D861">
        <v>82602</v>
      </c>
      <c r="E861" s="2">
        <v>36215409.170000002</v>
      </c>
    </row>
    <row r="862" spans="1:5" ht="15" x14ac:dyDescent="0.2">
      <c r="A862" s="1" t="s">
        <v>83</v>
      </c>
      <c r="B862" t="s">
        <v>23</v>
      </c>
      <c r="C862" t="s">
        <v>46</v>
      </c>
      <c r="D862">
        <v>82602</v>
      </c>
      <c r="E862" s="2">
        <v>6639249.3799999999</v>
      </c>
    </row>
    <row r="863" spans="1:5" ht="15" x14ac:dyDescent="0.2">
      <c r="A863" s="1" t="s">
        <v>80</v>
      </c>
      <c r="B863" t="s">
        <v>22</v>
      </c>
      <c r="C863" t="s">
        <v>46</v>
      </c>
      <c r="D863">
        <v>82602</v>
      </c>
      <c r="E863" s="2">
        <v>1978460.4</v>
      </c>
    </row>
    <row r="864" spans="1:5" ht="15" x14ac:dyDescent="0.2">
      <c r="A864" s="1" t="s">
        <v>70</v>
      </c>
      <c r="B864" t="s">
        <v>8</v>
      </c>
      <c r="C864" t="s">
        <v>46</v>
      </c>
      <c r="D864">
        <v>82602</v>
      </c>
      <c r="E864" s="2">
        <v>91315215.819999993</v>
      </c>
    </row>
    <row r="865" spans="1:5" ht="15" x14ac:dyDescent="0.2">
      <c r="A865" s="1" t="s">
        <v>71</v>
      </c>
      <c r="B865" t="s">
        <v>9</v>
      </c>
      <c r="C865" t="s">
        <v>46</v>
      </c>
      <c r="D865">
        <v>82602</v>
      </c>
      <c r="E865" s="2">
        <v>15701366.51</v>
      </c>
    </row>
    <row r="866" spans="1:5" ht="15" x14ac:dyDescent="0.2">
      <c r="A866" s="1" t="s">
        <v>92</v>
      </c>
      <c r="B866" t="s">
        <v>31</v>
      </c>
      <c r="C866" t="s">
        <v>46</v>
      </c>
      <c r="D866">
        <v>86095</v>
      </c>
      <c r="E866" s="2">
        <v>9290077.5199999996</v>
      </c>
    </row>
    <row r="867" spans="1:5" ht="15" x14ac:dyDescent="0.2">
      <c r="A867" s="1" t="s">
        <v>81</v>
      </c>
      <c r="B867" t="s">
        <v>14</v>
      </c>
      <c r="C867" t="s">
        <v>46</v>
      </c>
      <c r="D867">
        <v>86095</v>
      </c>
      <c r="E867" s="2">
        <v>1094784.81</v>
      </c>
    </row>
    <row r="868" spans="1:5" ht="15" x14ac:dyDescent="0.2">
      <c r="A868" s="1" t="s">
        <v>88</v>
      </c>
      <c r="B868" t="s">
        <v>27</v>
      </c>
      <c r="C868" t="s">
        <v>46</v>
      </c>
      <c r="D868">
        <v>86095</v>
      </c>
      <c r="E868" s="2">
        <v>4424669.91</v>
      </c>
    </row>
    <row r="869" spans="1:5" ht="15" x14ac:dyDescent="0.2">
      <c r="A869" s="1" t="s">
        <v>102</v>
      </c>
      <c r="B869" t="s">
        <v>36</v>
      </c>
      <c r="C869" t="s">
        <v>46</v>
      </c>
      <c r="D869">
        <v>86095</v>
      </c>
      <c r="E869" s="2">
        <v>772146.66</v>
      </c>
    </row>
    <row r="870" spans="1:5" ht="15" x14ac:dyDescent="0.2">
      <c r="A870" s="1" t="s">
        <v>104</v>
      </c>
      <c r="B870" t="s">
        <v>40</v>
      </c>
      <c r="C870" t="s">
        <v>46</v>
      </c>
      <c r="D870">
        <v>86095</v>
      </c>
      <c r="E870" s="2">
        <v>5018.8100000000004</v>
      </c>
    </row>
    <row r="871" spans="1:5" ht="15" x14ac:dyDescent="0.2">
      <c r="A871" s="1" t="s">
        <v>69</v>
      </c>
      <c r="B871" t="s">
        <v>7</v>
      </c>
      <c r="C871" t="s">
        <v>46</v>
      </c>
      <c r="D871">
        <v>86095</v>
      </c>
      <c r="E871" s="2">
        <v>28730880.760000002</v>
      </c>
    </row>
    <row r="872" spans="1:5" ht="15" x14ac:dyDescent="0.2">
      <c r="A872" s="1" t="s">
        <v>82</v>
      </c>
      <c r="B872" t="s">
        <v>15</v>
      </c>
      <c r="C872" t="s">
        <v>46</v>
      </c>
      <c r="D872">
        <v>86095</v>
      </c>
      <c r="E872" s="2">
        <v>6435134.6900000004</v>
      </c>
    </row>
    <row r="873" spans="1:5" ht="15" x14ac:dyDescent="0.2">
      <c r="A873" s="1" t="s">
        <v>74</v>
      </c>
      <c r="B873" t="s">
        <v>11</v>
      </c>
      <c r="C873" t="s">
        <v>46</v>
      </c>
      <c r="D873">
        <v>88179</v>
      </c>
      <c r="E873" s="2">
        <v>253325.44</v>
      </c>
    </row>
    <row r="874" spans="1:5" ht="15" x14ac:dyDescent="0.2">
      <c r="A874" s="1" t="s">
        <v>96</v>
      </c>
      <c r="B874" t="s">
        <v>44</v>
      </c>
      <c r="C874" t="s">
        <v>46</v>
      </c>
      <c r="D874">
        <v>88179</v>
      </c>
      <c r="E874" s="2">
        <v>3494525.78</v>
      </c>
    </row>
    <row r="875" spans="1:5" ht="15" x14ac:dyDescent="0.2">
      <c r="A875" s="1" t="s">
        <v>78</v>
      </c>
      <c r="B875" t="s">
        <v>20</v>
      </c>
      <c r="C875" t="s">
        <v>46</v>
      </c>
      <c r="D875">
        <v>88179</v>
      </c>
      <c r="E875" s="2">
        <v>1232324.32</v>
      </c>
    </row>
    <row r="876" spans="1:5" ht="15" x14ac:dyDescent="0.2">
      <c r="A876" s="1" t="s">
        <v>88</v>
      </c>
      <c r="B876" t="s">
        <v>27</v>
      </c>
      <c r="C876" t="s">
        <v>46</v>
      </c>
      <c r="D876">
        <v>88179</v>
      </c>
      <c r="E876" s="2">
        <v>2845045.65</v>
      </c>
    </row>
    <row r="877" spans="1:5" ht="15" x14ac:dyDescent="0.2">
      <c r="A877" s="1" t="s">
        <v>92</v>
      </c>
      <c r="B877" t="s">
        <v>31</v>
      </c>
      <c r="C877" t="s">
        <v>51</v>
      </c>
      <c r="D877">
        <v>24905</v>
      </c>
      <c r="E877" s="2">
        <v>25371988.120000001</v>
      </c>
    </row>
    <row r="878" spans="1:5" ht="15" x14ac:dyDescent="0.2">
      <c r="A878" s="1" t="s">
        <v>94</v>
      </c>
      <c r="B878" t="s">
        <v>33</v>
      </c>
      <c r="C878" t="s">
        <v>51</v>
      </c>
      <c r="D878">
        <v>24905</v>
      </c>
      <c r="E878" s="2">
        <v>22235239.780000001</v>
      </c>
    </row>
    <row r="879" spans="1:5" ht="15" x14ac:dyDescent="0.2">
      <c r="A879" s="1" t="s">
        <v>64</v>
      </c>
      <c r="B879" t="s">
        <v>3</v>
      </c>
      <c r="C879" t="s">
        <v>51</v>
      </c>
      <c r="D879">
        <v>24905</v>
      </c>
      <c r="E879" s="2">
        <v>29975181.829999998</v>
      </c>
    </row>
    <row r="880" spans="1:5" ht="15" x14ac:dyDescent="0.2">
      <c r="A880" s="1" t="s">
        <v>95</v>
      </c>
      <c r="B880" t="s">
        <v>38</v>
      </c>
      <c r="C880" t="s">
        <v>51</v>
      </c>
      <c r="D880">
        <v>24905</v>
      </c>
      <c r="E880" s="2">
        <v>167115356.22999999</v>
      </c>
    </row>
    <row r="881" spans="1:5" ht="15" x14ac:dyDescent="0.2">
      <c r="A881" s="1" t="s">
        <v>77</v>
      </c>
      <c r="B881" t="s">
        <v>18</v>
      </c>
      <c r="C881" t="s">
        <v>51</v>
      </c>
      <c r="D881">
        <v>24905</v>
      </c>
      <c r="E881" s="2">
        <v>20289180.629999999</v>
      </c>
    </row>
    <row r="882" spans="1:5" ht="15" x14ac:dyDescent="0.2">
      <c r="A882" s="1" t="s">
        <v>87</v>
      </c>
      <c r="B882" t="s">
        <v>26</v>
      </c>
      <c r="C882" t="s">
        <v>51</v>
      </c>
      <c r="D882">
        <v>24905</v>
      </c>
      <c r="E882" s="2">
        <v>8423253.4299999997</v>
      </c>
    </row>
    <row r="883" spans="1:5" ht="15" x14ac:dyDescent="0.2">
      <c r="A883" s="1" t="s">
        <v>103</v>
      </c>
      <c r="B883" t="s">
        <v>37</v>
      </c>
      <c r="C883" t="s">
        <v>51</v>
      </c>
      <c r="D883">
        <v>24905</v>
      </c>
      <c r="E883" s="2">
        <v>4594556.6100000003</v>
      </c>
    </row>
    <row r="884" spans="1:5" ht="15" x14ac:dyDescent="0.2">
      <c r="A884" s="1" t="s">
        <v>70</v>
      </c>
      <c r="B884" t="s">
        <v>8</v>
      </c>
      <c r="C884" t="s">
        <v>51</v>
      </c>
      <c r="D884">
        <v>24905</v>
      </c>
      <c r="E884" s="2">
        <v>66162565.969999999</v>
      </c>
    </row>
    <row r="885" spans="1:5" ht="15" x14ac:dyDescent="0.2">
      <c r="A885" s="1" t="s">
        <v>67</v>
      </c>
      <c r="B885" t="s">
        <v>5</v>
      </c>
      <c r="C885" t="s">
        <v>51</v>
      </c>
      <c r="D885">
        <v>26271</v>
      </c>
      <c r="E885" s="2">
        <v>-1029764.77</v>
      </c>
    </row>
    <row r="886" spans="1:5" ht="15" x14ac:dyDescent="0.2">
      <c r="A886" s="1" t="s">
        <v>79</v>
      </c>
      <c r="B886" t="s">
        <v>21</v>
      </c>
      <c r="C886" t="s">
        <v>51</v>
      </c>
      <c r="D886">
        <v>26271</v>
      </c>
      <c r="E886" s="2">
        <v>8659.77</v>
      </c>
    </row>
    <row r="887" spans="1:5" ht="15" x14ac:dyDescent="0.2">
      <c r="A887" s="1" t="s">
        <v>85</v>
      </c>
      <c r="B887" t="s">
        <v>24</v>
      </c>
      <c r="C887" t="s">
        <v>51</v>
      </c>
      <c r="D887">
        <v>26271</v>
      </c>
      <c r="E887" s="2">
        <v>11176614.68</v>
      </c>
    </row>
    <row r="888" spans="1:5" ht="15" x14ac:dyDescent="0.2">
      <c r="A888" s="1" t="s">
        <v>76</v>
      </c>
      <c r="B888" t="s">
        <v>13</v>
      </c>
      <c r="C888" t="s">
        <v>51</v>
      </c>
      <c r="D888">
        <v>26271</v>
      </c>
      <c r="E888" s="2">
        <v>0.54</v>
      </c>
    </row>
    <row r="889" spans="1:5" ht="15" x14ac:dyDescent="0.2">
      <c r="A889" s="1" t="s">
        <v>96</v>
      </c>
      <c r="B889" t="s">
        <v>44</v>
      </c>
      <c r="C889" t="s">
        <v>51</v>
      </c>
      <c r="D889">
        <v>26271</v>
      </c>
      <c r="E889" s="2">
        <v>1048086.23</v>
      </c>
    </row>
    <row r="890" spans="1:5" ht="15" x14ac:dyDescent="0.2">
      <c r="A890" s="1" t="s">
        <v>98</v>
      </c>
      <c r="B890" t="s">
        <v>34</v>
      </c>
      <c r="C890" t="s">
        <v>51</v>
      </c>
      <c r="D890">
        <v>26271</v>
      </c>
      <c r="E890" s="2">
        <v>37396053.460000001</v>
      </c>
    </row>
    <row r="891" spans="1:5" ht="15" x14ac:dyDescent="0.2">
      <c r="A891" s="1" t="s">
        <v>78</v>
      </c>
      <c r="B891" t="s">
        <v>20</v>
      </c>
      <c r="C891" t="s">
        <v>51</v>
      </c>
      <c r="D891">
        <v>26271</v>
      </c>
      <c r="E891" s="2">
        <v>849589.93</v>
      </c>
    </row>
    <row r="892" spans="1:5" ht="15" x14ac:dyDescent="0.2">
      <c r="A892" s="1" t="s">
        <v>86</v>
      </c>
      <c r="B892" t="s">
        <v>25</v>
      </c>
      <c r="C892" t="s">
        <v>51</v>
      </c>
      <c r="D892">
        <v>28350</v>
      </c>
      <c r="E892" s="2">
        <v>15996837.939999999</v>
      </c>
    </row>
    <row r="893" spans="1:5" ht="15" x14ac:dyDescent="0.2">
      <c r="A893" s="1" t="s">
        <v>67</v>
      </c>
      <c r="B893" t="s">
        <v>5</v>
      </c>
      <c r="C893" t="s">
        <v>51</v>
      </c>
      <c r="D893">
        <v>32784</v>
      </c>
      <c r="E893" s="2">
        <v>778.98</v>
      </c>
    </row>
    <row r="894" spans="1:5" ht="15" x14ac:dyDescent="0.2">
      <c r="A894" s="1" t="s">
        <v>64</v>
      </c>
      <c r="B894" t="s">
        <v>3</v>
      </c>
      <c r="C894" t="s">
        <v>51</v>
      </c>
      <c r="D894">
        <v>32784</v>
      </c>
      <c r="E894" s="2">
        <v>13003675.939999999</v>
      </c>
    </row>
    <row r="895" spans="1:5" ht="15" x14ac:dyDescent="0.2">
      <c r="A895" s="1" t="s">
        <v>72</v>
      </c>
      <c r="B895" t="s">
        <v>10</v>
      </c>
      <c r="C895" t="s">
        <v>51</v>
      </c>
      <c r="D895">
        <v>32784</v>
      </c>
      <c r="E895" s="2">
        <v>8256173.5300000003</v>
      </c>
    </row>
    <row r="896" spans="1:5" ht="15" x14ac:dyDescent="0.2">
      <c r="A896" s="1" t="s">
        <v>98</v>
      </c>
      <c r="B896" t="s">
        <v>34</v>
      </c>
      <c r="C896" t="s">
        <v>51</v>
      </c>
      <c r="D896">
        <v>32784</v>
      </c>
      <c r="E896" s="2">
        <v>963.2</v>
      </c>
    </row>
    <row r="897" spans="1:5" ht="15" x14ac:dyDescent="0.2">
      <c r="A897" s="1" t="s">
        <v>75</v>
      </c>
      <c r="B897" t="s">
        <v>19</v>
      </c>
      <c r="C897" t="s">
        <v>51</v>
      </c>
      <c r="D897">
        <v>32784</v>
      </c>
      <c r="E897" s="2">
        <v>3394126.54</v>
      </c>
    </row>
    <row r="898" spans="1:5" ht="15" x14ac:dyDescent="0.2">
      <c r="A898" s="1" t="s">
        <v>89</v>
      </c>
      <c r="B898" t="s">
        <v>28</v>
      </c>
      <c r="C898" t="s">
        <v>51</v>
      </c>
      <c r="D898">
        <v>34613</v>
      </c>
      <c r="E898" s="2">
        <v>1905084.85</v>
      </c>
    </row>
    <row r="899" spans="1:5" ht="15" x14ac:dyDescent="0.2">
      <c r="A899" s="1" t="s">
        <v>92</v>
      </c>
      <c r="B899" t="s">
        <v>31</v>
      </c>
      <c r="C899" t="s">
        <v>51</v>
      </c>
      <c r="D899">
        <v>34613</v>
      </c>
      <c r="E899" s="2">
        <v>43145300.640000001</v>
      </c>
    </row>
    <row r="900" spans="1:5" ht="15" x14ac:dyDescent="0.2">
      <c r="A900" s="1" t="s">
        <v>85</v>
      </c>
      <c r="B900" t="s">
        <v>24</v>
      </c>
      <c r="C900" t="s">
        <v>51</v>
      </c>
      <c r="D900">
        <v>34613</v>
      </c>
      <c r="E900" s="2">
        <v>10314.5</v>
      </c>
    </row>
    <row r="901" spans="1:5" ht="15" x14ac:dyDescent="0.2">
      <c r="A901" s="1" t="s">
        <v>76</v>
      </c>
      <c r="B901" t="s">
        <v>13</v>
      </c>
      <c r="C901" t="s">
        <v>51</v>
      </c>
      <c r="D901">
        <v>34613</v>
      </c>
      <c r="E901" s="2">
        <v>16441689.09</v>
      </c>
    </row>
    <row r="902" spans="1:5" ht="15" x14ac:dyDescent="0.2">
      <c r="A902" s="1" t="s">
        <v>72</v>
      </c>
      <c r="B902" t="s">
        <v>10</v>
      </c>
      <c r="C902" t="s">
        <v>51</v>
      </c>
      <c r="D902">
        <v>34613</v>
      </c>
      <c r="E902" s="2">
        <v>3186913.78</v>
      </c>
    </row>
    <row r="903" spans="1:5" ht="15" x14ac:dyDescent="0.2">
      <c r="A903" s="1" t="s">
        <v>96</v>
      </c>
      <c r="B903" t="s">
        <v>44</v>
      </c>
      <c r="C903" t="s">
        <v>51</v>
      </c>
      <c r="D903">
        <v>34613</v>
      </c>
      <c r="E903" s="2">
        <v>875460.66</v>
      </c>
    </row>
    <row r="904" spans="1:5" ht="15" x14ac:dyDescent="0.2">
      <c r="A904" s="1" t="s">
        <v>99</v>
      </c>
      <c r="B904" t="s">
        <v>35</v>
      </c>
      <c r="C904" t="s">
        <v>51</v>
      </c>
      <c r="D904">
        <v>34613</v>
      </c>
      <c r="E904" s="2">
        <v>5660842.6200000001</v>
      </c>
    </row>
    <row r="905" spans="1:5" ht="15" x14ac:dyDescent="0.2">
      <c r="A905" s="1" t="s">
        <v>73</v>
      </c>
      <c r="B905" t="s">
        <v>17</v>
      </c>
      <c r="C905" t="s">
        <v>51</v>
      </c>
      <c r="D905">
        <v>34613</v>
      </c>
      <c r="E905" s="2">
        <v>1606340.01</v>
      </c>
    </row>
    <row r="906" spans="1:5" ht="15" x14ac:dyDescent="0.2">
      <c r="A906" s="1" t="s">
        <v>67</v>
      </c>
      <c r="B906" t="s">
        <v>5</v>
      </c>
      <c r="C906" t="s">
        <v>51</v>
      </c>
      <c r="D906">
        <v>37559</v>
      </c>
      <c r="E906" s="2">
        <v>3485.12</v>
      </c>
    </row>
    <row r="907" spans="1:5" ht="15" x14ac:dyDescent="0.2">
      <c r="A907" s="1" t="s">
        <v>84</v>
      </c>
      <c r="B907" t="s">
        <v>16</v>
      </c>
      <c r="C907" t="s">
        <v>51</v>
      </c>
      <c r="D907">
        <v>37559</v>
      </c>
      <c r="E907" s="2">
        <v>4445799.91</v>
      </c>
    </row>
    <row r="908" spans="1:5" ht="15" x14ac:dyDescent="0.2">
      <c r="A908" s="1" t="s">
        <v>83</v>
      </c>
      <c r="B908" t="s">
        <v>23</v>
      </c>
      <c r="C908" t="s">
        <v>51</v>
      </c>
      <c r="D908">
        <v>37559</v>
      </c>
      <c r="E908" s="2">
        <v>3250544.2</v>
      </c>
    </row>
    <row r="909" spans="1:5" ht="15" x14ac:dyDescent="0.2">
      <c r="A909" s="1" t="s">
        <v>96</v>
      </c>
      <c r="B909" t="s">
        <v>44</v>
      </c>
      <c r="C909" t="s">
        <v>51</v>
      </c>
      <c r="D909">
        <v>37559</v>
      </c>
      <c r="E909" s="2">
        <v>4147.3599999999997</v>
      </c>
    </row>
    <row r="910" spans="1:5" ht="15" x14ac:dyDescent="0.2">
      <c r="A910" s="1" t="s">
        <v>88</v>
      </c>
      <c r="B910" t="s">
        <v>27</v>
      </c>
      <c r="C910" t="s">
        <v>51</v>
      </c>
      <c r="D910">
        <v>37559</v>
      </c>
      <c r="E910" s="2">
        <v>4460.8</v>
      </c>
    </row>
    <row r="911" spans="1:5" ht="15" x14ac:dyDescent="0.2">
      <c r="A911" s="1" t="s">
        <v>103</v>
      </c>
      <c r="B911" t="s">
        <v>37</v>
      </c>
      <c r="C911" t="s">
        <v>51</v>
      </c>
      <c r="D911">
        <v>37559</v>
      </c>
      <c r="E911" s="2">
        <v>3808425.42</v>
      </c>
    </row>
    <row r="912" spans="1:5" ht="15" x14ac:dyDescent="0.2">
      <c r="A912" s="1" t="s">
        <v>89</v>
      </c>
      <c r="B912" t="s">
        <v>28</v>
      </c>
      <c r="C912" t="s">
        <v>51</v>
      </c>
      <c r="D912">
        <v>46638</v>
      </c>
      <c r="E912" s="2">
        <v>2154246.39</v>
      </c>
    </row>
    <row r="913" spans="1:5" ht="15" x14ac:dyDescent="0.2">
      <c r="A913" s="1" t="s">
        <v>76</v>
      </c>
      <c r="B913" t="s">
        <v>13</v>
      </c>
      <c r="C913" t="s">
        <v>51</v>
      </c>
      <c r="D913">
        <v>46638</v>
      </c>
      <c r="E913" s="2">
        <v>2441594.14</v>
      </c>
    </row>
    <row r="914" spans="1:5" ht="15" x14ac:dyDescent="0.2">
      <c r="A914" s="1" t="s">
        <v>99</v>
      </c>
      <c r="B914" t="s">
        <v>35</v>
      </c>
      <c r="C914" t="s">
        <v>51</v>
      </c>
      <c r="D914">
        <v>46638</v>
      </c>
      <c r="E914" s="2">
        <v>11715172.140000001</v>
      </c>
    </row>
    <row r="915" spans="1:5" ht="15" x14ac:dyDescent="0.2">
      <c r="A915" s="1" t="s">
        <v>73</v>
      </c>
      <c r="B915" t="s">
        <v>17</v>
      </c>
      <c r="C915" t="s">
        <v>51</v>
      </c>
      <c r="D915">
        <v>46638</v>
      </c>
      <c r="E915" s="2">
        <v>2193602.81</v>
      </c>
    </row>
    <row r="916" spans="1:5" ht="15" x14ac:dyDescent="0.2">
      <c r="A916" s="1" t="s">
        <v>105</v>
      </c>
      <c r="B916" t="s">
        <v>41</v>
      </c>
      <c r="C916" t="s">
        <v>51</v>
      </c>
      <c r="D916">
        <v>46638</v>
      </c>
      <c r="E916" s="2">
        <v>10316576.08</v>
      </c>
    </row>
    <row r="917" spans="1:5" ht="15" x14ac:dyDescent="0.2">
      <c r="A917" s="1" t="s">
        <v>70</v>
      </c>
      <c r="B917" t="s">
        <v>8</v>
      </c>
      <c r="C917" t="s">
        <v>51</v>
      </c>
      <c r="D917">
        <v>46638</v>
      </c>
      <c r="E917" s="2">
        <v>1.24</v>
      </c>
    </row>
    <row r="918" spans="1:5" ht="15" x14ac:dyDescent="0.2">
      <c r="A918" s="1" t="s">
        <v>66</v>
      </c>
      <c r="B918" t="s">
        <v>47</v>
      </c>
      <c r="C918" t="s">
        <v>51</v>
      </c>
      <c r="D918">
        <v>49282</v>
      </c>
      <c r="E918" s="2">
        <v>11423.85</v>
      </c>
    </row>
    <row r="919" spans="1:5" ht="15" x14ac:dyDescent="0.2">
      <c r="A919" s="1" t="s">
        <v>67</v>
      </c>
      <c r="B919" t="s">
        <v>5</v>
      </c>
      <c r="C919" t="s">
        <v>51</v>
      </c>
      <c r="D919">
        <v>49282</v>
      </c>
      <c r="E919" s="2">
        <v>-2017146.57</v>
      </c>
    </row>
    <row r="920" spans="1:5" ht="15" x14ac:dyDescent="0.2">
      <c r="A920" s="1" t="s">
        <v>91</v>
      </c>
      <c r="B920" t="s">
        <v>30</v>
      </c>
      <c r="C920" t="s">
        <v>51</v>
      </c>
      <c r="D920">
        <v>49282</v>
      </c>
      <c r="E920" s="2">
        <v>6096.59</v>
      </c>
    </row>
    <row r="921" spans="1:5" ht="15" x14ac:dyDescent="0.2">
      <c r="A921" s="1" t="s">
        <v>94</v>
      </c>
      <c r="B921" t="s">
        <v>33</v>
      </c>
      <c r="C921" t="s">
        <v>51</v>
      </c>
      <c r="D921">
        <v>49282</v>
      </c>
      <c r="E921" s="2">
        <v>28612028.5</v>
      </c>
    </row>
    <row r="922" spans="1:5" ht="15" x14ac:dyDescent="0.2">
      <c r="A922" s="1" t="s">
        <v>72</v>
      </c>
      <c r="B922" t="s">
        <v>10</v>
      </c>
      <c r="C922" t="s">
        <v>51</v>
      </c>
      <c r="D922">
        <v>49282</v>
      </c>
      <c r="E922" s="2">
        <v>1898495.58</v>
      </c>
    </row>
    <row r="923" spans="1:5" ht="15" x14ac:dyDescent="0.2">
      <c r="A923" s="1" t="s">
        <v>78</v>
      </c>
      <c r="B923" t="s">
        <v>20</v>
      </c>
      <c r="C923" t="s">
        <v>51</v>
      </c>
      <c r="D923">
        <v>49282</v>
      </c>
      <c r="E923" s="2">
        <v>1115999.28</v>
      </c>
    </row>
    <row r="924" spans="1:5" ht="15" x14ac:dyDescent="0.2">
      <c r="A924" s="1" t="s">
        <v>104</v>
      </c>
      <c r="B924" t="s">
        <v>40</v>
      </c>
      <c r="C924" t="s">
        <v>51</v>
      </c>
      <c r="D924">
        <v>49282</v>
      </c>
      <c r="E924" s="2">
        <v>24304963.780000001</v>
      </c>
    </row>
    <row r="925" spans="1:5" ht="15" x14ac:dyDescent="0.2">
      <c r="A925" s="1" t="s">
        <v>69</v>
      </c>
      <c r="B925" t="s">
        <v>7</v>
      </c>
      <c r="C925" t="s">
        <v>51</v>
      </c>
      <c r="D925">
        <v>49282</v>
      </c>
      <c r="E925" s="2">
        <v>8149447.1500000004</v>
      </c>
    </row>
    <row r="926" spans="1:5" ht="15" x14ac:dyDescent="0.2">
      <c r="A926" s="1" t="s">
        <v>70</v>
      </c>
      <c r="B926" t="s">
        <v>8</v>
      </c>
      <c r="C926" t="s">
        <v>51</v>
      </c>
      <c r="D926">
        <v>49282</v>
      </c>
      <c r="E926" s="2">
        <v>62951274.979999997</v>
      </c>
    </row>
    <row r="927" spans="1:5" ht="15" x14ac:dyDescent="0.2">
      <c r="A927" s="1" t="s">
        <v>79</v>
      </c>
      <c r="B927" t="s">
        <v>21</v>
      </c>
      <c r="C927" t="s">
        <v>51</v>
      </c>
      <c r="D927">
        <v>53789</v>
      </c>
      <c r="E927" s="2">
        <v>2.82</v>
      </c>
    </row>
    <row r="928" spans="1:5" ht="15" x14ac:dyDescent="0.2">
      <c r="A928" s="1" t="s">
        <v>89</v>
      </c>
      <c r="B928" t="s">
        <v>28</v>
      </c>
      <c r="C928" t="s">
        <v>51</v>
      </c>
      <c r="D928">
        <v>53789</v>
      </c>
      <c r="E928" s="2">
        <v>5598620.2699999996</v>
      </c>
    </row>
    <row r="929" spans="1:5" ht="15" x14ac:dyDescent="0.2">
      <c r="A929" s="1" t="s">
        <v>94</v>
      </c>
      <c r="B929" t="s">
        <v>33</v>
      </c>
      <c r="C929" t="s">
        <v>51</v>
      </c>
      <c r="D929">
        <v>53789</v>
      </c>
      <c r="E929" s="2">
        <v>16530571.15</v>
      </c>
    </row>
    <row r="930" spans="1:5" ht="15" x14ac:dyDescent="0.2">
      <c r="A930" s="1" t="s">
        <v>83</v>
      </c>
      <c r="B930" t="s">
        <v>23</v>
      </c>
      <c r="C930" t="s">
        <v>51</v>
      </c>
      <c r="D930">
        <v>53789</v>
      </c>
      <c r="E930" s="2">
        <v>4873911.3</v>
      </c>
    </row>
    <row r="931" spans="1:5" ht="15" x14ac:dyDescent="0.2">
      <c r="A931" s="1" t="s">
        <v>97</v>
      </c>
      <c r="B931" t="s">
        <v>42</v>
      </c>
      <c r="C931" t="s">
        <v>51</v>
      </c>
      <c r="D931">
        <v>53789</v>
      </c>
      <c r="E931" s="2">
        <v>3580419.91</v>
      </c>
    </row>
    <row r="932" spans="1:5" ht="15" x14ac:dyDescent="0.2">
      <c r="A932" s="1" t="s">
        <v>75</v>
      </c>
      <c r="B932" t="s">
        <v>19</v>
      </c>
      <c r="C932" t="s">
        <v>51</v>
      </c>
      <c r="D932">
        <v>53789</v>
      </c>
      <c r="E932" s="2">
        <v>1960413.95</v>
      </c>
    </row>
    <row r="933" spans="1:5" ht="15" x14ac:dyDescent="0.2">
      <c r="A933" s="1" t="s">
        <v>69</v>
      </c>
      <c r="B933" t="s">
        <v>7</v>
      </c>
      <c r="C933" t="s">
        <v>51</v>
      </c>
      <c r="D933">
        <v>53789</v>
      </c>
      <c r="E933" s="2">
        <v>10732714.08</v>
      </c>
    </row>
    <row r="934" spans="1:5" ht="15" x14ac:dyDescent="0.2">
      <c r="A934" s="1" t="s">
        <v>70</v>
      </c>
      <c r="B934" t="s">
        <v>8</v>
      </c>
      <c r="C934" t="s">
        <v>51</v>
      </c>
      <c r="D934">
        <v>53789</v>
      </c>
      <c r="E934" s="2">
        <v>32014183.879999999</v>
      </c>
    </row>
    <row r="935" spans="1:5" ht="15" x14ac:dyDescent="0.2">
      <c r="A935" s="1" t="s">
        <v>97</v>
      </c>
      <c r="B935" t="s">
        <v>42</v>
      </c>
      <c r="C935" t="s">
        <v>51</v>
      </c>
      <c r="D935">
        <v>55481</v>
      </c>
      <c r="E935" s="2">
        <v>6382708.7599999998</v>
      </c>
    </row>
    <row r="936" spans="1:5" ht="15" x14ac:dyDescent="0.2">
      <c r="A936" s="1" t="s">
        <v>73</v>
      </c>
      <c r="B936" t="s">
        <v>17</v>
      </c>
      <c r="C936" t="s">
        <v>51</v>
      </c>
      <c r="D936">
        <v>55481</v>
      </c>
      <c r="E936" s="2">
        <v>3166286.32</v>
      </c>
    </row>
    <row r="937" spans="1:5" ht="15" x14ac:dyDescent="0.2">
      <c r="A937" s="1" t="s">
        <v>70</v>
      </c>
      <c r="B937" t="s">
        <v>8</v>
      </c>
      <c r="C937" t="s">
        <v>51</v>
      </c>
      <c r="D937">
        <v>55481</v>
      </c>
      <c r="E937" s="2">
        <v>66117931.07</v>
      </c>
    </row>
    <row r="938" spans="1:5" ht="15" x14ac:dyDescent="0.2">
      <c r="A938" s="1" t="s">
        <v>66</v>
      </c>
      <c r="B938" t="s">
        <v>47</v>
      </c>
      <c r="C938" t="s">
        <v>51</v>
      </c>
      <c r="D938">
        <v>56933</v>
      </c>
      <c r="E938" s="2">
        <v>4008205.84</v>
      </c>
    </row>
    <row r="939" spans="1:5" ht="15" x14ac:dyDescent="0.2">
      <c r="A939" s="1" t="s">
        <v>86</v>
      </c>
      <c r="B939" t="s">
        <v>25</v>
      </c>
      <c r="C939" t="s">
        <v>51</v>
      </c>
      <c r="D939">
        <v>56933</v>
      </c>
      <c r="E939" s="2">
        <v>8332858.5800000001</v>
      </c>
    </row>
    <row r="940" spans="1:5" ht="15" x14ac:dyDescent="0.2">
      <c r="A940" s="1" t="s">
        <v>79</v>
      </c>
      <c r="B940" t="s">
        <v>21</v>
      </c>
      <c r="C940" t="s">
        <v>51</v>
      </c>
      <c r="D940">
        <v>56933</v>
      </c>
      <c r="E940" s="2">
        <v>7694.86</v>
      </c>
    </row>
    <row r="941" spans="1:5" ht="15" x14ac:dyDescent="0.2">
      <c r="A941" s="1" t="s">
        <v>89</v>
      </c>
      <c r="B941" t="s">
        <v>28</v>
      </c>
      <c r="C941" t="s">
        <v>51</v>
      </c>
      <c r="D941">
        <v>56933</v>
      </c>
      <c r="E941" s="2">
        <v>1734827.44</v>
      </c>
    </row>
    <row r="942" spans="1:5" ht="15" x14ac:dyDescent="0.2">
      <c r="A942" s="1" t="s">
        <v>84</v>
      </c>
      <c r="B942" t="s">
        <v>16</v>
      </c>
      <c r="C942" t="s">
        <v>51</v>
      </c>
      <c r="D942">
        <v>56933</v>
      </c>
      <c r="E942" s="2">
        <v>7310015.9299999997</v>
      </c>
    </row>
    <row r="943" spans="1:5" ht="15" x14ac:dyDescent="0.2">
      <c r="A943" s="1" t="s">
        <v>83</v>
      </c>
      <c r="B943" t="s">
        <v>23</v>
      </c>
      <c r="C943" t="s">
        <v>51</v>
      </c>
      <c r="D943">
        <v>56933</v>
      </c>
      <c r="E943" s="2">
        <v>3453525.43</v>
      </c>
    </row>
    <row r="944" spans="1:5" ht="15" x14ac:dyDescent="0.2">
      <c r="A944" s="1" t="s">
        <v>99</v>
      </c>
      <c r="B944" t="s">
        <v>35</v>
      </c>
      <c r="C944" t="s">
        <v>51</v>
      </c>
      <c r="D944">
        <v>56933</v>
      </c>
      <c r="E944" s="2">
        <v>5545206.4900000002</v>
      </c>
    </row>
    <row r="945" spans="1:5" ht="15" x14ac:dyDescent="0.2">
      <c r="A945" s="1" t="s">
        <v>73</v>
      </c>
      <c r="B945" t="s">
        <v>17</v>
      </c>
      <c r="C945" t="s">
        <v>51</v>
      </c>
      <c r="D945">
        <v>56933</v>
      </c>
      <c r="E945" s="2">
        <v>797023.76</v>
      </c>
    </row>
    <row r="946" spans="1:5" ht="15" x14ac:dyDescent="0.2">
      <c r="A946" s="1" t="s">
        <v>67</v>
      </c>
      <c r="B946" t="s">
        <v>5</v>
      </c>
      <c r="C946" t="s">
        <v>51</v>
      </c>
      <c r="D946">
        <v>57593</v>
      </c>
      <c r="E946" s="2">
        <v>-864070.91</v>
      </c>
    </row>
    <row r="947" spans="1:5" ht="15" x14ac:dyDescent="0.2">
      <c r="A947" s="1" t="s">
        <v>89</v>
      </c>
      <c r="B947" t="s">
        <v>28</v>
      </c>
      <c r="C947" t="s">
        <v>51</v>
      </c>
      <c r="D947">
        <v>57593</v>
      </c>
      <c r="E947" s="2">
        <v>307.23</v>
      </c>
    </row>
    <row r="948" spans="1:5" ht="15" x14ac:dyDescent="0.2">
      <c r="A948" s="1" t="s">
        <v>88</v>
      </c>
      <c r="B948" t="s">
        <v>27</v>
      </c>
      <c r="C948" t="s">
        <v>51</v>
      </c>
      <c r="D948">
        <v>57593</v>
      </c>
      <c r="E948" s="2">
        <v>9532847</v>
      </c>
    </row>
    <row r="949" spans="1:5" ht="15" x14ac:dyDescent="0.2">
      <c r="A949" s="1" t="s">
        <v>73</v>
      </c>
      <c r="B949" t="s">
        <v>17</v>
      </c>
      <c r="C949" t="s">
        <v>51</v>
      </c>
      <c r="D949">
        <v>57593</v>
      </c>
      <c r="E949" s="2">
        <v>2721013.09</v>
      </c>
    </row>
    <row r="950" spans="1:5" ht="15" x14ac:dyDescent="0.2">
      <c r="A950" s="1" t="s">
        <v>101</v>
      </c>
      <c r="B950" t="s">
        <v>39</v>
      </c>
      <c r="C950" t="s">
        <v>51</v>
      </c>
      <c r="D950">
        <v>57593</v>
      </c>
      <c r="E950" s="2">
        <v>14537969.57</v>
      </c>
    </row>
    <row r="951" spans="1:5" ht="15" x14ac:dyDescent="0.2">
      <c r="A951" s="1" t="s">
        <v>66</v>
      </c>
      <c r="B951" t="s">
        <v>47</v>
      </c>
      <c r="C951" t="s">
        <v>51</v>
      </c>
      <c r="D951">
        <v>61502</v>
      </c>
      <c r="E951" s="2">
        <v>4408390.3499999996</v>
      </c>
    </row>
    <row r="952" spans="1:5" ht="15" x14ac:dyDescent="0.2">
      <c r="A952" s="1" t="s">
        <v>79</v>
      </c>
      <c r="B952" t="s">
        <v>21</v>
      </c>
      <c r="C952" t="s">
        <v>51</v>
      </c>
      <c r="D952">
        <v>61502</v>
      </c>
      <c r="E952" s="2">
        <v>5307028.6500000004</v>
      </c>
    </row>
    <row r="953" spans="1:5" ht="15" x14ac:dyDescent="0.2">
      <c r="A953" s="1" t="s">
        <v>93</v>
      </c>
      <c r="B953" t="s">
        <v>32</v>
      </c>
      <c r="C953" t="s">
        <v>51</v>
      </c>
      <c r="D953">
        <v>61502</v>
      </c>
      <c r="E953" s="2">
        <v>60479403.030000001</v>
      </c>
    </row>
    <row r="954" spans="1:5" ht="15" x14ac:dyDescent="0.2">
      <c r="A954" s="1" t="s">
        <v>85</v>
      </c>
      <c r="B954" t="s">
        <v>24</v>
      </c>
      <c r="C954" t="s">
        <v>51</v>
      </c>
      <c r="D954">
        <v>61502</v>
      </c>
      <c r="E954" s="2">
        <v>5959897.5800000001</v>
      </c>
    </row>
    <row r="955" spans="1:5" ht="15" x14ac:dyDescent="0.2">
      <c r="A955" s="1" t="s">
        <v>95</v>
      </c>
      <c r="B955" t="s">
        <v>38</v>
      </c>
      <c r="C955" t="s">
        <v>51</v>
      </c>
      <c r="D955">
        <v>61502</v>
      </c>
      <c r="E955" s="2">
        <v>767.57</v>
      </c>
    </row>
    <row r="956" spans="1:5" ht="15" x14ac:dyDescent="0.2">
      <c r="A956" s="1" t="s">
        <v>83</v>
      </c>
      <c r="B956" t="s">
        <v>23</v>
      </c>
      <c r="C956" t="s">
        <v>51</v>
      </c>
      <c r="D956">
        <v>61502</v>
      </c>
      <c r="E956" s="2">
        <v>3232924.42</v>
      </c>
    </row>
    <row r="957" spans="1:5" ht="15" x14ac:dyDescent="0.2">
      <c r="A957" s="1" t="s">
        <v>72</v>
      </c>
      <c r="B957" t="s">
        <v>10</v>
      </c>
      <c r="C957" t="s">
        <v>51</v>
      </c>
      <c r="D957">
        <v>61502</v>
      </c>
      <c r="E957" s="2">
        <v>7807398.5599999996</v>
      </c>
    </row>
    <row r="958" spans="1:5" ht="15" x14ac:dyDescent="0.2">
      <c r="A958" s="1" t="s">
        <v>78</v>
      </c>
      <c r="B958" t="s">
        <v>20</v>
      </c>
      <c r="C958" t="s">
        <v>51</v>
      </c>
      <c r="D958">
        <v>61502</v>
      </c>
      <c r="E958" s="2">
        <v>1499887.58</v>
      </c>
    </row>
    <row r="959" spans="1:5" ht="15" x14ac:dyDescent="0.2">
      <c r="A959" s="1" t="s">
        <v>73</v>
      </c>
      <c r="B959" t="s">
        <v>17</v>
      </c>
      <c r="C959" t="s">
        <v>51</v>
      </c>
      <c r="D959">
        <v>61502</v>
      </c>
      <c r="E959" s="2">
        <v>1191153.8</v>
      </c>
    </row>
    <row r="960" spans="1:5" ht="15" x14ac:dyDescent="0.2">
      <c r="A960" s="1" t="s">
        <v>104</v>
      </c>
      <c r="B960" t="s">
        <v>40</v>
      </c>
      <c r="C960" t="s">
        <v>51</v>
      </c>
      <c r="D960">
        <v>61502</v>
      </c>
      <c r="E960" s="2">
        <v>24333692.550000001</v>
      </c>
    </row>
    <row r="961" spans="1:5" ht="15" x14ac:dyDescent="0.2">
      <c r="A961" s="1" t="s">
        <v>94</v>
      </c>
      <c r="B961" t="s">
        <v>33</v>
      </c>
      <c r="C961" t="s">
        <v>51</v>
      </c>
      <c r="D961">
        <v>63220</v>
      </c>
      <c r="E961" s="2">
        <v>23199724.420000002</v>
      </c>
    </row>
    <row r="962" spans="1:5" ht="15" x14ac:dyDescent="0.2">
      <c r="A962" s="1" t="s">
        <v>72</v>
      </c>
      <c r="B962" t="s">
        <v>10</v>
      </c>
      <c r="C962" t="s">
        <v>51</v>
      </c>
      <c r="D962">
        <v>63220</v>
      </c>
      <c r="E962" s="2">
        <v>5151865.82</v>
      </c>
    </row>
    <row r="963" spans="1:5" ht="15" x14ac:dyDescent="0.2">
      <c r="A963" s="1" t="s">
        <v>97</v>
      </c>
      <c r="B963" t="s">
        <v>42</v>
      </c>
      <c r="C963" t="s">
        <v>51</v>
      </c>
      <c r="D963">
        <v>63220</v>
      </c>
      <c r="E963" s="2">
        <v>6290.25</v>
      </c>
    </row>
    <row r="964" spans="1:5" ht="15" x14ac:dyDescent="0.2">
      <c r="A964" s="1" t="s">
        <v>86</v>
      </c>
      <c r="B964" t="s">
        <v>25</v>
      </c>
      <c r="C964" t="s">
        <v>51</v>
      </c>
      <c r="D964">
        <v>67561</v>
      </c>
      <c r="E964" s="2">
        <v>12195457.880000001</v>
      </c>
    </row>
    <row r="965" spans="1:5" ht="15" x14ac:dyDescent="0.2">
      <c r="A965" s="1" t="s">
        <v>92</v>
      </c>
      <c r="B965" t="s">
        <v>31</v>
      </c>
      <c r="C965" t="s">
        <v>51</v>
      </c>
      <c r="D965">
        <v>67561</v>
      </c>
      <c r="E965" s="2">
        <v>23381086.57</v>
      </c>
    </row>
    <row r="966" spans="1:5" ht="15" x14ac:dyDescent="0.2">
      <c r="A966" s="1" t="s">
        <v>64</v>
      </c>
      <c r="B966" t="s">
        <v>3</v>
      </c>
      <c r="C966" t="s">
        <v>51</v>
      </c>
      <c r="D966">
        <v>67561</v>
      </c>
      <c r="E966" s="2">
        <v>10054306.880000001</v>
      </c>
    </row>
    <row r="967" spans="1:5" ht="15" x14ac:dyDescent="0.2">
      <c r="A967" s="1" t="s">
        <v>95</v>
      </c>
      <c r="B967" t="s">
        <v>38</v>
      </c>
      <c r="C967" t="s">
        <v>51</v>
      </c>
      <c r="D967">
        <v>67561</v>
      </c>
      <c r="E967" s="2">
        <v>439357684.89999998</v>
      </c>
    </row>
    <row r="968" spans="1:5" ht="15" x14ac:dyDescent="0.2">
      <c r="A968" s="1" t="s">
        <v>83</v>
      </c>
      <c r="B968" t="s">
        <v>23</v>
      </c>
      <c r="C968" t="s">
        <v>51</v>
      </c>
      <c r="D968">
        <v>67561</v>
      </c>
      <c r="E968" s="2">
        <v>2480178.36</v>
      </c>
    </row>
    <row r="969" spans="1:5" ht="15" x14ac:dyDescent="0.2">
      <c r="A969" s="1" t="s">
        <v>72</v>
      </c>
      <c r="B969" t="s">
        <v>10</v>
      </c>
      <c r="C969" t="s">
        <v>51</v>
      </c>
      <c r="D969">
        <v>67561</v>
      </c>
      <c r="E969" s="2">
        <v>5620155.6399999997</v>
      </c>
    </row>
    <row r="970" spans="1:5" ht="15" x14ac:dyDescent="0.2">
      <c r="A970" s="1" t="s">
        <v>99</v>
      </c>
      <c r="B970" t="s">
        <v>35</v>
      </c>
      <c r="C970" t="s">
        <v>51</v>
      </c>
      <c r="D970">
        <v>67561</v>
      </c>
      <c r="E970" s="2">
        <v>9665994.2799999993</v>
      </c>
    </row>
    <row r="971" spans="1:5" ht="15" x14ac:dyDescent="0.2">
      <c r="A971" s="1" t="s">
        <v>77</v>
      </c>
      <c r="B971" t="s">
        <v>18</v>
      </c>
      <c r="C971" t="s">
        <v>51</v>
      </c>
      <c r="D971">
        <v>67561</v>
      </c>
      <c r="E971" s="2">
        <v>6911140.2300000004</v>
      </c>
    </row>
    <row r="972" spans="1:5" ht="15" x14ac:dyDescent="0.2">
      <c r="A972" s="1" t="s">
        <v>78</v>
      </c>
      <c r="B972" t="s">
        <v>20</v>
      </c>
      <c r="C972" t="s">
        <v>51</v>
      </c>
      <c r="D972">
        <v>67561</v>
      </c>
      <c r="E972" s="2">
        <v>1127722.21</v>
      </c>
    </row>
    <row r="973" spans="1:5" ht="15" x14ac:dyDescent="0.2">
      <c r="A973" s="1" t="s">
        <v>87</v>
      </c>
      <c r="B973" t="s">
        <v>26</v>
      </c>
      <c r="C973" t="s">
        <v>51</v>
      </c>
      <c r="D973">
        <v>67561</v>
      </c>
      <c r="E973" s="2">
        <v>712172.81</v>
      </c>
    </row>
    <row r="974" spans="1:5" ht="15" x14ac:dyDescent="0.2">
      <c r="A974" s="1" t="s">
        <v>69</v>
      </c>
      <c r="B974" t="s">
        <v>7</v>
      </c>
      <c r="C974" t="s">
        <v>51</v>
      </c>
      <c r="D974">
        <v>67561</v>
      </c>
      <c r="E974" s="2">
        <v>22513763.780000001</v>
      </c>
    </row>
    <row r="975" spans="1:5" ht="15" x14ac:dyDescent="0.2">
      <c r="A975" s="1" t="s">
        <v>93</v>
      </c>
      <c r="B975" t="s">
        <v>32</v>
      </c>
      <c r="C975" t="s">
        <v>51</v>
      </c>
      <c r="D975">
        <v>76523</v>
      </c>
      <c r="E975" s="2">
        <v>1882.3</v>
      </c>
    </row>
    <row r="976" spans="1:5" ht="15" x14ac:dyDescent="0.2">
      <c r="A976" s="1" t="s">
        <v>96</v>
      </c>
      <c r="B976" t="s">
        <v>44</v>
      </c>
      <c r="C976" t="s">
        <v>51</v>
      </c>
      <c r="D976">
        <v>76523</v>
      </c>
      <c r="E976" s="2">
        <v>514379.49</v>
      </c>
    </row>
    <row r="977" spans="1:5" ht="15" x14ac:dyDescent="0.2">
      <c r="A977" s="1" t="s">
        <v>77</v>
      </c>
      <c r="B977" t="s">
        <v>18</v>
      </c>
      <c r="C977" t="s">
        <v>51</v>
      </c>
      <c r="D977">
        <v>76523</v>
      </c>
      <c r="E977" s="2">
        <v>296.72000000000003</v>
      </c>
    </row>
    <row r="978" spans="1:5" ht="15" x14ac:dyDescent="0.2">
      <c r="A978" s="1" t="s">
        <v>75</v>
      </c>
      <c r="B978" t="s">
        <v>19</v>
      </c>
      <c r="C978" t="s">
        <v>51</v>
      </c>
      <c r="D978">
        <v>76523</v>
      </c>
      <c r="E978" s="2">
        <v>7703659.75</v>
      </c>
    </row>
    <row r="979" spans="1:5" ht="15" x14ac:dyDescent="0.2">
      <c r="A979" s="1" t="s">
        <v>93</v>
      </c>
      <c r="B979" t="s">
        <v>32</v>
      </c>
      <c r="C979" t="s">
        <v>51</v>
      </c>
      <c r="D979">
        <v>77825</v>
      </c>
      <c r="E979" s="2">
        <v>164488794.97999999</v>
      </c>
    </row>
    <row r="980" spans="1:5" ht="15" x14ac:dyDescent="0.2">
      <c r="A980" s="1" t="s">
        <v>94</v>
      </c>
      <c r="B980" t="s">
        <v>33</v>
      </c>
      <c r="C980" t="s">
        <v>51</v>
      </c>
      <c r="D980">
        <v>77825</v>
      </c>
      <c r="E980" s="2">
        <v>13158246.59</v>
      </c>
    </row>
    <row r="981" spans="1:5" ht="15" x14ac:dyDescent="0.2">
      <c r="A981" s="1" t="s">
        <v>75</v>
      </c>
      <c r="B981" t="s">
        <v>12</v>
      </c>
      <c r="C981" t="s">
        <v>51</v>
      </c>
      <c r="D981">
        <v>77825</v>
      </c>
      <c r="E981" s="2">
        <v>0.44</v>
      </c>
    </row>
    <row r="982" spans="1:5" ht="15" x14ac:dyDescent="0.2">
      <c r="A982" s="1" t="s">
        <v>72</v>
      </c>
      <c r="B982" t="s">
        <v>10</v>
      </c>
      <c r="C982" t="s">
        <v>51</v>
      </c>
      <c r="D982">
        <v>77825</v>
      </c>
      <c r="E982" s="2">
        <v>4910057.68</v>
      </c>
    </row>
    <row r="983" spans="1:5" ht="15" x14ac:dyDescent="0.2">
      <c r="A983" s="1" t="s">
        <v>77</v>
      </c>
      <c r="B983" t="s">
        <v>18</v>
      </c>
      <c r="C983" t="s">
        <v>51</v>
      </c>
      <c r="D983">
        <v>77825</v>
      </c>
      <c r="E983" s="2">
        <v>0.6</v>
      </c>
    </row>
    <row r="984" spans="1:5" ht="15" x14ac:dyDescent="0.2">
      <c r="A984" s="1" t="s">
        <v>105</v>
      </c>
      <c r="B984" t="s">
        <v>41</v>
      </c>
      <c r="C984" t="s">
        <v>51</v>
      </c>
      <c r="D984">
        <v>77825</v>
      </c>
      <c r="E984" s="2">
        <v>8850.27</v>
      </c>
    </row>
    <row r="985" spans="1:5" ht="15" x14ac:dyDescent="0.2">
      <c r="A985" s="1" t="s">
        <v>70</v>
      </c>
      <c r="B985" t="s">
        <v>8</v>
      </c>
      <c r="C985" t="s">
        <v>51</v>
      </c>
      <c r="D985">
        <v>77825</v>
      </c>
      <c r="E985" s="2">
        <v>49216449.329999998</v>
      </c>
    </row>
    <row r="986" spans="1:5" ht="15" x14ac:dyDescent="0.2">
      <c r="A986" s="1" t="s">
        <v>91</v>
      </c>
      <c r="B986" t="s">
        <v>30</v>
      </c>
      <c r="C986" t="s">
        <v>51</v>
      </c>
      <c r="D986">
        <v>78398</v>
      </c>
      <c r="E986" s="2">
        <v>60741452.079999998</v>
      </c>
    </row>
    <row r="987" spans="1:5" ht="15" x14ac:dyDescent="0.2">
      <c r="A987" s="1" t="s">
        <v>64</v>
      </c>
      <c r="B987" t="s">
        <v>3</v>
      </c>
      <c r="C987" t="s">
        <v>51</v>
      </c>
      <c r="D987">
        <v>78398</v>
      </c>
      <c r="E987" s="2">
        <v>15914241.93</v>
      </c>
    </row>
    <row r="988" spans="1:5" ht="15" x14ac:dyDescent="0.2">
      <c r="A988" s="1" t="s">
        <v>75</v>
      </c>
      <c r="B988" t="s">
        <v>12</v>
      </c>
      <c r="C988" t="s">
        <v>51</v>
      </c>
      <c r="D988">
        <v>78398</v>
      </c>
      <c r="E988" s="2">
        <v>1057237.6200000001</v>
      </c>
    </row>
    <row r="989" spans="1:5" ht="15" x14ac:dyDescent="0.2">
      <c r="A989" s="1" t="s">
        <v>83</v>
      </c>
      <c r="B989" t="s">
        <v>23</v>
      </c>
      <c r="C989" t="s">
        <v>51</v>
      </c>
      <c r="D989">
        <v>78398</v>
      </c>
      <c r="E989" s="2">
        <v>4263504.93</v>
      </c>
    </row>
    <row r="990" spans="1:5" ht="15" x14ac:dyDescent="0.2">
      <c r="A990" s="1" t="s">
        <v>97</v>
      </c>
      <c r="B990" t="s">
        <v>42</v>
      </c>
      <c r="C990" t="s">
        <v>51</v>
      </c>
      <c r="D990">
        <v>78398</v>
      </c>
      <c r="E990" s="2">
        <v>2058527.88</v>
      </c>
    </row>
    <row r="991" spans="1:5" ht="15" x14ac:dyDescent="0.2">
      <c r="A991" s="1" t="s">
        <v>77</v>
      </c>
      <c r="B991" t="s">
        <v>18</v>
      </c>
      <c r="C991" t="s">
        <v>51</v>
      </c>
      <c r="D991">
        <v>78398</v>
      </c>
      <c r="E991" s="2">
        <v>3604348.06</v>
      </c>
    </row>
    <row r="992" spans="1:5" ht="15" x14ac:dyDescent="0.2">
      <c r="A992" s="1" t="s">
        <v>78</v>
      </c>
      <c r="B992" t="s">
        <v>20</v>
      </c>
      <c r="C992" t="s">
        <v>51</v>
      </c>
      <c r="D992">
        <v>78398</v>
      </c>
      <c r="E992" s="2">
        <v>668111.04</v>
      </c>
    </row>
    <row r="993" spans="1:5" ht="15" x14ac:dyDescent="0.2">
      <c r="A993" s="1" t="s">
        <v>91</v>
      </c>
      <c r="B993" t="s">
        <v>30</v>
      </c>
      <c r="C993" t="s">
        <v>51</v>
      </c>
      <c r="D993">
        <v>78601</v>
      </c>
      <c r="E993" s="2">
        <v>147260104.49000001</v>
      </c>
    </row>
    <row r="994" spans="1:5" ht="15" x14ac:dyDescent="0.2">
      <c r="A994" s="1" t="s">
        <v>94</v>
      </c>
      <c r="B994" t="s">
        <v>33</v>
      </c>
      <c r="C994" t="s">
        <v>51</v>
      </c>
      <c r="D994">
        <v>78601</v>
      </c>
      <c r="E994" s="2">
        <v>68484243.890000001</v>
      </c>
    </row>
    <row r="995" spans="1:5" ht="15" x14ac:dyDescent="0.2">
      <c r="A995" s="1" t="s">
        <v>85</v>
      </c>
      <c r="B995" t="s">
        <v>24</v>
      </c>
      <c r="C995" t="s">
        <v>51</v>
      </c>
      <c r="D995">
        <v>78601</v>
      </c>
      <c r="E995" s="2">
        <v>13472668.029999999</v>
      </c>
    </row>
    <row r="996" spans="1:5" ht="15" x14ac:dyDescent="0.2">
      <c r="A996" s="1" t="s">
        <v>84</v>
      </c>
      <c r="B996" t="s">
        <v>16</v>
      </c>
      <c r="C996" t="s">
        <v>51</v>
      </c>
      <c r="D996">
        <v>78601</v>
      </c>
      <c r="E996" s="2">
        <v>7681200.3899999997</v>
      </c>
    </row>
    <row r="997" spans="1:5" ht="15" x14ac:dyDescent="0.2">
      <c r="A997" s="1" t="s">
        <v>96</v>
      </c>
      <c r="B997" t="s">
        <v>44</v>
      </c>
      <c r="C997" t="s">
        <v>51</v>
      </c>
      <c r="D997">
        <v>78601</v>
      </c>
      <c r="E997" s="2">
        <v>1594514.75</v>
      </c>
    </row>
    <row r="998" spans="1:5" ht="15" x14ac:dyDescent="0.2">
      <c r="A998" s="1" t="s">
        <v>98</v>
      </c>
      <c r="B998" t="s">
        <v>34</v>
      </c>
      <c r="C998" t="s">
        <v>51</v>
      </c>
      <c r="D998">
        <v>78601</v>
      </c>
      <c r="E998" s="2">
        <v>65927990.950000003</v>
      </c>
    </row>
    <row r="999" spans="1:5" ht="15" x14ac:dyDescent="0.2">
      <c r="A999" s="1" t="s">
        <v>99</v>
      </c>
      <c r="B999" t="s">
        <v>35</v>
      </c>
      <c r="C999" t="s">
        <v>51</v>
      </c>
      <c r="D999">
        <v>78601</v>
      </c>
      <c r="E999" s="2">
        <v>9385723.7300000004</v>
      </c>
    </row>
    <row r="1000" spans="1:5" ht="15" x14ac:dyDescent="0.2">
      <c r="A1000" s="1" t="s">
        <v>77</v>
      </c>
      <c r="B1000" t="s">
        <v>18</v>
      </c>
      <c r="C1000" t="s">
        <v>51</v>
      </c>
      <c r="D1000">
        <v>78601</v>
      </c>
      <c r="E1000" s="2">
        <v>14783905.939999999</v>
      </c>
    </row>
    <row r="1001" spans="1:5" ht="15" x14ac:dyDescent="0.2">
      <c r="A1001" s="1" t="s">
        <v>78</v>
      </c>
      <c r="B1001" t="s">
        <v>20</v>
      </c>
      <c r="C1001" t="s">
        <v>51</v>
      </c>
      <c r="D1001">
        <v>78601</v>
      </c>
      <c r="E1001" s="2">
        <v>1042893.72</v>
      </c>
    </row>
    <row r="1002" spans="1:5" ht="15" x14ac:dyDescent="0.2">
      <c r="A1002" s="1" t="s">
        <v>75</v>
      </c>
      <c r="B1002" t="s">
        <v>19</v>
      </c>
      <c r="C1002" t="s">
        <v>51</v>
      </c>
      <c r="D1002">
        <v>78601</v>
      </c>
      <c r="E1002" s="2">
        <v>969848.81</v>
      </c>
    </row>
    <row r="1003" spans="1:5" ht="15" x14ac:dyDescent="0.2">
      <c r="A1003" s="1" t="s">
        <v>69</v>
      </c>
      <c r="B1003" t="s">
        <v>7</v>
      </c>
      <c r="C1003" t="s">
        <v>51</v>
      </c>
      <c r="D1003">
        <v>78601</v>
      </c>
      <c r="E1003" s="2">
        <v>994.86</v>
      </c>
    </row>
    <row r="1004" spans="1:5" ht="15" x14ac:dyDescent="0.2">
      <c r="A1004" s="1" t="s">
        <v>66</v>
      </c>
      <c r="B1004" t="s">
        <v>47</v>
      </c>
      <c r="C1004" t="s">
        <v>51</v>
      </c>
      <c r="D1004">
        <v>79089</v>
      </c>
      <c r="E1004" s="2">
        <v>4468355.17</v>
      </c>
    </row>
    <row r="1005" spans="1:5" ht="15" x14ac:dyDescent="0.2">
      <c r="A1005" s="1" t="s">
        <v>67</v>
      </c>
      <c r="B1005" t="s">
        <v>5</v>
      </c>
      <c r="C1005" t="s">
        <v>51</v>
      </c>
      <c r="D1005">
        <v>79089</v>
      </c>
      <c r="E1005" s="2">
        <v>-1183256.1200000001</v>
      </c>
    </row>
    <row r="1006" spans="1:5" ht="15" x14ac:dyDescent="0.2">
      <c r="A1006" s="1" t="s">
        <v>79</v>
      </c>
      <c r="B1006" t="s">
        <v>21</v>
      </c>
      <c r="C1006" t="s">
        <v>51</v>
      </c>
      <c r="D1006">
        <v>79089</v>
      </c>
      <c r="E1006" s="2">
        <v>5707675.04</v>
      </c>
    </row>
    <row r="1007" spans="1:5" ht="15" x14ac:dyDescent="0.2">
      <c r="A1007" s="1" t="s">
        <v>95</v>
      </c>
      <c r="B1007" t="s">
        <v>38</v>
      </c>
      <c r="C1007" t="s">
        <v>51</v>
      </c>
      <c r="D1007">
        <v>79089</v>
      </c>
      <c r="E1007" s="2">
        <v>240263482.66999999</v>
      </c>
    </row>
    <row r="1008" spans="1:5" ht="15" x14ac:dyDescent="0.2">
      <c r="A1008" s="1" t="s">
        <v>96</v>
      </c>
      <c r="B1008" t="s">
        <v>44</v>
      </c>
      <c r="C1008" t="s">
        <v>51</v>
      </c>
      <c r="D1008">
        <v>79089</v>
      </c>
      <c r="E1008" s="2">
        <v>455831.49</v>
      </c>
    </row>
    <row r="1009" spans="1:5" ht="15" x14ac:dyDescent="0.2">
      <c r="A1009" s="1" t="s">
        <v>66</v>
      </c>
      <c r="B1009" t="s">
        <v>47</v>
      </c>
      <c r="C1009" t="s">
        <v>51</v>
      </c>
      <c r="D1009">
        <v>79863</v>
      </c>
      <c r="E1009" s="2">
        <v>4774810.97</v>
      </c>
    </row>
    <row r="1010" spans="1:5" ht="15" x14ac:dyDescent="0.2">
      <c r="A1010" s="1" t="s">
        <v>89</v>
      </c>
      <c r="B1010" t="s">
        <v>28</v>
      </c>
      <c r="C1010" t="s">
        <v>51</v>
      </c>
      <c r="D1010">
        <v>79863</v>
      </c>
      <c r="E1010" s="2">
        <v>1492009.1</v>
      </c>
    </row>
    <row r="1011" spans="1:5" ht="15" x14ac:dyDescent="0.2">
      <c r="A1011" s="1" t="s">
        <v>85</v>
      </c>
      <c r="B1011" t="s">
        <v>24</v>
      </c>
      <c r="C1011" t="s">
        <v>51</v>
      </c>
      <c r="D1011">
        <v>79863</v>
      </c>
      <c r="E1011" s="2">
        <v>9338736.3800000008</v>
      </c>
    </row>
    <row r="1012" spans="1:5" ht="15" x14ac:dyDescent="0.2">
      <c r="A1012" s="1" t="s">
        <v>76</v>
      </c>
      <c r="B1012" t="s">
        <v>13</v>
      </c>
      <c r="C1012" t="s">
        <v>51</v>
      </c>
      <c r="D1012">
        <v>79863</v>
      </c>
      <c r="E1012" s="2">
        <v>16899360.289999999</v>
      </c>
    </row>
    <row r="1013" spans="1:5" ht="15" x14ac:dyDescent="0.2">
      <c r="A1013" s="1" t="s">
        <v>97</v>
      </c>
      <c r="B1013" t="s">
        <v>42</v>
      </c>
      <c r="C1013" t="s">
        <v>51</v>
      </c>
      <c r="D1013">
        <v>79863</v>
      </c>
      <c r="E1013" s="2">
        <v>14638.88</v>
      </c>
    </row>
    <row r="1014" spans="1:5" ht="15" x14ac:dyDescent="0.2">
      <c r="A1014" s="1" t="s">
        <v>87</v>
      </c>
      <c r="B1014" t="s">
        <v>26</v>
      </c>
      <c r="C1014" t="s">
        <v>51</v>
      </c>
      <c r="D1014">
        <v>79863</v>
      </c>
      <c r="E1014" s="2">
        <v>5994005.7199999997</v>
      </c>
    </row>
    <row r="1015" spans="1:5" ht="15" x14ac:dyDescent="0.2">
      <c r="A1015" s="1" t="s">
        <v>103</v>
      </c>
      <c r="B1015" t="s">
        <v>37</v>
      </c>
      <c r="C1015" t="s">
        <v>51</v>
      </c>
      <c r="D1015">
        <v>79863</v>
      </c>
      <c r="E1015" s="2">
        <v>6470333.5999999996</v>
      </c>
    </row>
    <row r="1016" spans="1:5" ht="15" x14ac:dyDescent="0.2">
      <c r="A1016" s="1" t="s">
        <v>75</v>
      </c>
      <c r="B1016" t="s">
        <v>19</v>
      </c>
      <c r="C1016" t="s">
        <v>51</v>
      </c>
      <c r="D1016">
        <v>79863</v>
      </c>
      <c r="E1016" s="2">
        <v>412.71</v>
      </c>
    </row>
    <row r="1017" spans="1:5" ht="15" x14ac:dyDescent="0.2">
      <c r="A1017" s="1" t="s">
        <v>104</v>
      </c>
      <c r="B1017" t="s">
        <v>40</v>
      </c>
      <c r="C1017" t="s">
        <v>51</v>
      </c>
      <c r="D1017">
        <v>79863</v>
      </c>
      <c r="E1017" s="2">
        <v>904.97</v>
      </c>
    </row>
    <row r="1018" spans="1:5" ht="15" x14ac:dyDescent="0.2">
      <c r="A1018" s="1" t="s">
        <v>70</v>
      </c>
      <c r="B1018" t="s">
        <v>8</v>
      </c>
      <c r="C1018" t="s">
        <v>51</v>
      </c>
      <c r="D1018">
        <v>79863</v>
      </c>
      <c r="E1018" s="2">
        <v>11485.25</v>
      </c>
    </row>
    <row r="1019" spans="1:5" ht="15" x14ac:dyDescent="0.2">
      <c r="A1019" s="1" t="s">
        <v>67</v>
      </c>
      <c r="B1019" t="s">
        <v>5</v>
      </c>
      <c r="C1019" t="s">
        <v>51</v>
      </c>
      <c r="D1019">
        <v>81857</v>
      </c>
      <c r="E1019" s="2">
        <v>-1191823.1499999999</v>
      </c>
    </row>
    <row r="1020" spans="1:5" ht="15" x14ac:dyDescent="0.2">
      <c r="A1020" s="1" t="s">
        <v>85</v>
      </c>
      <c r="B1020" t="s">
        <v>24</v>
      </c>
      <c r="C1020" t="s">
        <v>51</v>
      </c>
      <c r="D1020">
        <v>81857</v>
      </c>
      <c r="E1020" s="2">
        <v>20101032.73</v>
      </c>
    </row>
    <row r="1021" spans="1:5" ht="15" x14ac:dyDescent="0.2">
      <c r="A1021" s="1" t="s">
        <v>84</v>
      </c>
      <c r="B1021" t="s">
        <v>16</v>
      </c>
      <c r="C1021" t="s">
        <v>51</v>
      </c>
      <c r="D1021">
        <v>81857</v>
      </c>
      <c r="E1021" s="2">
        <v>4229.91</v>
      </c>
    </row>
    <row r="1022" spans="1:5" ht="15" x14ac:dyDescent="0.2">
      <c r="A1022" s="1" t="s">
        <v>83</v>
      </c>
      <c r="B1022" t="s">
        <v>23</v>
      </c>
      <c r="C1022" t="s">
        <v>51</v>
      </c>
      <c r="D1022">
        <v>81857</v>
      </c>
      <c r="E1022" s="2">
        <v>4608520.8899999997</v>
      </c>
    </row>
    <row r="1023" spans="1:5" ht="15" x14ac:dyDescent="0.2">
      <c r="A1023" s="1" t="s">
        <v>87</v>
      </c>
      <c r="B1023" t="s">
        <v>26</v>
      </c>
      <c r="C1023" t="s">
        <v>51</v>
      </c>
      <c r="D1023">
        <v>81857</v>
      </c>
      <c r="E1023" s="2">
        <v>7871865.1900000004</v>
      </c>
    </row>
    <row r="1024" spans="1:5" ht="15" x14ac:dyDescent="0.2">
      <c r="A1024" s="1" t="s">
        <v>103</v>
      </c>
      <c r="B1024" t="s">
        <v>37</v>
      </c>
      <c r="C1024" t="s">
        <v>51</v>
      </c>
      <c r="D1024">
        <v>81857</v>
      </c>
      <c r="E1024" s="2">
        <v>2680110.14</v>
      </c>
    </row>
    <row r="1025" spans="1:5" ht="15" x14ac:dyDescent="0.2">
      <c r="A1025" s="1" t="s">
        <v>105</v>
      </c>
      <c r="B1025" t="s">
        <v>41</v>
      </c>
      <c r="C1025" t="s">
        <v>51</v>
      </c>
      <c r="D1025">
        <v>81857</v>
      </c>
      <c r="E1025" s="2">
        <v>2032083.6</v>
      </c>
    </row>
    <row r="1026" spans="1:5" ht="15" x14ac:dyDescent="0.2">
      <c r="A1026" s="1" t="s">
        <v>69</v>
      </c>
      <c r="B1026" t="s">
        <v>7</v>
      </c>
      <c r="C1026" t="s">
        <v>51</v>
      </c>
      <c r="D1026">
        <v>81857</v>
      </c>
      <c r="E1026" s="2">
        <v>11595520.619999999</v>
      </c>
    </row>
    <row r="1027" spans="1:5" ht="15" x14ac:dyDescent="0.2">
      <c r="A1027" s="1" t="s">
        <v>64</v>
      </c>
      <c r="B1027" t="s">
        <v>3</v>
      </c>
      <c r="C1027" t="s">
        <v>51</v>
      </c>
      <c r="D1027">
        <v>82602</v>
      </c>
      <c r="E1027" s="2">
        <v>13694663.619999999</v>
      </c>
    </row>
    <row r="1028" spans="1:5" ht="15" x14ac:dyDescent="0.2">
      <c r="A1028" s="1" t="s">
        <v>85</v>
      </c>
      <c r="B1028" t="s">
        <v>24</v>
      </c>
      <c r="C1028" t="s">
        <v>51</v>
      </c>
      <c r="D1028">
        <v>82602</v>
      </c>
      <c r="E1028" s="2">
        <v>17490198.809999999</v>
      </c>
    </row>
    <row r="1029" spans="1:5" ht="15" x14ac:dyDescent="0.2">
      <c r="A1029" s="1" t="s">
        <v>83</v>
      </c>
      <c r="B1029" t="s">
        <v>23</v>
      </c>
      <c r="C1029" t="s">
        <v>51</v>
      </c>
      <c r="D1029">
        <v>82602</v>
      </c>
      <c r="E1029" s="2">
        <v>3255132.69</v>
      </c>
    </row>
    <row r="1030" spans="1:5" ht="15" x14ac:dyDescent="0.2">
      <c r="A1030" s="1" t="s">
        <v>96</v>
      </c>
      <c r="B1030" t="s">
        <v>44</v>
      </c>
      <c r="C1030" t="s">
        <v>51</v>
      </c>
      <c r="D1030">
        <v>82602</v>
      </c>
      <c r="E1030" s="2">
        <v>1997445.09</v>
      </c>
    </row>
    <row r="1031" spans="1:5" ht="15" x14ac:dyDescent="0.2">
      <c r="A1031" s="1" t="s">
        <v>98</v>
      </c>
      <c r="B1031" t="s">
        <v>34</v>
      </c>
      <c r="C1031" t="s">
        <v>51</v>
      </c>
      <c r="D1031">
        <v>82602</v>
      </c>
      <c r="E1031" s="2">
        <v>62539648.990000002</v>
      </c>
    </row>
    <row r="1032" spans="1:5" ht="15" x14ac:dyDescent="0.2">
      <c r="A1032" s="1" t="s">
        <v>77</v>
      </c>
      <c r="B1032" t="s">
        <v>18</v>
      </c>
      <c r="C1032" t="s">
        <v>51</v>
      </c>
      <c r="D1032">
        <v>82602</v>
      </c>
      <c r="E1032" s="2">
        <v>15929.47</v>
      </c>
    </row>
    <row r="1033" spans="1:5" ht="15" x14ac:dyDescent="0.2">
      <c r="A1033" s="1" t="s">
        <v>78</v>
      </c>
      <c r="B1033" t="s">
        <v>20</v>
      </c>
      <c r="C1033" t="s">
        <v>51</v>
      </c>
      <c r="D1033">
        <v>82602</v>
      </c>
      <c r="E1033" s="2">
        <v>1148298.79</v>
      </c>
    </row>
    <row r="1034" spans="1:5" ht="15" x14ac:dyDescent="0.2">
      <c r="A1034" s="1" t="s">
        <v>87</v>
      </c>
      <c r="B1034" t="s">
        <v>26</v>
      </c>
      <c r="C1034" t="s">
        <v>51</v>
      </c>
      <c r="D1034">
        <v>82602</v>
      </c>
      <c r="E1034" s="2">
        <v>1960954.26</v>
      </c>
    </row>
    <row r="1035" spans="1:5" ht="15" x14ac:dyDescent="0.2">
      <c r="A1035" s="1" t="s">
        <v>73</v>
      </c>
      <c r="B1035" t="s">
        <v>17</v>
      </c>
      <c r="C1035" t="s">
        <v>51</v>
      </c>
      <c r="D1035">
        <v>82602</v>
      </c>
      <c r="E1035" s="2">
        <v>789044.86</v>
      </c>
    </row>
    <row r="1036" spans="1:5" ht="15" x14ac:dyDescent="0.2">
      <c r="A1036" s="1" t="s">
        <v>105</v>
      </c>
      <c r="B1036" t="s">
        <v>41</v>
      </c>
      <c r="C1036" t="s">
        <v>51</v>
      </c>
      <c r="D1036">
        <v>82602</v>
      </c>
      <c r="E1036" s="2">
        <v>5786554.6200000001</v>
      </c>
    </row>
    <row r="1037" spans="1:5" ht="15" x14ac:dyDescent="0.2">
      <c r="A1037" s="1" t="s">
        <v>66</v>
      </c>
      <c r="B1037" t="s">
        <v>47</v>
      </c>
      <c r="C1037" t="s">
        <v>51</v>
      </c>
      <c r="D1037">
        <v>86095</v>
      </c>
      <c r="E1037" s="2">
        <v>2532967.62</v>
      </c>
    </row>
    <row r="1038" spans="1:5" ht="15" x14ac:dyDescent="0.2">
      <c r="A1038" s="1" t="s">
        <v>91</v>
      </c>
      <c r="B1038" t="s">
        <v>30</v>
      </c>
      <c r="C1038" t="s">
        <v>51</v>
      </c>
      <c r="D1038">
        <v>86095</v>
      </c>
      <c r="E1038" s="2">
        <v>67699501.120000005</v>
      </c>
    </row>
    <row r="1039" spans="1:5" ht="15" x14ac:dyDescent="0.2">
      <c r="A1039" s="1" t="s">
        <v>94</v>
      </c>
      <c r="B1039" t="s">
        <v>33</v>
      </c>
      <c r="C1039" t="s">
        <v>51</v>
      </c>
      <c r="D1039">
        <v>86095</v>
      </c>
      <c r="E1039" s="2">
        <v>28099210.16</v>
      </c>
    </row>
    <row r="1040" spans="1:5" ht="15" x14ac:dyDescent="0.2">
      <c r="A1040" s="1" t="s">
        <v>99</v>
      </c>
      <c r="B1040" t="s">
        <v>35</v>
      </c>
      <c r="C1040" t="s">
        <v>51</v>
      </c>
      <c r="D1040">
        <v>86095</v>
      </c>
      <c r="E1040" s="2">
        <v>10377626.060000001</v>
      </c>
    </row>
    <row r="1041" spans="1:5" ht="15" x14ac:dyDescent="0.2">
      <c r="A1041" s="1" t="s">
        <v>77</v>
      </c>
      <c r="B1041" t="s">
        <v>18</v>
      </c>
      <c r="C1041" t="s">
        <v>51</v>
      </c>
      <c r="D1041">
        <v>86095</v>
      </c>
      <c r="E1041" s="2">
        <v>2103807.6800000002</v>
      </c>
    </row>
    <row r="1042" spans="1:5" ht="15" x14ac:dyDescent="0.2">
      <c r="A1042" s="1" t="s">
        <v>75</v>
      </c>
      <c r="B1042" t="s">
        <v>19</v>
      </c>
      <c r="C1042" t="s">
        <v>51</v>
      </c>
      <c r="D1042">
        <v>86095</v>
      </c>
      <c r="E1042" s="2">
        <v>3871554.77</v>
      </c>
    </row>
    <row r="1043" spans="1:5" ht="15" x14ac:dyDescent="0.2">
      <c r="A1043" s="1" t="s">
        <v>104</v>
      </c>
      <c r="B1043" t="s">
        <v>40</v>
      </c>
      <c r="C1043" t="s">
        <v>51</v>
      </c>
      <c r="D1043">
        <v>86095</v>
      </c>
      <c r="E1043" s="2">
        <v>1410.78</v>
      </c>
    </row>
    <row r="1044" spans="1:5" ht="15" x14ac:dyDescent="0.2">
      <c r="A1044" s="1" t="s">
        <v>86</v>
      </c>
      <c r="B1044" t="s">
        <v>25</v>
      </c>
      <c r="C1044" t="s">
        <v>51</v>
      </c>
      <c r="D1044">
        <v>87696</v>
      </c>
      <c r="E1044" s="2">
        <v>0.02</v>
      </c>
    </row>
    <row r="1045" spans="1:5" ht="15" x14ac:dyDescent="0.2">
      <c r="A1045" s="1" t="s">
        <v>97</v>
      </c>
      <c r="B1045" t="s">
        <v>42</v>
      </c>
      <c r="C1045" t="s">
        <v>51</v>
      </c>
      <c r="D1045">
        <v>87696</v>
      </c>
      <c r="E1045" s="2">
        <v>3374924.09</v>
      </c>
    </row>
    <row r="1046" spans="1:5" ht="15" x14ac:dyDescent="0.2">
      <c r="A1046" s="1" t="s">
        <v>88</v>
      </c>
      <c r="B1046" t="s">
        <v>27</v>
      </c>
      <c r="C1046" t="s">
        <v>51</v>
      </c>
      <c r="D1046">
        <v>87696</v>
      </c>
      <c r="E1046" s="2">
        <v>22225898.34</v>
      </c>
    </row>
    <row r="1047" spans="1:5" ht="15" x14ac:dyDescent="0.2">
      <c r="A1047" s="1" t="s">
        <v>103</v>
      </c>
      <c r="B1047" t="s">
        <v>37</v>
      </c>
      <c r="C1047" t="s">
        <v>51</v>
      </c>
      <c r="D1047">
        <v>87696</v>
      </c>
      <c r="E1047" s="2">
        <v>6668533.79</v>
      </c>
    </row>
    <row r="1048" spans="1:5" ht="15" x14ac:dyDescent="0.2">
      <c r="A1048" s="1" t="s">
        <v>101</v>
      </c>
      <c r="B1048" t="s">
        <v>39</v>
      </c>
      <c r="C1048" t="s">
        <v>51</v>
      </c>
      <c r="D1048">
        <v>87696</v>
      </c>
      <c r="E1048" s="2">
        <v>2120.98</v>
      </c>
    </row>
    <row r="1049" spans="1:5" ht="15" x14ac:dyDescent="0.2">
      <c r="A1049" s="1" t="s">
        <v>75</v>
      </c>
      <c r="B1049" t="s">
        <v>19</v>
      </c>
      <c r="C1049" t="s">
        <v>51</v>
      </c>
      <c r="D1049">
        <v>87696</v>
      </c>
      <c r="E1049" s="2">
        <v>5420813.9400000004</v>
      </c>
    </row>
    <row r="1050" spans="1:5" ht="15" x14ac:dyDescent="0.2">
      <c r="A1050" s="1" t="s">
        <v>104</v>
      </c>
      <c r="B1050" t="s">
        <v>40</v>
      </c>
      <c r="C1050" t="s">
        <v>51</v>
      </c>
      <c r="D1050">
        <v>87696</v>
      </c>
      <c r="E1050" s="2">
        <v>47056747.890000001</v>
      </c>
    </row>
    <row r="1051" spans="1:5" ht="15" x14ac:dyDescent="0.2">
      <c r="A1051" s="1" t="s">
        <v>105</v>
      </c>
      <c r="B1051" t="s">
        <v>41</v>
      </c>
      <c r="C1051" t="s">
        <v>51</v>
      </c>
      <c r="D1051">
        <v>87696</v>
      </c>
      <c r="E1051" s="2">
        <v>5510864.6399999997</v>
      </c>
    </row>
    <row r="1052" spans="1:5" ht="15" x14ac:dyDescent="0.2">
      <c r="A1052" s="1" t="s">
        <v>69</v>
      </c>
      <c r="B1052" t="s">
        <v>7</v>
      </c>
      <c r="C1052" t="s">
        <v>51</v>
      </c>
      <c r="D1052">
        <v>87696</v>
      </c>
      <c r="E1052" s="2">
        <v>8844679.2799999993</v>
      </c>
    </row>
    <row r="1053" spans="1:5" ht="15" x14ac:dyDescent="0.2">
      <c r="A1053" s="1" t="s">
        <v>66</v>
      </c>
      <c r="B1053" t="s">
        <v>47</v>
      </c>
      <c r="C1053" t="s">
        <v>51</v>
      </c>
      <c r="D1053">
        <v>88179</v>
      </c>
      <c r="E1053" s="2">
        <v>3770628.92</v>
      </c>
    </row>
    <row r="1054" spans="1:5" ht="15" x14ac:dyDescent="0.2">
      <c r="A1054" s="1" t="s">
        <v>84</v>
      </c>
      <c r="B1054" t="s">
        <v>16</v>
      </c>
      <c r="C1054" t="s">
        <v>51</v>
      </c>
      <c r="D1054">
        <v>88179</v>
      </c>
      <c r="E1054" s="2">
        <v>6960108.5199999996</v>
      </c>
    </row>
    <row r="1055" spans="1:5" ht="15" x14ac:dyDescent="0.2">
      <c r="A1055" s="1" t="s">
        <v>75</v>
      </c>
      <c r="B1055" t="s">
        <v>12</v>
      </c>
      <c r="C1055" t="s">
        <v>51</v>
      </c>
      <c r="D1055">
        <v>88179</v>
      </c>
      <c r="E1055" s="2">
        <v>21046979.890000001</v>
      </c>
    </row>
    <row r="1056" spans="1:5" ht="15" x14ac:dyDescent="0.2">
      <c r="A1056" s="1" t="s">
        <v>99</v>
      </c>
      <c r="B1056" t="s">
        <v>35</v>
      </c>
      <c r="C1056" t="s">
        <v>51</v>
      </c>
      <c r="D1056">
        <v>88179</v>
      </c>
      <c r="E1056" s="2">
        <v>13443291.75</v>
      </c>
    </row>
    <row r="1057" spans="1:5" ht="15" x14ac:dyDescent="0.2">
      <c r="A1057" s="1" t="s">
        <v>73</v>
      </c>
      <c r="B1057" t="s">
        <v>17</v>
      </c>
      <c r="C1057" t="s">
        <v>51</v>
      </c>
      <c r="D1057">
        <v>88179</v>
      </c>
      <c r="E1057" s="2">
        <v>0.05</v>
      </c>
    </row>
    <row r="1058" spans="1:5" ht="15" x14ac:dyDescent="0.2">
      <c r="A1058" s="1" t="s">
        <v>101</v>
      </c>
      <c r="B1058" t="s">
        <v>39</v>
      </c>
      <c r="C1058" t="s">
        <v>51</v>
      </c>
      <c r="D1058">
        <v>88179</v>
      </c>
      <c r="E1058" s="2">
        <v>9391912.6099999994</v>
      </c>
    </row>
    <row r="1059" spans="1:5" ht="15" x14ac:dyDescent="0.2">
      <c r="A1059" s="1" t="s">
        <v>90</v>
      </c>
      <c r="B1059" t="s">
        <v>29</v>
      </c>
      <c r="C1059" t="s">
        <v>52</v>
      </c>
      <c r="D1059">
        <v>14686</v>
      </c>
      <c r="E1059" s="2">
        <v>24949916.309999999</v>
      </c>
    </row>
    <row r="1060" spans="1:5" ht="15" x14ac:dyDescent="0.2">
      <c r="A1060" s="1" t="s">
        <v>93</v>
      </c>
      <c r="B1060" t="s">
        <v>32</v>
      </c>
      <c r="C1060" t="s">
        <v>52</v>
      </c>
      <c r="D1060">
        <v>14686</v>
      </c>
      <c r="E1060" s="2">
        <v>22928487.760000002</v>
      </c>
    </row>
    <row r="1061" spans="1:5" ht="15" x14ac:dyDescent="0.2">
      <c r="A1061" s="1" t="s">
        <v>64</v>
      </c>
      <c r="B1061" t="s">
        <v>3</v>
      </c>
      <c r="C1061" t="s">
        <v>52</v>
      </c>
      <c r="D1061">
        <v>14686</v>
      </c>
      <c r="E1061" s="2">
        <v>5779.52</v>
      </c>
    </row>
    <row r="1062" spans="1:5" ht="15" x14ac:dyDescent="0.2">
      <c r="A1062" s="1" t="s">
        <v>68</v>
      </c>
      <c r="B1062" t="s">
        <v>6</v>
      </c>
      <c r="C1062" t="s">
        <v>52</v>
      </c>
      <c r="D1062">
        <v>14686</v>
      </c>
      <c r="E1062" s="2">
        <v>2084562.71</v>
      </c>
    </row>
    <row r="1063" spans="1:5" ht="15" x14ac:dyDescent="0.2">
      <c r="A1063" s="1" t="s">
        <v>77</v>
      </c>
      <c r="B1063" t="s">
        <v>18</v>
      </c>
      <c r="C1063" t="s">
        <v>52</v>
      </c>
      <c r="D1063">
        <v>14686</v>
      </c>
      <c r="E1063" s="2">
        <v>7458616.3799999999</v>
      </c>
    </row>
    <row r="1064" spans="1:5" ht="15" x14ac:dyDescent="0.2">
      <c r="A1064" s="1" t="s">
        <v>100</v>
      </c>
      <c r="B1064" t="s">
        <v>43</v>
      </c>
      <c r="C1064" t="s">
        <v>52</v>
      </c>
      <c r="D1064">
        <v>14686</v>
      </c>
      <c r="E1064" s="2">
        <v>1131.1199999999999</v>
      </c>
    </row>
    <row r="1065" spans="1:5" ht="15" x14ac:dyDescent="0.2">
      <c r="A1065" s="1" t="s">
        <v>81</v>
      </c>
      <c r="B1065" t="s">
        <v>14</v>
      </c>
      <c r="C1065" t="s">
        <v>52</v>
      </c>
      <c r="D1065">
        <v>14686</v>
      </c>
      <c r="E1065" s="2">
        <v>5611821.7199999997</v>
      </c>
    </row>
    <row r="1066" spans="1:5" ht="15" x14ac:dyDescent="0.2">
      <c r="A1066" s="1" t="s">
        <v>88</v>
      </c>
      <c r="B1066" t="s">
        <v>27</v>
      </c>
      <c r="C1066" t="s">
        <v>52</v>
      </c>
      <c r="D1066">
        <v>14686</v>
      </c>
      <c r="E1066" s="2">
        <v>3313921.19</v>
      </c>
    </row>
    <row r="1067" spans="1:5" ht="15" x14ac:dyDescent="0.2">
      <c r="A1067" s="1" t="s">
        <v>75</v>
      </c>
      <c r="B1067" t="s">
        <v>19</v>
      </c>
      <c r="C1067" t="s">
        <v>52</v>
      </c>
      <c r="D1067">
        <v>14686</v>
      </c>
      <c r="E1067" s="2">
        <v>441650.98</v>
      </c>
    </row>
    <row r="1068" spans="1:5" ht="15" x14ac:dyDescent="0.2">
      <c r="A1068" s="1" t="s">
        <v>65</v>
      </c>
      <c r="B1068" t="s">
        <v>4</v>
      </c>
      <c r="C1068" t="s">
        <v>52</v>
      </c>
      <c r="D1068">
        <v>14686</v>
      </c>
      <c r="E1068" s="2">
        <v>1647627.79</v>
      </c>
    </row>
    <row r="1069" spans="1:5" ht="15" x14ac:dyDescent="0.2">
      <c r="A1069" s="1" t="s">
        <v>70</v>
      </c>
      <c r="B1069" t="s">
        <v>8</v>
      </c>
      <c r="C1069" t="s">
        <v>52</v>
      </c>
      <c r="D1069">
        <v>14686</v>
      </c>
      <c r="E1069" s="2">
        <v>78613769.049999997</v>
      </c>
    </row>
    <row r="1070" spans="1:5" ht="15" x14ac:dyDescent="0.2">
      <c r="A1070" s="1" t="s">
        <v>79</v>
      </c>
      <c r="B1070" t="s">
        <v>21</v>
      </c>
      <c r="C1070" t="s">
        <v>52</v>
      </c>
      <c r="D1070">
        <v>15595</v>
      </c>
      <c r="E1070" s="2">
        <v>6001762.4000000004</v>
      </c>
    </row>
    <row r="1071" spans="1:5" ht="15" x14ac:dyDescent="0.2">
      <c r="A1071" s="1" t="s">
        <v>92</v>
      </c>
      <c r="B1071" t="s">
        <v>31</v>
      </c>
      <c r="C1071" t="s">
        <v>52</v>
      </c>
      <c r="D1071">
        <v>15595</v>
      </c>
      <c r="E1071" s="2">
        <v>1.05</v>
      </c>
    </row>
    <row r="1072" spans="1:5" ht="15" x14ac:dyDescent="0.2">
      <c r="A1072" s="1" t="s">
        <v>93</v>
      </c>
      <c r="B1072" t="s">
        <v>32</v>
      </c>
      <c r="C1072" t="s">
        <v>52</v>
      </c>
      <c r="D1072">
        <v>15595</v>
      </c>
      <c r="E1072" s="2">
        <v>5642263.5599999996</v>
      </c>
    </row>
    <row r="1073" spans="1:5" ht="15" x14ac:dyDescent="0.2">
      <c r="A1073" s="1" t="s">
        <v>84</v>
      </c>
      <c r="B1073" t="s">
        <v>16</v>
      </c>
      <c r="C1073" t="s">
        <v>52</v>
      </c>
      <c r="D1073">
        <v>15595</v>
      </c>
      <c r="E1073" s="2">
        <v>5211341.76</v>
      </c>
    </row>
    <row r="1074" spans="1:5" ht="15" x14ac:dyDescent="0.2">
      <c r="A1074" s="1" t="s">
        <v>74</v>
      </c>
      <c r="B1074" t="s">
        <v>11</v>
      </c>
      <c r="C1074" t="s">
        <v>52</v>
      </c>
      <c r="D1074">
        <v>15595</v>
      </c>
      <c r="E1074" s="2">
        <v>281835.2</v>
      </c>
    </row>
    <row r="1075" spans="1:5" ht="15" x14ac:dyDescent="0.2">
      <c r="A1075" s="1" t="s">
        <v>96</v>
      </c>
      <c r="B1075" t="s">
        <v>44</v>
      </c>
      <c r="C1075" t="s">
        <v>52</v>
      </c>
      <c r="D1075">
        <v>15595</v>
      </c>
      <c r="E1075" s="2">
        <v>9167503.8399999999</v>
      </c>
    </row>
    <row r="1076" spans="1:5" ht="15" x14ac:dyDescent="0.2">
      <c r="A1076" s="1" t="s">
        <v>68</v>
      </c>
      <c r="B1076" t="s">
        <v>6</v>
      </c>
      <c r="C1076" t="s">
        <v>52</v>
      </c>
      <c r="D1076">
        <v>15595</v>
      </c>
      <c r="E1076" s="2">
        <v>1828086.85</v>
      </c>
    </row>
    <row r="1077" spans="1:5" ht="15" x14ac:dyDescent="0.2">
      <c r="A1077" s="1" t="s">
        <v>100</v>
      </c>
      <c r="B1077" t="s">
        <v>43</v>
      </c>
      <c r="C1077" t="s">
        <v>52</v>
      </c>
      <c r="D1077">
        <v>15595</v>
      </c>
      <c r="E1077" s="2">
        <v>242.03</v>
      </c>
    </row>
    <row r="1078" spans="1:5" ht="15" x14ac:dyDescent="0.2">
      <c r="A1078" s="1" t="s">
        <v>88</v>
      </c>
      <c r="B1078" t="s">
        <v>27</v>
      </c>
      <c r="C1078" t="s">
        <v>52</v>
      </c>
      <c r="D1078">
        <v>15595</v>
      </c>
      <c r="E1078" s="2">
        <v>1133.1500000000001</v>
      </c>
    </row>
    <row r="1079" spans="1:5" ht="15" x14ac:dyDescent="0.2">
      <c r="A1079" s="1" t="s">
        <v>73</v>
      </c>
      <c r="B1079" t="s">
        <v>17</v>
      </c>
      <c r="C1079" t="s">
        <v>52</v>
      </c>
      <c r="D1079">
        <v>15595</v>
      </c>
      <c r="E1079" s="2">
        <v>1972893.5</v>
      </c>
    </row>
    <row r="1080" spans="1:5" ht="15" x14ac:dyDescent="0.2">
      <c r="A1080" s="1" t="s">
        <v>104</v>
      </c>
      <c r="B1080" t="s">
        <v>40</v>
      </c>
      <c r="C1080" t="s">
        <v>52</v>
      </c>
      <c r="D1080">
        <v>15595</v>
      </c>
      <c r="E1080" s="2">
        <v>21343254.57</v>
      </c>
    </row>
    <row r="1081" spans="1:5" ht="15" x14ac:dyDescent="0.2">
      <c r="A1081" s="1" t="s">
        <v>70</v>
      </c>
      <c r="B1081" t="s">
        <v>8</v>
      </c>
      <c r="C1081" t="s">
        <v>52</v>
      </c>
      <c r="D1081">
        <v>15595</v>
      </c>
      <c r="E1081" s="2">
        <v>671.58</v>
      </c>
    </row>
    <row r="1082" spans="1:5" ht="15" x14ac:dyDescent="0.2">
      <c r="A1082" s="1" t="s">
        <v>92</v>
      </c>
      <c r="B1082" t="s">
        <v>31</v>
      </c>
      <c r="C1082" t="s">
        <v>52</v>
      </c>
      <c r="D1082">
        <v>24905</v>
      </c>
      <c r="E1082" s="2">
        <v>11727497.25</v>
      </c>
    </row>
    <row r="1083" spans="1:5" ht="15" x14ac:dyDescent="0.2">
      <c r="A1083" s="1" t="s">
        <v>93</v>
      </c>
      <c r="B1083" t="s">
        <v>32</v>
      </c>
      <c r="C1083" t="s">
        <v>52</v>
      </c>
      <c r="D1083">
        <v>24905</v>
      </c>
      <c r="E1083" s="2">
        <v>20221238.66</v>
      </c>
    </row>
    <row r="1084" spans="1:5" ht="15" x14ac:dyDescent="0.2">
      <c r="A1084" s="1" t="s">
        <v>64</v>
      </c>
      <c r="B1084" t="s">
        <v>3</v>
      </c>
      <c r="C1084" t="s">
        <v>52</v>
      </c>
      <c r="D1084">
        <v>24905</v>
      </c>
      <c r="E1084" s="2">
        <v>7995.9</v>
      </c>
    </row>
    <row r="1085" spans="1:5" ht="15" x14ac:dyDescent="0.2">
      <c r="A1085" s="1" t="s">
        <v>95</v>
      </c>
      <c r="B1085" t="s">
        <v>38</v>
      </c>
      <c r="C1085" t="s">
        <v>52</v>
      </c>
      <c r="D1085">
        <v>24905</v>
      </c>
      <c r="E1085" s="2">
        <v>8577.6200000000008</v>
      </c>
    </row>
    <row r="1086" spans="1:5" ht="15" x14ac:dyDescent="0.2">
      <c r="A1086" s="1" t="s">
        <v>100</v>
      </c>
      <c r="B1086" t="s">
        <v>43</v>
      </c>
      <c r="C1086" t="s">
        <v>52</v>
      </c>
      <c r="D1086">
        <v>24905</v>
      </c>
      <c r="E1086" s="2">
        <v>4738645.3099999996</v>
      </c>
    </row>
    <row r="1087" spans="1:5" ht="15" x14ac:dyDescent="0.2">
      <c r="A1087" s="1" t="s">
        <v>81</v>
      </c>
      <c r="B1087" t="s">
        <v>14</v>
      </c>
      <c r="C1087" t="s">
        <v>52</v>
      </c>
      <c r="D1087">
        <v>24905</v>
      </c>
      <c r="E1087" s="2">
        <v>4314974.2300000004</v>
      </c>
    </row>
    <row r="1088" spans="1:5" ht="15" x14ac:dyDescent="0.2">
      <c r="A1088" s="1" t="s">
        <v>88</v>
      </c>
      <c r="B1088" t="s">
        <v>27</v>
      </c>
      <c r="C1088" t="s">
        <v>52</v>
      </c>
      <c r="D1088">
        <v>24905</v>
      </c>
      <c r="E1088" s="2">
        <v>4082722.5</v>
      </c>
    </row>
    <row r="1089" spans="1:5" ht="15" x14ac:dyDescent="0.2">
      <c r="A1089" s="1" t="s">
        <v>103</v>
      </c>
      <c r="B1089" t="s">
        <v>37</v>
      </c>
      <c r="C1089" t="s">
        <v>52</v>
      </c>
      <c r="D1089">
        <v>24905</v>
      </c>
      <c r="E1089" s="2">
        <v>6425368.2699999996</v>
      </c>
    </row>
    <row r="1090" spans="1:5" ht="15" x14ac:dyDescent="0.2">
      <c r="A1090" s="1" t="s">
        <v>101</v>
      </c>
      <c r="B1090" t="s">
        <v>39</v>
      </c>
      <c r="C1090" t="s">
        <v>52</v>
      </c>
      <c r="D1090">
        <v>24905</v>
      </c>
      <c r="E1090" s="2">
        <v>2163278.89</v>
      </c>
    </row>
    <row r="1091" spans="1:5" ht="15" x14ac:dyDescent="0.2">
      <c r="A1091" s="1" t="s">
        <v>71</v>
      </c>
      <c r="B1091" t="s">
        <v>9</v>
      </c>
      <c r="C1091" t="s">
        <v>52</v>
      </c>
      <c r="D1091">
        <v>24905</v>
      </c>
      <c r="E1091" s="2">
        <v>893.85</v>
      </c>
    </row>
    <row r="1092" spans="1:5" ht="15" x14ac:dyDescent="0.2">
      <c r="A1092" s="1" t="s">
        <v>89</v>
      </c>
      <c r="B1092" t="s">
        <v>28</v>
      </c>
      <c r="C1092" t="s">
        <v>52</v>
      </c>
      <c r="D1092">
        <v>25937</v>
      </c>
      <c r="E1092" s="2">
        <v>1347062.82</v>
      </c>
    </row>
    <row r="1093" spans="1:5" ht="15" x14ac:dyDescent="0.2">
      <c r="A1093" s="1" t="s">
        <v>90</v>
      </c>
      <c r="B1093" t="s">
        <v>29</v>
      </c>
      <c r="C1093" t="s">
        <v>52</v>
      </c>
      <c r="D1093">
        <v>25937</v>
      </c>
      <c r="E1093" s="2">
        <v>0.91</v>
      </c>
    </row>
    <row r="1094" spans="1:5" ht="15" x14ac:dyDescent="0.2">
      <c r="A1094" s="1" t="s">
        <v>92</v>
      </c>
      <c r="B1094" t="s">
        <v>31</v>
      </c>
      <c r="C1094" t="s">
        <v>52</v>
      </c>
      <c r="D1094">
        <v>25937</v>
      </c>
      <c r="E1094" s="2">
        <v>13761295.960000001</v>
      </c>
    </row>
    <row r="1095" spans="1:5" ht="15" x14ac:dyDescent="0.2">
      <c r="A1095" s="1" t="s">
        <v>93</v>
      </c>
      <c r="B1095" t="s">
        <v>32</v>
      </c>
      <c r="C1095" t="s">
        <v>52</v>
      </c>
      <c r="D1095">
        <v>25937</v>
      </c>
      <c r="E1095" s="2">
        <v>943.15</v>
      </c>
    </row>
    <row r="1096" spans="1:5" ht="15" x14ac:dyDescent="0.2">
      <c r="A1096" s="1" t="s">
        <v>64</v>
      </c>
      <c r="B1096" t="s">
        <v>3</v>
      </c>
      <c r="C1096" t="s">
        <v>52</v>
      </c>
      <c r="D1096">
        <v>25937</v>
      </c>
      <c r="E1096" s="2">
        <v>14639312.369999999</v>
      </c>
    </row>
    <row r="1097" spans="1:5" ht="15" x14ac:dyDescent="0.2">
      <c r="A1097" s="1" t="s">
        <v>84</v>
      </c>
      <c r="B1097" t="s">
        <v>16</v>
      </c>
      <c r="C1097" t="s">
        <v>52</v>
      </c>
      <c r="D1097">
        <v>25937</v>
      </c>
      <c r="E1097" s="2">
        <v>550.21</v>
      </c>
    </row>
    <row r="1098" spans="1:5" ht="15" x14ac:dyDescent="0.2">
      <c r="A1098" s="1" t="s">
        <v>102</v>
      </c>
      <c r="B1098" t="s">
        <v>36</v>
      </c>
      <c r="C1098" t="s">
        <v>52</v>
      </c>
      <c r="D1098">
        <v>25937</v>
      </c>
      <c r="E1098" s="2">
        <v>1222886.51</v>
      </c>
    </row>
    <row r="1099" spans="1:5" ht="15" x14ac:dyDescent="0.2">
      <c r="A1099" s="1" t="s">
        <v>73</v>
      </c>
      <c r="B1099" t="s">
        <v>17</v>
      </c>
      <c r="C1099" t="s">
        <v>52</v>
      </c>
      <c r="D1099">
        <v>25937</v>
      </c>
      <c r="E1099" s="2">
        <v>1104342.28</v>
      </c>
    </row>
    <row r="1100" spans="1:5" ht="15" x14ac:dyDescent="0.2">
      <c r="A1100" s="1" t="s">
        <v>65</v>
      </c>
      <c r="B1100" t="s">
        <v>4</v>
      </c>
      <c r="C1100" t="s">
        <v>52</v>
      </c>
      <c r="D1100">
        <v>25937</v>
      </c>
      <c r="E1100" s="2">
        <v>1567498.6</v>
      </c>
    </row>
    <row r="1101" spans="1:5" ht="15" x14ac:dyDescent="0.2">
      <c r="A1101" s="1" t="s">
        <v>104</v>
      </c>
      <c r="B1101" t="s">
        <v>40</v>
      </c>
      <c r="C1101" t="s">
        <v>52</v>
      </c>
      <c r="D1101">
        <v>25937</v>
      </c>
      <c r="E1101" s="2">
        <v>2014407.94</v>
      </c>
    </row>
    <row r="1102" spans="1:5" ht="15" x14ac:dyDescent="0.2">
      <c r="A1102" s="1" t="s">
        <v>70</v>
      </c>
      <c r="B1102" t="s">
        <v>8</v>
      </c>
      <c r="C1102" t="s">
        <v>52</v>
      </c>
      <c r="D1102">
        <v>25937</v>
      </c>
      <c r="E1102" s="2">
        <v>0.04</v>
      </c>
    </row>
    <row r="1103" spans="1:5" ht="15" x14ac:dyDescent="0.2">
      <c r="A1103" s="1" t="s">
        <v>91</v>
      </c>
      <c r="B1103" t="s">
        <v>30</v>
      </c>
      <c r="C1103" t="s">
        <v>52</v>
      </c>
      <c r="D1103">
        <v>26271</v>
      </c>
      <c r="E1103" s="2">
        <v>69361051.390000001</v>
      </c>
    </row>
    <row r="1104" spans="1:5" ht="15" x14ac:dyDescent="0.2">
      <c r="A1104" s="1" t="s">
        <v>85</v>
      </c>
      <c r="B1104" t="s">
        <v>24</v>
      </c>
      <c r="C1104" t="s">
        <v>52</v>
      </c>
      <c r="D1104">
        <v>26271</v>
      </c>
      <c r="E1104" s="2">
        <v>25934757.98</v>
      </c>
    </row>
    <row r="1105" spans="1:5" ht="15" x14ac:dyDescent="0.2">
      <c r="A1105" s="1" t="s">
        <v>74</v>
      </c>
      <c r="B1105" t="s">
        <v>11</v>
      </c>
      <c r="C1105" t="s">
        <v>52</v>
      </c>
      <c r="D1105">
        <v>26271</v>
      </c>
      <c r="E1105" s="2">
        <v>0.65</v>
      </c>
    </row>
    <row r="1106" spans="1:5" ht="15" x14ac:dyDescent="0.2">
      <c r="A1106" s="1" t="s">
        <v>81</v>
      </c>
      <c r="B1106" t="s">
        <v>14</v>
      </c>
      <c r="C1106" t="s">
        <v>52</v>
      </c>
      <c r="D1106">
        <v>26271</v>
      </c>
      <c r="E1106" s="2">
        <v>5881819.8399999999</v>
      </c>
    </row>
    <row r="1107" spans="1:5" ht="15" x14ac:dyDescent="0.2">
      <c r="A1107" s="1" t="s">
        <v>102</v>
      </c>
      <c r="B1107" t="s">
        <v>36</v>
      </c>
      <c r="C1107" t="s">
        <v>52</v>
      </c>
      <c r="D1107">
        <v>26271</v>
      </c>
      <c r="E1107" s="2">
        <v>2069562.69</v>
      </c>
    </row>
    <row r="1108" spans="1:5" ht="15" x14ac:dyDescent="0.2">
      <c r="A1108" s="1" t="s">
        <v>73</v>
      </c>
      <c r="B1108" t="s">
        <v>17</v>
      </c>
      <c r="C1108" t="s">
        <v>52</v>
      </c>
      <c r="D1108">
        <v>26271</v>
      </c>
      <c r="E1108" s="2">
        <v>1278243.4099999999</v>
      </c>
    </row>
    <row r="1109" spans="1:5" ht="15" x14ac:dyDescent="0.2">
      <c r="A1109" s="1" t="s">
        <v>71</v>
      </c>
      <c r="B1109" t="s">
        <v>9</v>
      </c>
      <c r="C1109" t="s">
        <v>52</v>
      </c>
      <c r="D1109">
        <v>26271</v>
      </c>
      <c r="E1109" s="2">
        <v>15966043.720000001</v>
      </c>
    </row>
    <row r="1110" spans="1:5" ht="15" x14ac:dyDescent="0.2">
      <c r="A1110" s="1" t="s">
        <v>93</v>
      </c>
      <c r="B1110" t="s">
        <v>32</v>
      </c>
      <c r="C1110" t="s">
        <v>52</v>
      </c>
      <c r="D1110">
        <v>28291</v>
      </c>
      <c r="E1110" s="2">
        <v>11466928.460000001</v>
      </c>
    </row>
    <row r="1111" spans="1:5" ht="15" x14ac:dyDescent="0.2">
      <c r="A1111" s="1" t="s">
        <v>75</v>
      </c>
      <c r="B1111" t="s">
        <v>12</v>
      </c>
      <c r="C1111" t="s">
        <v>52</v>
      </c>
      <c r="D1111">
        <v>28291</v>
      </c>
      <c r="E1111" s="2">
        <v>13967.75</v>
      </c>
    </row>
    <row r="1112" spans="1:5" ht="15" x14ac:dyDescent="0.2">
      <c r="A1112" s="1" t="s">
        <v>74</v>
      </c>
      <c r="B1112" t="s">
        <v>11</v>
      </c>
      <c r="C1112" t="s">
        <v>52</v>
      </c>
      <c r="D1112">
        <v>28291</v>
      </c>
      <c r="E1112" s="2">
        <v>340005.38</v>
      </c>
    </row>
    <row r="1113" spans="1:5" ht="15" x14ac:dyDescent="0.2">
      <c r="A1113" s="1" t="s">
        <v>100</v>
      </c>
      <c r="B1113" t="s">
        <v>43</v>
      </c>
      <c r="C1113" t="s">
        <v>52</v>
      </c>
      <c r="D1113">
        <v>28291</v>
      </c>
      <c r="E1113" s="2">
        <v>3438491.05</v>
      </c>
    </row>
    <row r="1114" spans="1:5" ht="15" x14ac:dyDescent="0.2">
      <c r="A1114" s="1" t="s">
        <v>73</v>
      </c>
      <c r="B1114" t="s">
        <v>17</v>
      </c>
      <c r="C1114" t="s">
        <v>52</v>
      </c>
      <c r="D1114">
        <v>28291</v>
      </c>
      <c r="E1114" s="2">
        <v>939243.03</v>
      </c>
    </row>
    <row r="1115" spans="1:5" ht="15" x14ac:dyDescent="0.2">
      <c r="A1115" s="1" t="s">
        <v>75</v>
      </c>
      <c r="B1115" t="s">
        <v>19</v>
      </c>
      <c r="C1115" t="s">
        <v>52</v>
      </c>
      <c r="D1115">
        <v>28291</v>
      </c>
      <c r="E1115" s="2">
        <v>2423316.27</v>
      </c>
    </row>
    <row r="1116" spans="1:5" ht="15" x14ac:dyDescent="0.2">
      <c r="A1116" s="1" t="s">
        <v>104</v>
      </c>
      <c r="B1116" t="s">
        <v>40</v>
      </c>
      <c r="C1116" t="s">
        <v>52</v>
      </c>
      <c r="D1116">
        <v>28291</v>
      </c>
      <c r="E1116" s="2">
        <v>6353192.0999999996</v>
      </c>
    </row>
    <row r="1117" spans="1:5" ht="15" x14ac:dyDescent="0.2">
      <c r="A1117" s="1" t="s">
        <v>70</v>
      </c>
      <c r="B1117" t="s">
        <v>8</v>
      </c>
      <c r="C1117" t="s">
        <v>52</v>
      </c>
      <c r="D1117">
        <v>28291</v>
      </c>
      <c r="E1117" s="2">
        <v>40385569.439999998</v>
      </c>
    </row>
    <row r="1118" spans="1:5" ht="15" x14ac:dyDescent="0.2">
      <c r="A1118" s="1" t="s">
        <v>79</v>
      </c>
      <c r="B1118" t="s">
        <v>21</v>
      </c>
      <c r="C1118" t="s">
        <v>52</v>
      </c>
      <c r="D1118">
        <v>30310</v>
      </c>
      <c r="E1118" s="2">
        <v>4611942.93</v>
      </c>
    </row>
    <row r="1119" spans="1:5" ht="15" x14ac:dyDescent="0.2">
      <c r="A1119" s="1" t="s">
        <v>89</v>
      </c>
      <c r="B1119" t="s">
        <v>28</v>
      </c>
      <c r="C1119" t="s">
        <v>52</v>
      </c>
      <c r="D1119">
        <v>30310</v>
      </c>
      <c r="E1119" s="2">
        <v>2245.06</v>
      </c>
    </row>
    <row r="1120" spans="1:5" ht="15" x14ac:dyDescent="0.2">
      <c r="A1120" s="1" t="s">
        <v>64</v>
      </c>
      <c r="B1120" t="s">
        <v>3</v>
      </c>
      <c r="C1120" t="s">
        <v>52</v>
      </c>
      <c r="D1120">
        <v>30310</v>
      </c>
      <c r="E1120" s="2">
        <v>2531466.92</v>
      </c>
    </row>
    <row r="1121" spans="1:5" ht="15" x14ac:dyDescent="0.2">
      <c r="A1121" s="1" t="s">
        <v>84</v>
      </c>
      <c r="B1121" t="s">
        <v>16</v>
      </c>
      <c r="C1121" t="s">
        <v>52</v>
      </c>
      <c r="D1121">
        <v>30310</v>
      </c>
      <c r="E1121" s="2">
        <v>12407335.130000001</v>
      </c>
    </row>
    <row r="1122" spans="1:5" ht="15" x14ac:dyDescent="0.2">
      <c r="A1122" s="1" t="s">
        <v>95</v>
      </c>
      <c r="B1122" t="s">
        <v>38</v>
      </c>
      <c r="C1122" t="s">
        <v>52</v>
      </c>
      <c r="D1122">
        <v>30310</v>
      </c>
      <c r="E1122" s="2">
        <v>105624771.59999999</v>
      </c>
    </row>
    <row r="1123" spans="1:5" ht="15" x14ac:dyDescent="0.2">
      <c r="A1123" s="1" t="s">
        <v>76</v>
      </c>
      <c r="B1123" t="s">
        <v>13</v>
      </c>
      <c r="C1123" t="s">
        <v>52</v>
      </c>
      <c r="D1123">
        <v>30310</v>
      </c>
      <c r="E1123" s="2">
        <v>6558025.04</v>
      </c>
    </row>
    <row r="1124" spans="1:5" ht="15" x14ac:dyDescent="0.2">
      <c r="A1124" s="1" t="s">
        <v>74</v>
      </c>
      <c r="B1124" t="s">
        <v>11</v>
      </c>
      <c r="C1124" t="s">
        <v>52</v>
      </c>
      <c r="D1124">
        <v>30310</v>
      </c>
      <c r="E1124" s="2">
        <v>302333.32</v>
      </c>
    </row>
    <row r="1125" spans="1:5" ht="15" x14ac:dyDescent="0.2">
      <c r="A1125" s="1" t="s">
        <v>96</v>
      </c>
      <c r="B1125" t="s">
        <v>44</v>
      </c>
      <c r="C1125" t="s">
        <v>52</v>
      </c>
      <c r="D1125">
        <v>30310</v>
      </c>
      <c r="E1125" s="2">
        <v>0.98</v>
      </c>
    </row>
    <row r="1126" spans="1:5" ht="15" x14ac:dyDescent="0.2">
      <c r="A1126" s="1" t="s">
        <v>98</v>
      </c>
      <c r="B1126" t="s">
        <v>34</v>
      </c>
      <c r="C1126" t="s">
        <v>52</v>
      </c>
      <c r="D1126">
        <v>30310</v>
      </c>
      <c r="E1126" s="2">
        <v>34870625.710000001</v>
      </c>
    </row>
    <row r="1127" spans="1:5" ht="15" x14ac:dyDescent="0.2">
      <c r="A1127" s="1" t="s">
        <v>100</v>
      </c>
      <c r="B1127" t="s">
        <v>43</v>
      </c>
      <c r="C1127" t="s">
        <v>52</v>
      </c>
      <c r="D1127">
        <v>30310</v>
      </c>
      <c r="E1127" s="2">
        <v>2012741.13</v>
      </c>
    </row>
    <row r="1128" spans="1:5" ht="15" x14ac:dyDescent="0.2">
      <c r="A1128" s="1" t="s">
        <v>82</v>
      </c>
      <c r="B1128" t="s">
        <v>15</v>
      </c>
      <c r="C1128" t="s">
        <v>52</v>
      </c>
      <c r="D1128">
        <v>30310</v>
      </c>
      <c r="E1128" s="2">
        <v>5913384.7300000004</v>
      </c>
    </row>
    <row r="1129" spans="1:5" ht="15" x14ac:dyDescent="0.2">
      <c r="A1129" s="1" t="s">
        <v>95</v>
      </c>
      <c r="B1129" t="s">
        <v>38</v>
      </c>
      <c r="C1129" t="s">
        <v>52</v>
      </c>
      <c r="D1129">
        <v>30776</v>
      </c>
      <c r="E1129" s="2">
        <v>288136216.69</v>
      </c>
    </row>
    <row r="1130" spans="1:5" ht="15" x14ac:dyDescent="0.2">
      <c r="A1130" s="1" t="s">
        <v>76</v>
      </c>
      <c r="B1130" t="s">
        <v>13</v>
      </c>
      <c r="C1130" t="s">
        <v>52</v>
      </c>
      <c r="D1130">
        <v>30776</v>
      </c>
      <c r="E1130" s="2">
        <v>7224897.2000000002</v>
      </c>
    </row>
    <row r="1131" spans="1:5" ht="15" x14ac:dyDescent="0.2">
      <c r="A1131" s="1" t="s">
        <v>98</v>
      </c>
      <c r="B1131" t="s">
        <v>34</v>
      </c>
      <c r="C1131" t="s">
        <v>52</v>
      </c>
      <c r="D1131">
        <v>30776</v>
      </c>
      <c r="E1131" s="2">
        <v>8683.94</v>
      </c>
    </row>
    <row r="1132" spans="1:5" ht="15" x14ac:dyDescent="0.2">
      <c r="A1132" s="1" t="s">
        <v>88</v>
      </c>
      <c r="B1132" t="s">
        <v>27</v>
      </c>
      <c r="C1132" t="s">
        <v>52</v>
      </c>
      <c r="D1132">
        <v>30776</v>
      </c>
      <c r="E1132" s="2">
        <v>2360408.5499999998</v>
      </c>
    </row>
    <row r="1133" spans="1:5" ht="15" x14ac:dyDescent="0.2">
      <c r="A1133" s="1" t="s">
        <v>75</v>
      </c>
      <c r="B1133" t="s">
        <v>19</v>
      </c>
      <c r="C1133" t="s">
        <v>52</v>
      </c>
      <c r="D1133">
        <v>30776</v>
      </c>
      <c r="E1133" s="2">
        <v>1173909.71</v>
      </c>
    </row>
    <row r="1134" spans="1:5" ht="15" x14ac:dyDescent="0.2">
      <c r="A1134" s="1" t="s">
        <v>104</v>
      </c>
      <c r="B1134" t="s">
        <v>40</v>
      </c>
      <c r="C1134" t="s">
        <v>52</v>
      </c>
      <c r="D1134">
        <v>30776</v>
      </c>
      <c r="E1134" s="2">
        <v>2160866.2400000002</v>
      </c>
    </row>
    <row r="1135" spans="1:5" ht="15" x14ac:dyDescent="0.2">
      <c r="A1135" s="1" t="s">
        <v>70</v>
      </c>
      <c r="B1135" t="s">
        <v>8</v>
      </c>
      <c r="C1135" t="s">
        <v>52</v>
      </c>
      <c r="D1135">
        <v>30776</v>
      </c>
      <c r="E1135" s="2">
        <v>321.14</v>
      </c>
    </row>
    <row r="1136" spans="1:5" ht="15" x14ac:dyDescent="0.2">
      <c r="A1136" s="1" t="s">
        <v>67</v>
      </c>
      <c r="B1136" t="s">
        <v>5</v>
      </c>
      <c r="C1136" t="s">
        <v>52</v>
      </c>
      <c r="D1136">
        <v>43340</v>
      </c>
      <c r="E1136" s="2">
        <v>-1676898.89</v>
      </c>
    </row>
    <row r="1137" spans="1:5" ht="15" x14ac:dyDescent="0.2">
      <c r="A1137" s="1" t="s">
        <v>85</v>
      </c>
      <c r="B1137" t="s">
        <v>24</v>
      </c>
      <c r="C1137" t="s">
        <v>52</v>
      </c>
      <c r="D1137">
        <v>43340</v>
      </c>
      <c r="E1137" s="2">
        <v>29303736.559999999</v>
      </c>
    </row>
    <row r="1138" spans="1:5" ht="15" x14ac:dyDescent="0.2">
      <c r="A1138" s="1" t="s">
        <v>84</v>
      </c>
      <c r="B1138" t="s">
        <v>16</v>
      </c>
      <c r="C1138" t="s">
        <v>52</v>
      </c>
      <c r="D1138">
        <v>43340</v>
      </c>
      <c r="E1138" s="2">
        <v>1734003.23</v>
      </c>
    </row>
    <row r="1139" spans="1:5" ht="15" x14ac:dyDescent="0.2">
      <c r="A1139" s="1" t="s">
        <v>75</v>
      </c>
      <c r="B1139" t="s">
        <v>12</v>
      </c>
      <c r="C1139" t="s">
        <v>52</v>
      </c>
      <c r="D1139">
        <v>43340</v>
      </c>
      <c r="E1139" s="2">
        <v>17115189.699999999</v>
      </c>
    </row>
    <row r="1140" spans="1:5" ht="15" x14ac:dyDescent="0.2">
      <c r="A1140" s="1" t="s">
        <v>72</v>
      </c>
      <c r="B1140" t="s">
        <v>10</v>
      </c>
      <c r="C1140" t="s">
        <v>52</v>
      </c>
      <c r="D1140">
        <v>43340</v>
      </c>
      <c r="E1140" s="2">
        <v>4578537.59</v>
      </c>
    </row>
    <row r="1141" spans="1:5" ht="15" x14ac:dyDescent="0.2">
      <c r="A1141" s="1" t="s">
        <v>97</v>
      </c>
      <c r="B1141" t="s">
        <v>42</v>
      </c>
      <c r="C1141" t="s">
        <v>52</v>
      </c>
      <c r="D1141">
        <v>43340</v>
      </c>
      <c r="E1141" s="2">
        <v>4653075.6399999997</v>
      </c>
    </row>
    <row r="1142" spans="1:5" ht="15" x14ac:dyDescent="0.2">
      <c r="A1142" s="1" t="s">
        <v>78</v>
      </c>
      <c r="B1142" t="s">
        <v>20</v>
      </c>
      <c r="C1142" t="s">
        <v>52</v>
      </c>
      <c r="D1142">
        <v>43340</v>
      </c>
      <c r="E1142" s="2">
        <v>707440.47</v>
      </c>
    </row>
    <row r="1143" spans="1:5" ht="15" x14ac:dyDescent="0.2">
      <c r="A1143" s="1" t="s">
        <v>102</v>
      </c>
      <c r="B1143" t="s">
        <v>36</v>
      </c>
      <c r="C1143" t="s">
        <v>52</v>
      </c>
      <c r="D1143">
        <v>43340</v>
      </c>
      <c r="E1143" s="2">
        <v>2816302.18</v>
      </c>
    </row>
    <row r="1144" spans="1:5" ht="15" x14ac:dyDescent="0.2">
      <c r="A1144" s="1" t="s">
        <v>101</v>
      </c>
      <c r="B1144" t="s">
        <v>39</v>
      </c>
      <c r="C1144" t="s">
        <v>52</v>
      </c>
      <c r="D1144">
        <v>43340</v>
      </c>
      <c r="E1144" s="2">
        <v>1261385.3400000001</v>
      </c>
    </row>
    <row r="1145" spans="1:5" ht="15" x14ac:dyDescent="0.2">
      <c r="A1145" s="1" t="s">
        <v>71</v>
      </c>
      <c r="B1145" t="s">
        <v>9</v>
      </c>
      <c r="C1145" t="s">
        <v>52</v>
      </c>
      <c r="D1145">
        <v>43340</v>
      </c>
      <c r="E1145" s="2">
        <v>7959189.1500000004</v>
      </c>
    </row>
    <row r="1146" spans="1:5" ht="15" x14ac:dyDescent="0.2">
      <c r="A1146" s="1" t="s">
        <v>82</v>
      </c>
      <c r="B1146" t="s">
        <v>15</v>
      </c>
      <c r="C1146" t="s">
        <v>52</v>
      </c>
      <c r="D1146">
        <v>43340</v>
      </c>
      <c r="E1146" s="2">
        <v>4342154.42</v>
      </c>
    </row>
    <row r="1147" spans="1:5" ht="15" x14ac:dyDescent="0.2">
      <c r="A1147" s="1" t="s">
        <v>89</v>
      </c>
      <c r="B1147" t="s">
        <v>28</v>
      </c>
      <c r="C1147" t="s">
        <v>52</v>
      </c>
      <c r="D1147">
        <v>43566</v>
      </c>
      <c r="E1147" s="2">
        <v>6397091.5999999996</v>
      </c>
    </row>
    <row r="1148" spans="1:5" ht="15" x14ac:dyDescent="0.2">
      <c r="A1148" s="1" t="s">
        <v>94</v>
      </c>
      <c r="B1148" t="s">
        <v>33</v>
      </c>
      <c r="C1148" t="s">
        <v>52</v>
      </c>
      <c r="D1148">
        <v>43566</v>
      </c>
      <c r="E1148" s="2">
        <v>28632995.280000001</v>
      </c>
    </row>
    <row r="1149" spans="1:5" ht="15" x14ac:dyDescent="0.2">
      <c r="A1149" s="1" t="s">
        <v>97</v>
      </c>
      <c r="B1149" t="s">
        <v>42</v>
      </c>
      <c r="C1149" t="s">
        <v>52</v>
      </c>
      <c r="D1149">
        <v>43566</v>
      </c>
      <c r="E1149" s="2">
        <v>1692.97</v>
      </c>
    </row>
    <row r="1150" spans="1:5" ht="15" x14ac:dyDescent="0.2">
      <c r="A1150" s="1" t="s">
        <v>78</v>
      </c>
      <c r="B1150" t="s">
        <v>20</v>
      </c>
      <c r="C1150" t="s">
        <v>52</v>
      </c>
      <c r="D1150">
        <v>43566</v>
      </c>
      <c r="E1150" s="2">
        <v>711680.71</v>
      </c>
    </row>
    <row r="1151" spans="1:5" ht="15" x14ac:dyDescent="0.2">
      <c r="A1151" s="1" t="s">
        <v>73</v>
      </c>
      <c r="B1151" t="s">
        <v>17</v>
      </c>
      <c r="C1151" t="s">
        <v>52</v>
      </c>
      <c r="D1151">
        <v>43566</v>
      </c>
      <c r="E1151" s="2">
        <v>3069134.92</v>
      </c>
    </row>
    <row r="1152" spans="1:5" ht="15" x14ac:dyDescent="0.2">
      <c r="A1152" s="1" t="s">
        <v>65</v>
      </c>
      <c r="B1152" t="s">
        <v>4</v>
      </c>
      <c r="C1152" t="s">
        <v>52</v>
      </c>
      <c r="D1152">
        <v>43566</v>
      </c>
      <c r="E1152" s="2">
        <v>1184.47</v>
      </c>
    </row>
    <row r="1153" spans="1:5" ht="15" x14ac:dyDescent="0.2">
      <c r="A1153" s="1" t="s">
        <v>67</v>
      </c>
      <c r="B1153" t="s">
        <v>5</v>
      </c>
      <c r="C1153" t="s">
        <v>52</v>
      </c>
      <c r="D1153">
        <v>50410</v>
      </c>
      <c r="E1153" s="2">
        <v>-3980427.33</v>
      </c>
    </row>
    <row r="1154" spans="1:5" ht="15" x14ac:dyDescent="0.2">
      <c r="A1154" s="1" t="s">
        <v>90</v>
      </c>
      <c r="B1154" t="s">
        <v>29</v>
      </c>
      <c r="C1154" t="s">
        <v>52</v>
      </c>
      <c r="D1154">
        <v>50410</v>
      </c>
      <c r="E1154" s="2">
        <v>15542425.67</v>
      </c>
    </row>
    <row r="1155" spans="1:5" ht="15" x14ac:dyDescent="0.2">
      <c r="A1155" s="1" t="s">
        <v>85</v>
      </c>
      <c r="B1155" t="s">
        <v>24</v>
      </c>
      <c r="C1155" t="s">
        <v>52</v>
      </c>
      <c r="D1155">
        <v>50410</v>
      </c>
      <c r="E1155" s="2">
        <v>1345.83</v>
      </c>
    </row>
    <row r="1156" spans="1:5" ht="15" x14ac:dyDescent="0.2">
      <c r="A1156" s="1" t="s">
        <v>84</v>
      </c>
      <c r="B1156" t="s">
        <v>16</v>
      </c>
      <c r="C1156" t="s">
        <v>52</v>
      </c>
      <c r="D1156">
        <v>50410</v>
      </c>
      <c r="E1156" s="2">
        <v>619.91999999999996</v>
      </c>
    </row>
    <row r="1157" spans="1:5" ht="15" x14ac:dyDescent="0.2">
      <c r="A1157" s="1" t="s">
        <v>95</v>
      </c>
      <c r="B1157" t="s">
        <v>38</v>
      </c>
      <c r="C1157" t="s">
        <v>52</v>
      </c>
      <c r="D1157">
        <v>50410</v>
      </c>
      <c r="E1157" s="2">
        <v>103873178.17</v>
      </c>
    </row>
    <row r="1158" spans="1:5" ht="15" x14ac:dyDescent="0.2">
      <c r="A1158" s="1" t="s">
        <v>74</v>
      </c>
      <c r="B1158" t="s">
        <v>11</v>
      </c>
      <c r="C1158" t="s">
        <v>52</v>
      </c>
      <c r="D1158">
        <v>50410</v>
      </c>
      <c r="E1158" s="2">
        <v>848812.72</v>
      </c>
    </row>
    <row r="1159" spans="1:5" ht="15" x14ac:dyDescent="0.2">
      <c r="A1159" s="1" t="s">
        <v>96</v>
      </c>
      <c r="B1159" t="s">
        <v>44</v>
      </c>
      <c r="C1159" t="s">
        <v>52</v>
      </c>
      <c r="D1159">
        <v>50410</v>
      </c>
      <c r="E1159" s="2">
        <v>8766853.4199999999</v>
      </c>
    </row>
    <row r="1160" spans="1:5" ht="15" x14ac:dyDescent="0.2">
      <c r="A1160" s="1" t="s">
        <v>97</v>
      </c>
      <c r="B1160" t="s">
        <v>42</v>
      </c>
      <c r="C1160" t="s">
        <v>52</v>
      </c>
      <c r="D1160">
        <v>50410</v>
      </c>
      <c r="E1160" s="2">
        <v>1849854.13</v>
      </c>
    </row>
    <row r="1161" spans="1:5" ht="15" x14ac:dyDescent="0.2">
      <c r="A1161" s="1" t="s">
        <v>77</v>
      </c>
      <c r="B1161" t="s">
        <v>18</v>
      </c>
      <c r="C1161" t="s">
        <v>52</v>
      </c>
      <c r="D1161">
        <v>50410</v>
      </c>
      <c r="E1161" s="2">
        <v>17995479.449999999</v>
      </c>
    </row>
    <row r="1162" spans="1:5" ht="15" x14ac:dyDescent="0.2">
      <c r="A1162" s="1" t="s">
        <v>78</v>
      </c>
      <c r="B1162" t="s">
        <v>20</v>
      </c>
      <c r="C1162" t="s">
        <v>52</v>
      </c>
      <c r="D1162">
        <v>50410</v>
      </c>
      <c r="E1162" s="2">
        <v>420227.21</v>
      </c>
    </row>
    <row r="1163" spans="1:5" ht="15" x14ac:dyDescent="0.2">
      <c r="A1163" s="1" t="s">
        <v>102</v>
      </c>
      <c r="B1163" t="s">
        <v>36</v>
      </c>
      <c r="C1163" t="s">
        <v>52</v>
      </c>
      <c r="D1163">
        <v>50410</v>
      </c>
      <c r="E1163" s="2">
        <v>1292221.05</v>
      </c>
    </row>
    <row r="1164" spans="1:5" ht="15" x14ac:dyDescent="0.2">
      <c r="A1164" s="1" t="s">
        <v>103</v>
      </c>
      <c r="B1164" t="s">
        <v>37</v>
      </c>
      <c r="C1164" t="s">
        <v>52</v>
      </c>
      <c r="D1164">
        <v>50410</v>
      </c>
      <c r="E1164" s="2">
        <v>3730.82</v>
      </c>
    </row>
    <row r="1165" spans="1:5" ht="15" x14ac:dyDescent="0.2">
      <c r="A1165" s="1" t="s">
        <v>75</v>
      </c>
      <c r="B1165" t="s">
        <v>19</v>
      </c>
      <c r="C1165" t="s">
        <v>52</v>
      </c>
      <c r="D1165">
        <v>50410</v>
      </c>
      <c r="E1165" s="2">
        <v>2994451.86</v>
      </c>
    </row>
    <row r="1166" spans="1:5" ht="15" x14ac:dyDescent="0.2">
      <c r="A1166" s="1" t="s">
        <v>104</v>
      </c>
      <c r="B1166" t="s">
        <v>40</v>
      </c>
      <c r="C1166" t="s">
        <v>52</v>
      </c>
      <c r="D1166">
        <v>50410</v>
      </c>
      <c r="E1166" s="2">
        <v>15562118.9</v>
      </c>
    </row>
    <row r="1167" spans="1:5" ht="15" x14ac:dyDescent="0.2">
      <c r="A1167" s="1" t="s">
        <v>70</v>
      </c>
      <c r="B1167" t="s">
        <v>8</v>
      </c>
      <c r="C1167" t="s">
        <v>52</v>
      </c>
      <c r="D1167">
        <v>50410</v>
      </c>
      <c r="E1167" s="2">
        <v>45990891.240000002</v>
      </c>
    </row>
    <row r="1168" spans="1:5" ht="15" x14ac:dyDescent="0.2">
      <c r="A1168" s="1" t="s">
        <v>71</v>
      </c>
      <c r="B1168" t="s">
        <v>9</v>
      </c>
      <c r="C1168" t="s">
        <v>52</v>
      </c>
      <c r="D1168">
        <v>50410</v>
      </c>
      <c r="E1168" s="2">
        <v>17084265.309999999</v>
      </c>
    </row>
    <row r="1169" spans="1:5" ht="15" x14ac:dyDescent="0.2">
      <c r="A1169" s="1" t="s">
        <v>67</v>
      </c>
      <c r="B1169" t="s">
        <v>5</v>
      </c>
      <c r="C1169" t="s">
        <v>52</v>
      </c>
      <c r="D1169">
        <v>56073</v>
      </c>
      <c r="E1169" s="2">
        <v>-1225598.68</v>
      </c>
    </row>
    <row r="1170" spans="1:5" ht="15" x14ac:dyDescent="0.2">
      <c r="A1170" s="1" t="s">
        <v>89</v>
      </c>
      <c r="B1170" t="s">
        <v>28</v>
      </c>
      <c r="C1170" t="s">
        <v>52</v>
      </c>
      <c r="D1170">
        <v>56073</v>
      </c>
      <c r="E1170" s="2">
        <v>1283071.6000000001</v>
      </c>
    </row>
    <row r="1171" spans="1:5" ht="15" x14ac:dyDescent="0.2">
      <c r="A1171" s="1" t="s">
        <v>93</v>
      </c>
      <c r="B1171" t="s">
        <v>32</v>
      </c>
      <c r="C1171" t="s">
        <v>52</v>
      </c>
      <c r="D1171">
        <v>56073</v>
      </c>
      <c r="E1171" s="2">
        <v>30668974.52</v>
      </c>
    </row>
    <row r="1172" spans="1:5" ht="15" x14ac:dyDescent="0.2">
      <c r="A1172" s="1" t="s">
        <v>84</v>
      </c>
      <c r="B1172" t="s">
        <v>16</v>
      </c>
      <c r="C1172" t="s">
        <v>52</v>
      </c>
      <c r="D1172">
        <v>56073</v>
      </c>
      <c r="E1172" s="2">
        <v>1563.29</v>
      </c>
    </row>
    <row r="1173" spans="1:5" ht="15" x14ac:dyDescent="0.2">
      <c r="A1173" s="1" t="s">
        <v>74</v>
      </c>
      <c r="B1173" t="s">
        <v>11</v>
      </c>
      <c r="C1173" t="s">
        <v>52</v>
      </c>
      <c r="D1173">
        <v>56073</v>
      </c>
      <c r="E1173" s="2">
        <v>9371.34</v>
      </c>
    </row>
    <row r="1174" spans="1:5" ht="15" x14ac:dyDescent="0.2">
      <c r="A1174" s="1" t="s">
        <v>97</v>
      </c>
      <c r="B1174" t="s">
        <v>42</v>
      </c>
      <c r="C1174" t="s">
        <v>52</v>
      </c>
      <c r="D1174">
        <v>56073</v>
      </c>
      <c r="E1174" s="2">
        <v>0.02</v>
      </c>
    </row>
    <row r="1175" spans="1:5" ht="15" x14ac:dyDescent="0.2">
      <c r="A1175" s="1" t="s">
        <v>98</v>
      </c>
      <c r="B1175" t="s">
        <v>34</v>
      </c>
      <c r="C1175" t="s">
        <v>52</v>
      </c>
      <c r="D1175">
        <v>56073</v>
      </c>
      <c r="E1175" s="2">
        <v>49931882.25</v>
      </c>
    </row>
    <row r="1176" spans="1:5" ht="15" x14ac:dyDescent="0.2">
      <c r="A1176" s="1" t="s">
        <v>68</v>
      </c>
      <c r="B1176" t="s">
        <v>6</v>
      </c>
      <c r="C1176" t="s">
        <v>52</v>
      </c>
      <c r="D1176">
        <v>56073</v>
      </c>
      <c r="E1176" s="2">
        <v>1722934.86</v>
      </c>
    </row>
    <row r="1177" spans="1:5" ht="15" x14ac:dyDescent="0.2">
      <c r="A1177" s="1" t="s">
        <v>77</v>
      </c>
      <c r="B1177" t="s">
        <v>18</v>
      </c>
      <c r="C1177" t="s">
        <v>52</v>
      </c>
      <c r="D1177">
        <v>56073</v>
      </c>
      <c r="E1177" s="2">
        <v>2669438.4</v>
      </c>
    </row>
    <row r="1178" spans="1:5" ht="15" x14ac:dyDescent="0.2">
      <c r="A1178" s="1" t="s">
        <v>100</v>
      </c>
      <c r="B1178" t="s">
        <v>43</v>
      </c>
      <c r="C1178" t="s">
        <v>52</v>
      </c>
      <c r="D1178">
        <v>56073</v>
      </c>
      <c r="E1178" s="2">
        <v>2137112.25</v>
      </c>
    </row>
    <row r="1179" spans="1:5" ht="15" x14ac:dyDescent="0.2">
      <c r="A1179" s="1" t="s">
        <v>101</v>
      </c>
      <c r="B1179" t="s">
        <v>39</v>
      </c>
      <c r="C1179" t="s">
        <v>52</v>
      </c>
      <c r="D1179">
        <v>56073</v>
      </c>
      <c r="E1179" s="2">
        <v>9438.7999999999993</v>
      </c>
    </row>
    <row r="1180" spans="1:5" ht="15" x14ac:dyDescent="0.2">
      <c r="A1180" s="1" t="s">
        <v>75</v>
      </c>
      <c r="B1180" t="s">
        <v>19</v>
      </c>
      <c r="C1180" t="s">
        <v>52</v>
      </c>
      <c r="D1180">
        <v>56073</v>
      </c>
      <c r="E1180" s="2">
        <v>5413903.4800000004</v>
      </c>
    </row>
    <row r="1181" spans="1:5" ht="15" x14ac:dyDescent="0.2">
      <c r="A1181" s="1" t="s">
        <v>92</v>
      </c>
      <c r="B1181" t="s">
        <v>31</v>
      </c>
      <c r="C1181" t="s">
        <v>52</v>
      </c>
      <c r="D1181">
        <v>58876</v>
      </c>
      <c r="E1181" s="2">
        <v>3190769.2</v>
      </c>
    </row>
    <row r="1182" spans="1:5" ht="15" x14ac:dyDescent="0.2">
      <c r="A1182" s="1" t="s">
        <v>94</v>
      </c>
      <c r="B1182" t="s">
        <v>33</v>
      </c>
      <c r="C1182" t="s">
        <v>52</v>
      </c>
      <c r="D1182">
        <v>58876</v>
      </c>
      <c r="E1182" s="2">
        <v>29025864.789999999</v>
      </c>
    </row>
    <row r="1183" spans="1:5" ht="15" x14ac:dyDescent="0.2">
      <c r="A1183" s="1" t="s">
        <v>72</v>
      </c>
      <c r="B1183" t="s">
        <v>10</v>
      </c>
      <c r="C1183" t="s">
        <v>52</v>
      </c>
      <c r="D1183">
        <v>58876</v>
      </c>
      <c r="E1183" s="2">
        <v>4190461.84</v>
      </c>
    </row>
    <row r="1184" spans="1:5" ht="15" x14ac:dyDescent="0.2">
      <c r="A1184" s="1" t="s">
        <v>100</v>
      </c>
      <c r="B1184" t="s">
        <v>43</v>
      </c>
      <c r="C1184" t="s">
        <v>52</v>
      </c>
      <c r="D1184">
        <v>58876</v>
      </c>
      <c r="E1184" s="2">
        <v>2810072.77</v>
      </c>
    </row>
    <row r="1185" spans="1:5" ht="15" x14ac:dyDescent="0.2">
      <c r="A1185" s="1" t="s">
        <v>81</v>
      </c>
      <c r="B1185" t="s">
        <v>14</v>
      </c>
      <c r="C1185" t="s">
        <v>52</v>
      </c>
      <c r="D1185">
        <v>58876</v>
      </c>
      <c r="E1185" s="2">
        <v>4631660</v>
      </c>
    </row>
    <row r="1186" spans="1:5" ht="15" x14ac:dyDescent="0.2">
      <c r="A1186" s="1" t="s">
        <v>88</v>
      </c>
      <c r="B1186" t="s">
        <v>27</v>
      </c>
      <c r="C1186" t="s">
        <v>52</v>
      </c>
      <c r="D1186">
        <v>58876</v>
      </c>
      <c r="E1186" s="2">
        <v>4208876.54</v>
      </c>
    </row>
    <row r="1187" spans="1:5" ht="15" x14ac:dyDescent="0.2">
      <c r="A1187" s="1" t="s">
        <v>102</v>
      </c>
      <c r="B1187" t="s">
        <v>36</v>
      </c>
      <c r="C1187" t="s">
        <v>52</v>
      </c>
      <c r="D1187">
        <v>58876</v>
      </c>
      <c r="E1187" s="2">
        <v>679496.27</v>
      </c>
    </row>
    <row r="1188" spans="1:5" ht="15" x14ac:dyDescent="0.2">
      <c r="A1188" s="1" t="s">
        <v>73</v>
      </c>
      <c r="B1188" t="s">
        <v>17</v>
      </c>
      <c r="C1188" t="s">
        <v>52</v>
      </c>
      <c r="D1188">
        <v>58876</v>
      </c>
      <c r="E1188" s="2">
        <v>899975.48</v>
      </c>
    </row>
    <row r="1189" spans="1:5" ht="15" x14ac:dyDescent="0.2">
      <c r="A1189" s="1" t="s">
        <v>101</v>
      </c>
      <c r="B1189" t="s">
        <v>39</v>
      </c>
      <c r="C1189" t="s">
        <v>52</v>
      </c>
      <c r="D1189">
        <v>58876</v>
      </c>
      <c r="E1189" s="2">
        <v>3293317.54</v>
      </c>
    </row>
    <row r="1190" spans="1:5" ht="15" x14ac:dyDescent="0.2">
      <c r="A1190" s="1" t="s">
        <v>71</v>
      </c>
      <c r="B1190" t="s">
        <v>9</v>
      </c>
      <c r="C1190" t="s">
        <v>52</v>
      </c>
      <c r="D1190">
        <v>58876</v>
      </c>
      <c r="E1190" s="2">
        <v>6476598.7699999996</v>
      </c>
    </row>
    <row r="1191" spans="1:5" ht="15" x14ac:dyDescent="0.2">
      <c r="A1191" s="1" t="s">
        <v>89</v>
      </c>
      <c r="B1191" t="s">
        <v>28</v>
      </c>
      <c r="C1191" t="s">
        <v>52</v>
      </c>
      <c r="D1191">
        <v>68945</v>
      </c>
      <c r="E1191" s="2">
        <v>1503242.34</v>
      </c>
    </row>
    <row r="1192" spans="1:5" ht="15" x14ac:dyDescent="0.2">
      <c r="A1192" s="1" t="s">
        <v>94</v>
      </c>
      <c r="B1192" t="s">
        <v>33</v>
      </c>
      <c r="C1192" t="s">
        <v>52</v>
      </c>
      <c r="D1192">
        <v>68945</v>
      </c>
      <c r="E1192" s="2">
        <v>20934483.670000002</v>
      </c>
    </row>
    <row r="1193" spans="1:5" ht="15" x14ac:dyDescent="0.2">
      <c r="A1193" s="1" t="s">
        <v>64</v>
      </c>
      <c r="B1193" t="s">
        <v>3</v>
      </c>
      <c r="C1193" t="s">
        <v>52</v>
      </c>
      <c r="D1193">
        <v>68945</v>
      </c>
      <c r="E1193" s="2">
        <v>7047918.9800000004</v>
      </c>
    </row>
    <row r="1194" spans="1:5" ht="15" x14ac:dyDescent="0.2">
      <c r="A1194" s="1" t="s">
        <v>72</v>
      </c>
      <c r="B1194" t="s">
        <v>10</v>
      </c>
      <c r="C1194" t="s">
        <v>52</v>
      </c>
      <c r="D1194">
        <v>68945</v>
      </c>
      <c r="E1194" s="2">
        <v>2461471.86</v>
      </c>
    </row>
    <row r="1195" spans="1:5" ht="15" x14ac:dyDescent="0.2">
      <c r="A1195" s="1" t="s">
        <v>68</v>
      </c>
      <c r="B1195" t="s">
        <v>6</v>
      </c>
      <c r="C1195" t="s">
        <v>52</v>
      </c>
      <c r="D1195">
        <v>68945</v>
      </c>
      <c r="E1195" s="2">
        <v>2245905.4900000002</v>
      </c>
    </row>
    <row r="1196" spans="1:5" ht="15" x14ac:dyDescent="0.2">
      <c r="A1196" s="1" t="s">
        <v>100</v>
      </c>
      <c r="B1196" t="s">
        <v>43</v>
      </c>
      <c r="C1196" t="s">
        <v>52</v>
      </c>
      <c r="D1196">
        <v>68945</v>
      </c>
      <c r="E1196" s="2">
        <v>4640809.8</v>
      </c>
    </row>
    <row r="1197" spans="1:5" ht="15" x14ac:dyDescent="0.2">
      <c r="A1197" s="1" t="s">
        <v>81</v>
      </c>
      <c r="B1197" t="s">
        <v>14</v>
      </c>
      <c r="C1197" t="s">
        <v>52</v>
      </c>
      <c r="D1197">
        <v>68945</v>
      </c>
      <c r="E1197" s="2">
        <v>3439849.32</v>
      </c>
    </row>
    <row r="1198" spans="1:5" ht="15" x14ac:dyDescent="0.2">
      <c r="A1198" s="1" t="s">
        <v>78</v>
      </c>
      <c r="B1198" t="s">
        <v>20</v>
      </c>
      <c r="C1198" t="s">
        <v>52</v>
      </c>
      <c r="D1198">
        <v>68945</v>
      </c>
      <c r="E1198" s="2">
        <v>6046.34</v>
      </c>
    </row>
    <row r="1199" spans="1:5" ht="15" x14ac:dyDescent="0.2">
      <c r="A1199" s="1" t="s">
        <v>88</v>
      </c>
      <c r="B1199" t="s">
        <v>27</v>
      </c>
      <c r="C1199" t="s">
        <v>52</v>
      </c>
      <c r="D1199">
        <v>68945</v>
      </c>
      <c r="E1199" s="2">
        <v>1263469.48</v>
      </c>
    </row>
    <row r="1200" spans="1:5" ht="15" x14ac:dyDescent="0.2">
      <c r="A1200" s="1" t="s">
        <v>103</v>
      </c>
      <c r="B1200" t="s">
        <v>37</v>
      </c>
      <c r="C1200" t="s">
        <v>52</v>
      </c>
      <c r="D1200">
        <v>68945</v>
      </c>
      <c r="E1200" s="2">
        <v>0.66</v>
      </c>
    </row>
    <row r="1201" spans="1:5" ht="15" x14ac:dyDescent="0.2">
      <c r="A1201" s="1" t="s">
        <v>104</v>
      </c>
      <c r="B1201" t="s">
        <v>40</v>
      </c>
      <c r="C1201" t="s">
        <v>52</v>
      </c>
      <c r="D1201">
        <v>68945</v>
      </c>
      <c r="E1201" s="2">
        <v>9474192.8399999999</v>
      </c>
    </row>
    <row r="1202" spans="1:5" ht="15" x14ac:dyDescent="0.2">
      <c r="A1202" s="1" t="s">
        <v>70</v>
      </c>
      <c r="B1202" t="s">
        <v>8</v>
      </c>
      <c r="C1202" t="s">
        <v>52</v>
      </c>
      <c r="D1202">
        <v>68945</v>
      </c>
      <c r="E1202" s="2">
        <v>24972147.899999999</v>
      </c>
    </row>
    <row r="1203" spans="1:5" ht="15" x14ac:dyDescent="0.2">
      <c r="A1203" s="1" t="s">
        <v>71</v>
      </c>
      <c r="B1203" t="s">
        <v>9</v>
      </c>
      <c r="C1203" t="s">
        <v>52</v>
      </c>
      <c r="D1203">
        <v>68945</v>
      </c>
      <c r="E1203" s="2">
        <v>10841640.9</v>
      </c>
    </row>
    <row r="1204" spans="1:5" ht="15" x14ac:dyDescent="0.2">
      <c r="A1204" s="1" t="s">
        <v>79</v>
      </c>
      <c r="B1204" t="s">
        <v>21</v>
      </c>
      <c r="C1204" t="s">
        <v>52</v>
      </c>
      <c r="D1204">
        <v>76523</v>
      </c>
      <c r="E1204" s="2">
        <v>5559903.3499999996</v>
      </c>
    </row>
    <row r="1205" spans="1:5" ht="15" x14ac:dyDescent="0.2">
      <c r="A1205" s="1" t="s">
        <v>92</v>
      </c>
      <c r="B1205" t="s">
        <v>31</v>
      </c>
      <c r="C1205" t="s">
        <v>52</v>
      </c>
      <c r="D1205">
        <v>76523</v>
      </c>
      <c r="E1205" s="2">
        <v>5960970.6699999999</v>
      </c>
    </row>
    <row r="1206" spans="1:5" ht="15" x14ac:dyDescent="0.2">
      <c r="A1206" s="1" t="s">
        <v>64</v>
      </c>
      <c r="B1206" t="s">
        <v>3</v>
      </c>
      <c r="C1206" t="s">
        <v>52</v>
      </c>
      <c r="D1206">
        <v>76523</v>
      </c>
      <c r="E1206" s="2">
        <v>10456432.66</v>
      </c>
    </row>
    <row r="1207" spans="1:5" ht="15" x14ac:dyDescent="0.2">
      <c r="A1207" s="1" t="s">
        <v>74</v>
      </c>
      <c r="B1207" t="s">
        <v>11</v>
      </c>
      <c r="C1207" t="s">
        <v>52</v>
      </c>
      <c r="D1207">
        <v>76523</v>
      </c>
      <c r="E1207" s="2">
        <v>538110.42000000004</v>
      </c>
    </row>
    <row r="1208" spans="1:5" ht="15" x14ac:dyDescent="0.2">
      <c r="A1208" s="1" t="s">
        <v>97</v>
      </c>
      <c r="B1208" t="s">
        <v>42</v>
      </c>
      <c r="C1208" t="s">
        <v>52</v>
      </c>
      <c r="D1208">
        <v>76523</v>
      </c>
      <c r="E1208" s="2">
        <v>3022593.15</v>
      </c>
    </row>
    <row r="1209" spans="1:5" ht="15" x14ac:dyDescent="0.2">
      <c r="A1209" s="1" t="s">
        <v>77</v>
      </c>
      <c r="B1209" t="s">
        <v>18</v>
      </c>
      <c r="C1209" t="s">
        <v>52</v>
      </c>
      <c r="D1209">
        <v>76523</v>
      </c>
      <c r="E1209" s="2">
        <v>0.25</v>
      </c>
    </row>
    <row r="1210" spans="1:5" ht="15" x14ac:dyDescent="0.2">
      <c r="A1210" s="1" t="s">
        <v>81</v>
      </c>
      <c r="B1210" t="s">
        <v>14</v>
      </c>
      <c r="C1210" t="s">
        <v>52</v>
      </c>
      <c r="D1210">
        <v>76523</v>
      </c>
      <c r="E1210" s="2">
        <v>2998674.5</v>
      </c>
    </row>
    <row r="1211" spans="1:5" ht="15" x14ac:dyDescent="0.2">
      <c r="A1211" s="1" t="s">
        <v>104</v>
      </c>
      <c r="B1211" t="s">
        <v>40</v>
      </c>
      <c r="C1211" t="s">
        <v>52</v>
      </c>
      <c r="D1211">
        <v>76523</v>
      </c>
      <c r="E1211" s="2">
        <v>4706643.12</v>
      </c>
    </row>
    <row r="1212" spans="1:5" ht="15" x14ac:dyDescent="0.2">
      <c r="A1212" s="1" t="s">
        <v>82</v>
      </c>
      <c r="B1212" t="s">
        <v>15</v>
      </c>
      <c r="C1212" t="s">
        <v>52</v>
      </c>
      <c r="D1212">
        <v>76523</v>
      </c>
      <c r="E1212" s="2">
        <v>3164779.48</v>
      </c>
    </row>
    <row r="1213" spans="1:5" ht="15" x14ac:dyDescent="0.2">
      <c r="A1213" s="1" t="s">
        <v>89</v>
      </c>
      <c r="B1213" t="s">
        <v>28</v>
      </c>
      <c r="C1213" t="s">
        <v>52</v>
      </c>
      <c r="D1213">
        <v>77825</v>
      </c>
      <c r="E1213" s="2">
        <v>1634850.37</v>
      </c>
    </row>
    <row r="1214" spans="1:5" ht="15" x14ac:dyDescent="0.2">
      <c r="A1214" s="1" t="s">
        <v>92</v>
      </c>
      <c r="B1214" t="s">
        <v>31</v>
      </c>
      <c r="C1214" t="s">
        <v>52</v>
      </c>
      <c r="D1214">
        <v>77825</v>
      </c>
      <c r="E1214" s="2">
        <v>6139372.3399999999</v>
      </c>
    </row>
    <row r="1215" spans="1:5" ht="15" x14ac:dyDescent="0.2">
      <c r="A1215" s="1" t="s">
        <v>93</v>
      </c>
      <c r="B1215" t="s">
        <v>32</v>
      </c>
      <c r="C1215" t="s">
        <v>52</v>
      </c>
      <c r="D1215">
        <v>77825</v>
      </c>
      <c r="E1215" s="2">
        <v>31584707.23</v>
      </c>
    </row>
    <row r="1216" spans="1:5" ht="15" x14ac:dyDescent="0.2">
      <c r="A1216" s="1" t="s">
        <v>64</v>
      </c>
      <c r="B1216" t="s">
        <v>3</v>
      </c>
      <c r="C1216" t="s">
        <v>52</v>
      </c>
      <c r="D1216">
        <v>77825</v>
      </c>
      <c r="E1216" s="2">
        <v>17975415.050000001</v>
      </c>
    </row>
    <row r="1217" spans="1:5" ht="15" x14ac:dyDescent="0.2">
      <c r="A1217" s="1" t="s">
        <v>95</v>
      </c>
      <c r="B1217" t="s">
        <v>38</v>
      </c>
      <c r="C1217" t="s">
        <v>52</v>
      </c>
      <c r="D1217">
        <v>77825</v>
      </c>
      <c r="E1217" s="2">
        <v>1547.35</v>
      </c>
    </row>
    <row r="1218" spans="1:5" ht="15" x14ac:dyDescent="0.2">
      <c r="A1218" s="1" t="s">
        <v>76</v>
      </c>
      <c r="B1218" t="s">
        <v>13</v>
      </c>
      <c r="C1218" t="s">
        <v>52</v>
      </c>
      <c r="D1218">
        <v>77825</v>
      </c>
      <c r="E1218" s="2">
        <v>2632842.38</v>
      </c>
    </row>
    <row r="1219" spans="1:5" ht="15" x14ac:dyDescent="0.2">
      <c r="A1219" s="1" t="s">
        <v>72</v>
      </c>
      <c r="B1219" t="s">
        <v>10</v>
      </c>
      <c r="C1219" t="s">
        <v>52</v>
      </c>
      <c r="D1219">
        <v>77825</v>
      </c>
      <c r="E1219" s="2">
        <v>2094330.9</v>
      </c>
    </row>
    <row r="1220" spans="1:5" ht="15" x14ac:dyDescent="0.2">
      <c r="A1220" s="1" t="s">
        <v>97</v>
      </c>
      <c r="B1220" t="s">
        <v>42</v>
      </c>
      <c r="C1220" t="s">
        <v>52</v>
      </c>
      <c r="D1220">
        <v>77825</v>
      </c>
      <c r="E1220" s="2">
        <v>947090.66</v>
      </c>
    </row>
    <row r="1221" spans="1:5" ht="15" x14ac:dyDescent="0.2">
      <c r="A1221" s="1" t="s">
        <v>98</v>
      </c>
      <c r="B1221" t="s">
        <v>34</v>
      </c>
      <c r="C1221" t="s">
        <v>52</v>
      </c>
      <c r="D1221">
        <v>77825</v>
      </c>
      <c r="E1221" s="2">
        <v>18102506.07</v>
      </c>
    </row>
    <row r="1222" spans="1:5" ht="15" x14ac:dyDescent="0.2">
      <c r="A1222" s="1" t="s">
        <v>81</v>
      </c>
      <c r="B1222" t="s">
        <v>14</v>
      </c>
      <c r="C1222" t="s">
        <v>52</v>
      </c>
      <c r="D1222">
        <v>77825</v>
      </c>
      <c r="E1222" s="2">
        <v>5669247.0899999999</v>
      </c>
    </row>
    <row r="1223" spans="1:5" ht="15" x14ac:dyDescent="0.2">
      <c r="A1223" s="1" t="s">
        <v>78</v>
      </c>
      <c r="B1223" t="s">
        <v>20</v>
      </c>
      <c r="C1223" t="s">
        <v>52</v>
      </c>
      <c r="D1223">
        <v>77825</v>
      </c>
      <c r="E1223" s="2">
        <v>7621.43</v>
      </c>
    </row>
    <row r="1224" spans="1:5" ht="15" x14ac:dyDescent="0.2">
      <c r="A1224" s="1" t="s">
        <v>88</v>
      </c>
      <c r="B1224" t="s">
        <v>27</v>
      </c>
      <c r="C1224" t="s">
        <v>52</v>
      </c>
      <c r="D1224">
        <v>77825</v>
      </c>
      <c r="E1224" s="2">
        <v>5912796.4500000002</v>
      </c>
    </row>
    <row r="1225" spans="1:5" ht="15" x14ac:dyDescent="0.2">
      <c r="A1225" s="1" t="s">
        <v>103</v>
      </c>
      <c r="B1225" t="s">
        <v>37</v>
      </c>
      <c r="C1225" t="s">
        <v>52</v>
      </c>
      <c r="D1225">
        <v>77825</v>
      </c>
      <c r="E1225" s="2">
        <v>1.24</v>
      </c>
    </row>
    <row r="1226" spans="1:5" ht="15" x14ac:dyDescent="0.2">
      <c r="A1226" s="1" t="s">
        <v>73</v>
      </c>
      <c r="B1226" t="s">
        <v>17</v>
      </c>
      <c r="C1226" t="s">
        <v>52</v>
      </c>
      <c r="D1226">
        <v>77825</v>
      </c>
      <c r="E1226" s="2">
        <v>382943.38</v>
      </c>
    </row>
    <row r="1227" spans="1:5" ht="15" x14ac:dyDescent="0.2">
      <c r="A1227" s="1" t="s">
        <v>101</v>
      </c>
      <c r="B1227" t="s">
        <v>39</v>
      </c>
      <c r="C1227" t="s">
        <v>52</v>
      </c>
      <c r="D1227">
        <v>77825</v>
      </c>
      <c r="E1227" s="2">
        <v>2790678.76</v>
      </c>
    </row>
    <row r="1228" spans="1:5" ht="15" x14ac:dyDescent="0.2">
      <c r="A1228" s="1" t="s">
        <v>79</v>
      </c>
      <c r="B1228" t="s">
        <v>21</v>
      </c>
      <c r="C1228" t="s">
        <v>52</v>
      </c>
      <c r="D1228">
        <v>78601</v>
      </c>
      <c r="E1228" s="2">
        <v>8564726.8100000005</v>
      </c>
    </row>
    <row r="1229" spans="1:5" ht="15" x14ac:dyDescent="0.2">
      <c r="A1229" s="1" t="s">
        <v>91</v>
      </c>
      <c r="B1229" t="s">
        <v>30</v>
      </c>
      <c r="C1229" t="s">
        <v>52</v>
      </c>
      <c r="D1229">
        <v>78601</v>
      </c>
      <c r="E1229" s="2">
        <v>806.58</v>
      </c>
    </row>
    <row r="1230" spans="1:5" ht="15" x14ac:dyDescent="0.2">
      <c r="A1230" s="1" t="s">
        <v>94</v>
      </c>
      <c r="B1230" t="s">
        <v>33</v>
      </c>
      <c r="C1230" t="s">
        <v>52</v>
      </c>
      <c r="D1230">
        <v>78601</v>
      </c>
      <c r="E1230" s="2">
        <v>23106508.149999999</v>
      </c>
    </row>
    <row r="1231" spans="1:5" ht="15" x14ac:dyDescent="0.2">
      <c r="A1231" s="1" t="s">
        <v>95</v>
      </c>
      <c r="B1231" t="s">
        <v>38</v>
      </c>
      <c r="C1231" t="s">
        <v>52</v>
      </c>
      <c r="D1231">
        <v>78601</v>
      </c>
      <c r="E1231" s="2">
        <v>109487177.56999999</v>
      </c>
    </row>
    <row r="1232" spans="1:5" ht="15" x14ac:dyDescent="0.2">
      <c r="A1232" s="1" t="s">
        <v>68</v>
      </c>
      <c r="B1232" t="s">
        <v>6</v>
      </c>
      <c r="C1232" t="s">
        <v>52</v>
      </c>
      <c r="D1232">
        <v>78601</v>
      </c>
      <c r="E1232" s="2">
        <v>2393671.12</v>
      </c>
    </row>
    <row r="1233" spans="1:5" ht="15" x14ac:dyDescent="0.2">
      <c r="A1233" s="1" t="s">
        <v>81</v>
      </c>
      <c r="B1233" t="s">
        <v>14</v>
      </c>
      <c r="C1233" t="s">
        <v>52</v>
      </c>
      <c r="D1233">
        <v>78601</v>
      </c>
      <c r="E1233" s="2">
        <v>11036.87</v>
      </c>
    </row>
    <row r="1234" spans="1:5" ht="15" x14ac:dyDescent="0.2">
      <c r="A1234" s="1" t="s">
        <v>78</v>
      </c>
      <c r="B1234" t="s">
        <v>20</v>
      </c>
      <c r="C1234" t="s">
        <v>52</v>
      </c>
      <c r="D1234">
        <v>78601</v>
      </c>
      <c r="E1234" s="2">
        <v>1001402.41</v>
      </c>
    </row>
    <row r="1235" spans="1:5" ht="15" x14ac:dyDescent="0.2">
      <c r="A1235" s="1" t="s">
        <v>101</v>
      </c>
      <c r="B1235" t="s">
        <v>39</v>
      </c>
      <c r="C1235" t="s">
        <v>52</v>
      </c>
      <c r="D1235">
        <v>78601</v>
      </c>
      <c r="E1235" s="2">
        <v>1720387.36</v>
      </c>
    </row>
    <row r="1236" spans="1:5" ht="15" x14ac:dyDescent="0.2">
      <c r="A1236" s="1" t="s">
        <v>75</v>
      </c>
      <c r="B1236" t="s">
        <v>19</v>
      </c>
      <c r="C1236" t="s">
        <v>52</v>
      </c>
      <c r="D1236">
        <v>78601</v>
      </c>
      <c r="E1236" s="2">
        <v>2297892.0299999998</v>
      </c>
    </row>
    <row r="1237" spans="1:5" ht="15" x14ac:dyDescent="0.2">
      <c r="A1237" s="1" t="s">
        <v>65</v>
      </c>
      <c r="B1237" t="s">
        <v>4</v>
      </c>
      <c r="C1237" t="s">
        <v>52</v>
      </c>
      <c r="D1237">
        <v>78601</v>
      </c>
      <c r="E1237" s="2">
        <v>2342916.59</v>
      </c>
    </row>
    <row r="1238" spans="1:5" ht="15" x14ac:dyDescent="0.2">
      <c r="A1238" s="1" t="s">
        <v>71</v>
      </c>
      <c r="B1238" t="s">
        <v>9</v>
      </c>
      <c r="C1238" t="s">
        <v>52</v>
      </c>
      <c r="D1238">
        <v>78601</v>
      </c>
      <c r="E1238" s="2">
        <v>6596027.9100000001</v>
      </c>
    </row>
    <row r="1239" spans="1:5" ht="15" x14ac:dyDescent="0.2">
      <c r="A1239" s="1" t="s">
        <v>79</v>
      </c>
      <c r="B1239" t="s">
        <v>21</v>
      </c>
      <c r="C1239" t="s">
        <v>52</v>
      </c>
      <c r="D1239">
        <v>80154</v>
      </c>
      <c r="E1239" s="2">
        <v>4280274.75</v>
      </c>
    </row>
    <row r="1240" spans="1:5" ht="15" x14ac:dyDescent="0.2">
      <c r="A1240" s="1" t="s">
        <v>91</v>
      </c>
      <c r="B1240" t="s">
        <v>30</v>
      </c>
      <c r="C1240" t="s">
        <v>52</v>
      </c>
      <c r="D1240">
        <v>80154</v>
      </c>
      <c r="E1240" s="2">
        <v>60909810.170000002</v>
      </c>
    </row>
    <row r="1241" spans="1:5" ht="15" x14ac:dyDescent="0.2">
      <c r="A1241" s="1" t="s">
        <v>93</v>
      </c>
      <c r="B1241" t="s">
        <v>32</v>
      </c>
      <c r="C1241" t="s">
        <v>52</v>
      </c>
      <c r="D1241">
        <v>80154</v>
      </c>
      <c r="E1241" s="2">
        <v>27898412.399999999</v>
      </c>
    </row>
    <row r="1242" spans="1:5" ht="15" x14ac:dyDescent="0.2">
      <c r="A1242" s="1" t="s">
        <v>64</v>
      </c>
      <c r="B1242" t="s">
        <v>3</v>
      </c>
      <c r="C1242" t="s">
        <v>52</v>
      </c>
      <c r="D1242">
        <v>80154</v>
      </c>
      <c r="E1242" s="2">
        <v>6024027.6299999999</v>
      </c>
    </row>
    <row r="1243" spans="1:5" ht="15" x14ac:dyDescent="0.2">
      <c r="A1243" s="1" t="s">
        <v>95</v>
      </c>
      <c r="B1243" t="s">
        <v>38</v>
      </c>
      <c r="C1243" t="s">
        <v>52</v>
      </c>
      <c r="D1243">
        <v>80154</v>
      </c>
      <c r="E1243" s="2">
        <v>17131.8</v>
      </c>
    </row>
    <row r="1244" spans="1:5" ht="15" x14ac:dyDescent="0.2">
      <c r="A1244" s="1" t="s">
        <v>74</v>
      </c>
      <c r="B1244" t="s">
        <v>11</v>
      </c>
      <c r="C1244" t="s">
        <v>52</v>
      </c>
      <c r="D1244">
        <v>80154</v>
      </c>
      <c r="E1244" s="2">
        <v>447035.95</v>
      </c>
    </row>
    <row r="1245" spans="1:5" ht="15" x14ac:dyDescent="0.2">
      <c r="A1245" s="1" t="s">
        <v>98</v>
      </c>
      <c r="B1245" t="s">
        <v>34</v>
      </c>
      <c r="C1245" t="s">
        <v>52</v>
      </c>
      <c r="D1245">
        <v>80154</v>
      </c>
      <c r="E1245" s="2">
        <v>23177878.940000001</v>
      </c>
    </row>
    <row r="1246" spans="1:5" ht="15" x14ac:dyDescent="0.2">
      <c r="A1246" s="1" t="s">
        <v>68</v>
      </c>
      <c r="B1246" t="s">
        <v>6</v>
      </c>
      <c r="C1246" t="s">
        <v>52</v>
      </c>
      <c r="D1246">
        <v>80154</v>
      </c>
      <c r="E1246" s="2">
        <v>3060185.87</v>
      </c>
    </row>
    <row r="1247" spans="1:5" ht="15" x14ac:dyDescent="0.2">
      <c r="A1247" s="1" t="s">
        <v>77</v>
      </c>
      <c r="B1247" t="s">
        <v>18</v>
      </c>
      <c r="C1247" t="s">
        <v>52</v>
      </c>
      <c r="D1247">
        <v>80154</v>
      </c>
      <c r="E1247" s="2">
        <v>5609795.0300000003</v>
      </c>
    </row>
    <row r="1248" spans="1:5" ht="15" x14ac:dyDescent="0.2">
      <c r="A1248" s="1" t="s">
        <v>103</v>
      </c>
      <c r="B1248" t="s">
        <v>37</v>
      </c>
      <c r="C1248" t="s">
        <v>52</v>
      </c>
      <c r="D1248">
        <v>80154</v>
      </c>
      <c r="E1248" s="2">
        <v>16789.87</v>
      </c>
    </row>
    <row r="1249" spans="1:5" ht="15" x14ac:dyDescent="0.2">
      <c r="A1249" s="1" t="s">
        <v>101</v>
      </c>
      <c r="B1249" t="s">
        <v>39</v>
      </c>
      <c r="C1249" t="s">
        <v>52</v>
      </c>
      <c r="D1249">
        <v>80154</v>
      </c>
      <c r="E1249" s="2">
        <v>938158.67</v>
      </c>
    </row>
    <row r="1250" spans="1:5" ht="15" x14ac:dyDescent="0.2">
      <c r="A1250" s="1" t="s">
        <v>92</v>
      </c>
      <c r="B1250" t="s">
        <v>31</v>
      </c>
      <c r="C1250" t="s">
        <v>52</v>
      </c>
      <c r="D1250">
        <v>81857</v>
      </c>
      <c r="E1250" s="2">
        <v>7740972.7599999998</v>
      </c>
    </row>
    <row r="1251" spans="1:5" ht="15" x14ac:dyDescent="0.2">
      <c r="A1251" s="1" t="s">
        <v>94</v>
      </c>
      <c r="B1251" t="s">
        <v>33</v>
      </c>
      <c r="C1251" t="s">
        <v>52</v>
      </c>
      <c r="D1251">
        <v>81857</v>
      </c>
      <c r="E1251" s="2">
        <v>26288286.030000001</v>
      </c>
    </row>
    <row r="1252" spans="1:5" ht="15" x14ac:dyDescent="0.2">
      <c r="A1252" s="1" t="s">
        <v>75</v>
      </c>
      <c r="B1252" t="s">
        <v>12</v>
      </c>
      <c r="C1252" t="s">
        <v>52</v>
      </c>
      <c r="D1252">
        <v>81857</v>
      </c>
      <c r="E1252" s="2">
        <v>3527.3</v>
      </c>
    </row>
    <row r="1253" spans="1:5" ht="15" x14ac:dyDescent="0.2">
      <c r="A1253" s="1" t="s">
        <v>97</v>
      </c>
      <c r="B1253" t="s">
        <v>42</v>
      </c>
      <c r="C1253" t="s">
        <v>52</v>
      </c>
      <c r="D1253">
        <v>81857</v>
      </c>
      <c r="E1253" s="2">
        <v>1591822.09</v>
      </c>
    </row>
    <row r="1254" spans="1:5" ht="15" x14ac:dyDescent="0.2">
      <c r="A1254" s="1" t="s">
        <v>88</v>
      </c>
      <c r="B1254" t="s">
        <v>27</v>
      </c>
      <c r="C1254" t="s">
        <v>52</v>
      </c>
      <c r="D1254">
        <v>81857</v>
      </c>
      <c r="E1254" s="2">
        <v>794.39</v>
      </c>
    </row>
    <row r="1255" spans="1:5" ht="15" x14ac:dyDescent="0.2">
      <c r="A1255" s="1" t="s">
        <v>75</v>
      </c>
      <c r="B1255" t="s">
        <v>19</v>
      </c>
      <c r="C1255" t="s">
        <v>52</v>
      </c>
      <c r="D1255">
        <v>81857</v>
      </c>
      <c r="E1255" s="2">
        <v>1239241.08</v>
      </c>
    </row>
    <row r="1256" spans="1:5" ht="15" x14ac:dyDescent="0.2">
      <c r="A1256" s="1" t="s">
        <v>70</v>
      </c>
      <c r="B1256" t="s">
        <v>8</v>
      </c>
      <c r="C1256" t="s">
        <v>52</v>
      </c>
      <c r="D1256">
        <v>81857</v>
      </c>
      <c r="E1256" s="2">
        <v>761.47</v>
      </c>
    </row>
    <row r="1257" spans="1:5" ht="15" x14ac:dyDescent="0.2">
      <c r="A1257" s="1" t="s">
        <v>71</v>
      </c>
      <c r="B1257" t="s">
        <v>9</v>
      </c>
      <c r="C1257" t="s">
        <v>52</v>
      </c>
      <c r="D1257">
        <v>81857</v>
      </c>
      <c r="E1257" s="2">
        <v>212.5</v>
      </c>
    </row>
    <row r="1258" spans="1:5" ht="15" x14ac:dyDescent="0.2">
      <c r="A1258" s="1" t="s">
        <v>82</v>
      </c>
      <c r="B1258" t="s">
        <v>15</v>
      </c>
      <c r="C1258" t="s">
        <v>52</v>
      </c>
      <c r="D1258">
        <v>81857</v>
      </c>
      <c r="E1258" s="2">
        <v>3561985.19</v>
      </c>
    </row>
    <row r="1259" spans="1:5" ht="15" x14ac:dyDescent="0.2">
      <c r="A1259" s="1" t="s">
        <v>89</v>
      </c>
      <c r="B1259" t="s">
        <v>28</v>
      </c>
      <c r="C1259" t="s">
        <v>52</v>
      </c>
      <c r="D1259">
        <v>88813</v>
      </c>
      <c r="E1259" s="2">
        <v>2364614.27</v>
      </c>
    </row>
    <row r="1260" spans="1:5" ht="15" x14ac:dyDescent="0.2">
      <c r="A1260" s="1" t="s">
        <v>91</v>
      </c>
      <c r="B1260" t="s">
        <v>30</v>
      </c>
      <c r="C1260" t="s">
        <v>52</v>
      </c>
      <c r="D1260">
        <v>88813</v>
      </c>
      <c r="E1260" s="2">
        <v>63337355.350000001</v>
      </c>
    </row>
    <row r="1261" spans="1:5" ht="15" x14ac:dyDescent="0.2">
      <c r="A1261" s="1" t="s">
        <v>92</v>
      </c>
      <c r="B1261" t="s">
        <v>31</v>
      </c>
      <c r="C1261" t="s">
        <v>52</v>
      </c>
      <c r="D1261">
        <v>88813</v>
      </c>
      <c r="E1261" s="2">
        <v>13202387.689999999</v>
      </c>
    </row>
    <row r="1262" spans="1:5" ht="15" x14ac:dyDescent="0.2">
      <c r="A1262" s="1" t="s">
        <v>94</v>
      </c>
      <c r="B1262" t="s">
        <v>33</v>
      </c>
      <c r="C1262" t="s">
        <v>52</v>
      </c>
      <c r="D1262">
        <v>88813</v>
      </c>
      <c r="E1262" s="2">
        <v>13367698.52</v>
      </c>
    </row>
    <row r="1263" spans="1:5" ht="15" x14ac:dyDescent="0.2">
      <c r="A1263" s="1" t="s">
        <v>84</v>
      </c>
      <c r="B1263" t="s">
        <v>16</v>
      </c>
      <c r="C1263" t="s">
        <v>52</v>
      </c>
      <c r="D1263">
        <v>88813</v>
      </c>
      <c r="E1263" s="2">
        <v>9440.8799999999992</v>
      </c>
    </row>
    <row r="1264" spans="1:5" ht="15" x14ac:dyDescent="0.2">
      <c r="A1264" s="1" t="s">
        <v>76</v>
      </c>
      <c r="B1264" t="s">
        <v>13</v>
      </c>
      <c r="C1264" t="s">
        <v>52</v>
      </c>
      <c r="D1264">
        <v>88813</v>
      </c>
      <c r="E1264" s="2">
        <v>9081.73</v>
      </c>
    </row>
    <row r="1265" spans="1:5" ht="15" x14ac:dyDescent="0.2">
      <c r="A1265" s="1" t="s">
        <v>68</v>
      </c>
      <c r="B1265" t="s">
        <v>6</v>
      </c>
      <c r="C1265" t="s">
        <v>52</v>
      </c>
      <c r="D1265">
        <v>88813</v>
      </c>
      <c r="E1265" s="2">
        <v>1144057.6200000001</v>
      </c>
    </row>
    <row r="1266" spans="1:5" ht="15" x14ac:dyDescent="0.2">
      <c r="A1266" s="1" t="s">
        <v>78</v>
      </c>
      <c r="B1266" t="s">
        <v>20</v>
      </c>
      <c r="C1266" t="s">
        <v>52</v>
      </c>
      <c r="D1266">
        <v>88813</v>
      </c>
      <c r="E1266" s="2">
        <v>2406722.5600000001</v>
      </c>
    </row>
    <row r="1267" spans="1:5" ht="15" x14ac:dyDescent="0.2">
      <c r="A1267" s="1" t="s">
        <v>102</v>
      </c>
      <c r="B1267" t="s">
        <v>36</v>
      </c>
      <c r="C1267" t="s">
        <v>52</v>
      </c>
      <c r="D1267">
        <v>88813</v>
      </c>
      <c r="E1267" s="2">
        <v>254.12</v>
      </c>
    </row>
    <row r="1268" spans="1:5" ht="15" x14ac:dyDescent="0.2">
      <c r="A1268" s="1" t="s">
        <v>103</v>
      </c>
      <c r="B1268" t="s">
        <v>37</v>
      </c>
      <c r="C1268" t="s">
        <v>52</v>
      </c>
      <c r="D1268">
        <v>88813</v>
      </c>
      <c r="E1268" s="2">
        <v>10332346.119999999</v>
      </c>
    </row>
    <row r="1269" spans="1:5" ht="15" x14ac:dyDescent="0.2">
      <c r="A1269" s="1" t="s">
        <v>101</v>
      </c>
      <c r="B1269" t="s">
        <v>39</v>
      </c>
      <c r="C1269" t="s">
        <v>52</v>
      </c>
      <c r="D1269">
        <v>88813</v>
      </c>
      <c r="E1269" s="2">
        <v>5407112.8200000003</v>
      </c>
    </row>
    <row r="1270" spans="1:5" ht="15" x14ac:dyDescent="0.2">
      <c r="A1270" s="1" t="s">
        <v>75</v>
      </c>
      <c r="B1270" t="s">
        <v>19</v>
      </c>
      <c r="C1270" t="s">
        <v>52</v>
      </c>
      <c r="D1270">
        <v>88813</v>
      </c>
      <c r="E1270" s="2">
        <v>8092.32</v>
      </c>
    </row>
    <row r="1271" spans="1:5" ht="15" x14ac:dyDescent="0.2">
      <c r="A1271" s="1" t="s">
        <v>82</v>
      </c>
      <c r="B1271" t="s">
        <v>15</v>
      </c>
      <c r="C1271" t="s">
        <v>52</v>
      </c>
      <c r="D1271">
        <v>88813</v>
      </c>
      <c r="E1271" s="2">
        <v>7803093.8200000003</v>
      </c>
    </row>
    <row r="1272" spans="1:5" ht="15" x14ac:dyDescent="0.2">
      <c r="A1272" s="1" t="s">
        <v>86</v>
      </c>
      <c r="B1272" t="s">
        <v>25</v>
      </c>
      <c r="C1272" t="s">
        <v>53</v>
      </c>
      <c r="D1272">
        <v>15777</v>
      </c>
      <c r="E1272" s="2">
        <v>418.35</v>
      </c>
    </row>
    <row r="1273" spans="1:5" ht="15" x14ac:dyDescent="0.2">
      <c r="A1273" s="1" t="s">
        <v>90</v>
      </c>
      <c r="B1273" t="s">
        <v>29</v>
      </c>
      <c r="C1273" t="s">
        <v>53</v>
      </c>
      <c r="D1273">
        <v>20218</v>
      </c>
      <c r="E1273" s="2">
        <v>36752873.670000002</v>
      </c>
    </row>
    <row r="1274" spans="1:5" ht="15" x14ac:dyDescent="0.2">
      <c r="A1274" s="1" t="s">
        <v>92</v>
      </c>
      <c r="B1274" t="s">
        <v>31</v>
      </c>
      <c r="C1274" t="s">
        <v>53</v>
      </c>
      <c r="D1274">
        <v>20218</v>
      </c>
      <c r="E1274" s="2">
        <v>12189770.130000001</v>
      </c>
    </row>
    <row r="1275" spans="1:5" ht="15" x14ac:dyDescent="0.2">
      <c r="A1275" s="1" t="s">
        <v>78</v>
      </c>
      <c r="B1275" t="s">
        <v>20</v>
      </c>
      <c r="C1275" t="s">
        <v>53</v>
      </c>
      <c r="D1275">
        <v>20218</v>
      </c>
      <c r="E1275" s="2">
        <v>4227763.82</v>
      </c>
    </row>
    <row r="1276" spans="1:5" ht="15" x14ac:dyDescent="0.2">
      <c r="A1276" s="1" t="s">
        <v>103</v>
      </c>
      <c r="B1276" t="s">
        <v>37</v>
      </c>
      <c r="C1276" t="s">
        <v>53</v>
      </c>
      <c r="D1276">
        <v>20218</v>
      </c>
      <c r="E1276" s="2">
        <v>2323.81</v>
      </c>
    </row>
    <row r="1277" spans="1:5" ht="15" x14ac:dyDescent="0.2">
      <c r="A1277" s="1" t="s">
        <v>84</v>
      </c>
      <c r="B1277" t="s">
        <v>16</v>
      </c>
      <c r="C1277" t="s">
        <v>53</v>
      </c>
      <c r="D1277">
        <v>21736</v>
      </c>
      <c r="E1277" s="2">
        <v>11505509.359999999</v>
      </c>
    </row>
    <row r="1278" spans="1:5" ht="15" x14ac:dyDescent="0.2">
      <c r="A1278" s="1" t="s">
        <v>80</v>
      </c>
      <c r="B1278" t="s">
        <v>22</v>
      </c>
      <c r="C1278" t="s">
        <v>53</v>
      </c>
      <c r="D1278">
        <v>21736</v>
      </c>
      <c r="E1278" s="2">
        <v>9341307.6400000006</v>
      </c>
    </row>
    <row r="1279" spans="1:5" ht="15" x14ac:dyDescent="0.2">
      <c r="A1279" s="1" t="s">
        <v>98</v>
      </c>
      <c r="B1279" t="s">
        <v>34</v>
      </c>
      <c r="C1279" t="s">
        <v>53</v>
      </c>
      <c r="D1279">
        <v>21736</v>
      </c>
      <c r="E1279" s="2">
        <v>47669667.469999999</v>
      </c>
    </row>
    <row r="1280" spans="1:5" ht="15" x14ac:dyDescent="0.2">
      <c r="A1280" s="1" t="s">
        <v>103</v>
      </c>
      <c r="B1280" t="s">
        <v>37</v>
      </c>
      <c r="C1280" t="s">
        <v>53</v>
      </c>
      <c r="D1280">
        <v>21736</v>
      </c>
      <c r="E1280" s="2">
        <v>460.65</v>
      </c>
    </row>
    <row r="1281" spans="1:5" ht="15" x14ac:dyDescent="0.2">
      <c r="A1281" s="1" t="s">
        <v>65</v>
      </c>
      <c r="B1281" t="s">
        <v>4</v>
      </c>
      <c r="C1281" t="s">
        <v>53</v>
      </c>
      <c r="D1281">
        <v>21736</v>
      </c>
      <c r="E1281" s="2">
        <v>995394.07</v>
      </c>
    </row>
    <row r="1282" spans="1:5" ht="15" x14ac:dyDescent="0.2">
      <c r="A1282" s="1" t="s">
        <v>82</v>
      </c>
      <c r="B1282" t="s">
        <v>15</v>
      </c>
      <c r="C1282" t="s">
        <v>53</v>
      </c>
      <c r="D1282">
        <v>21736</v>
      </c>
      <c r="E1282" s="2">
        <v>6274281.5499999998</v>
      </c>
    </row>
    <row r="1283" spans="1:5" ht="15" x14ac:dyDescent="0.2">
      <c r="A1283" s="1" t="s">
        <v>89</v>
      </c>
      <c r="B1283" t="s">
        <v>28</v>
      </c>
      <c r="C1283" t="s">
        <v>53</v>
      </c>
      <c r="D1283">
        <v>24905</v>
      </c>
      <c r="E1283" s="2">
        <v>10195227.49</v>
      </c>
    </row>
    <row r="1284" spans="1:5" ht="15" x14ac:dyDescent="0.2">
      <c r="A1284" s="1" t="s">
        <v>91</v>
      </c>
      <c r="B1284" t="s">
        <v>30</v>
      </c>
      <c r="C1284" t="s">
        <v>53</v>
      </c>
      <c r="D1284">
        <v>24905</v>
      </c>
      <c r="E1284" s="2">
        <v>151854478.11000001</v>
      </c>
    </row>
    <row r="1285" spans="1:5" ht="15" x14ac:dyDescent="0.2">
      <c r="A1285" s="1" t="s">
        <v>85</v>
      </c>
      <c r="B1285" t="s">
        <v>24</v>
      </c>
      <c r="C1285" t="s">
        <v>53</v>
      </c>
      <c r="D1285">
        <v>24905</v>
      </c>
      <c r="E1285" s="2">
        <v>15340290.91</v>
      </c>
    </row>
    <row r="1286" spans="1:5" ht="15" x14ac:dyDescent="0.2">
      <c r="A1286" s="1" t="s">
        <v>71</v>
      </c>
      <c r="B1286" t="s">
        <v>9</v>
      </c>
      <c r="C1286" t="s">
        <v>53</v>
      </c>
      <c r="D1286">
        <v>24905</v>
      </c>
      <c r="E1286" s="2">
        <v>30076258.859999999</v>
      </c>
    </row>
    <row r="1287" spans="1:5" ht="15" x14ac:dyDescent="0.2">
      <c r="A1287" s="1" t="s">
        <v>90</v>
      </c>
      <c r="B1287" t="s">
        <v>29</v>
      </c>
      <c r="C1287" t="s">
        <v>53</v>
      </c>
      <c r="D1287">
        <v>25382</v>
      </c>
      <c r="E1287" s="2">
        <v>1748.24</v>
      </c>
    </row>
    <row r="1288" spans="1:5" ht="15" x14ac:dyDescent="0.2">
      <c r="A1288" s="1" t="s">
        <v>94</v>
      </c>
      <c r="B1288" t="s">
        <v>33</v>
      </c>
      <c r="C1288" t="s">
        <v>53</v>
      </c>
      <c r="D1288">
        <v>25382</v>
      </c>
      <c r="E1288" s="2">
        <v>36914252.490000002</v>
      </c>
    </row>
    <row r="1289" spans="1:5" ht="15" x14ac:dyDescent="0.2">
      <c r="A1289" s="1" t="s">
        <v>87</v>
      </c>
      <c r="B1289" t="s">
        <v>26</v>
      </c>
      <c r="C1289" t="s">
        <v>53</v>
      </c>
      <c r="D1289">
        <v>25382</v>
      </c>
      <c r="E1289" s="2">
        <v>6619225.5700000003</v>
      </c>
    </row>
    <row r="1290" spans="1:5" ht="15" x14ac:dyDescent="0.2">
      <c r="A1290" s="1" t="s">
        <v>66</v>
      </c>
      <c r="B1290" t="s">
        <v>47</v>
      </c>
      <c r="C1290" t="s">
        <v>53</v>
      </c>
      <c r="D1290">
        <v>26287</v>
      </c>
      <c r="E1290" s="2">
        <v>25211773.75</v>
      </c>
    </row>
    <row r="1291" spans="1:5" ht="15" x14ac:dyDescent="0.2">
      <c r="A1291" s="1" t="s">
        <v>79</v>
      </c>
      <c r="B1291" t="s">
        <v>21</v>
      </c>
      <c r="C1291" t="s">
        <v>53</v>
      </c>
      <c r="D1291">
        <v>26287</v>
      </c>
      <c r="E1291" s="2">
        <v>7724022.7199999997</v>
      </c>
    </row>
    <row r="1292" spans="1:5" ht="15" x14ac:dyDescent="0.2">
      <c r="A1292" s="1" t="s">
        <v>89</v>
      </c>
      <c r="B1292" t="s">
        <v>28</v>
      </c>
      <c r="C1292" t="s">
        <v>53</v>
      </c>
      <c r="D1292">
        <v>26287</v>
      </c>
      <c r="E1292" s="2">
        <v>8891076.3300000001</v>
      </c>
    </row>
    <row r="1293" spans="1:5" ht="15" x14ac:dyDescent="0.2">
      <c r="A1293" s="1" t="s">
        <v>78</v>
      </c>
      <c r="B1293" t="s">
        <v>20</v>
      </c>
      <c r="C1293" t="s">
        <v>53</v>
      </c>
      <c r="D1293">
        <v>26287</v>
      </c>
      <c r="E1293" s="2">
        <v>1740275.23</v>
      </c>
    </row>
    <row r="1294" spans="1:5" ht="15" x14ac:dyDescent="0.2">
      <c r="A1294" s="1" t="s">
        <v>87</v>
      </c>
      <c r="B1294" t="s">
        <v>26</v>
      </c>
      <c r="C1294" t="s">
        <v>53</v>
      </c>
      <c r="D1294">
        <v>26287</v>
      </c>
      <c r="E1294" s="2">
        <v>14608869.91</v>
      </c>
    </row>
    <row r="1295" spans="1:5" ht="15" x14ac:dyDescent="0.2">
      <c r="A1295" s="1" t="s">
        <v>104</v>
      </c>
      <c r="B1295" t="s">
        <v>40</v>
      </c>
      <c r="C1295" t="s">
        <v>53</v>
      </c>
      <c r="D1295">
        <v>26287</v>
      </c>
      <c r="E1295" s="2">
        <v>25131047.949999999</v>
      </c>
    </row>
    <row r="1296" spans="1:5" ht="15" x14ac:dyDescent="0.2">
      <c r="A1296" s="1" t="s">
        <v>71</v>
      </c>
      <c r="B1296" t="s">
        <v>9</v>
      </c>
      <c r="C1296" t="s">
        <v>53</v>
      </c>
      <c r="D1296">
        <v>26287</v>
      </c>
      <c r="E1296" s="2">
        <v>40702488.850000001</v>
      </c>
    </row>
    <row r="1297" spans="1:5" ht="15" x14ac:dyDescent="0.2">
      <c r="A1297" s="1" t="s">
        <v>91</v>
      </c>
      <c r="B1297" t="s">
        <v>30</v>
      </c>
      <c r="C1297" t="s">
        <v>53</v>
      </c>
      <c r="D1297">
        <v>29282</v>
      </c>
      <c r="E1297" s="2">
        <v>272.64</v>
      </c>
    </row>
    <row r="1298" spans="1:5" ht="15" x14ac:dyDescent="0.2">
      <c r="A1298" s="1" t="s">
        <v>93</v>
      </c>
      <c r="B1298" t="s">
        <v>32</v>
      </c>
      <c r="C1298" t="s">
        <v>53</v>
      </c>
      <c r="D1298">
        <v>29282</v>
      </c>
      <c r="E1298" s="2">
        <v>127791166.28</v>
      </c>
    </row>
    <row r="1299" spans="1:5" ht="15" x14ac:dyDescent="0.2">
      <c r="A1299" s="1" t="s">
        <v>95</v>
      </c>
      <c r="B1299" t="s">
        <v>38</v>
      </c>
      <c r="C1299" t="s">
        <v>53</v>
      </c>
      <c r="D1299">
        <v>29282</v>
      </c>
      <c r="E1299" s="2">
        <v>248451821.83000001</v>
      </c>
    </row>
    <row r="1300" spans="1:5" ht="15" x14ac:dyDescent="0.2">
      <c r="A1300" s="1" t="s">
        <v>83</v>
      </c>
      <c r="B1300" t="s">
        <v>23</v>
      </c>
      <c r="C1300" t="s">
        <v>53</v>
      </c>
      <c r="D1300">
        <v>29282</v>
      </c>
      <c r="E1300" s="2">
        <v>339.19</v>
      </c>
    </row>
    <row r="1301" spans="1:5" ht="15" x14ac:dyDescent="0.2">
      <c r="A1301" s="1" t="s">
        <v>72</v>
      </c>
      <c r="B1301" t="s">
        <v>10</v>
      </c>
      <c r="C1301" t="s">
        <v>53</v>
      </c>
      <c r="D1301">
        <v>29282</v>
      </c>
      <c r="E1301" s="2">
        <v>15775144</v>
      </c>
    </row>
    <row r="1302" spans="1:5" ht="15" x14ac:dyDescent="0.2">
      <c r="A1302" s="1" t="s">
        <v>98</v>
      </c>
      <c r="B1302" t="s">
        <v>34</v>
      </c>
      <c r="C1302" t="s">
        <v>53</v>
      </c>
      <c r="D1302">
        <v>29282</v>
      </c>
      <c r="E1302" s="2">
        <v>30168546.25</v>
      </c>
    </row>
    <row r="1303" spans="1:5" ht="15" x14ac:dyDescent="0.2">
      <c r="A1303" s="1" t="s">
        <v>89</v>
      </c>
      <c r="B1303" t="s">
        <v>28</v>
      </c>
      <c r="C1303" t="s">
        <v>53</v>
      </c>
      <c r="D1303">
        <v>30776</v>
      </c>
      <c r="E1303" s="2">
        <v>16509546.15</v>
      </c>
    </row>
    <row r="1304" spans="1:5" ht="15" x14ac:dyDescent="0.2">
      <c r="A1304" s="1" t="s">
        <v>84</v>
      </c>
      <c r="B1304" t="s">
        <v>16</v>
      </c>
      <c r="C1304" t="s">
        <v>53</v>
      </c>
      <c r="D1304">
        <v>30776</v>
      </c>
      <c r="E1304" s="2">
        <v>9331033.2200000007</v>
      </c>
    </row>
    <row r="1305" spans="1:5" ht="15" x14ac:dyDescent="0.2">
      <c r="A1305" s="1" t="s">
        <v>103</v>
      </c>
      <c r="B1305" t="s">
        <v>37</v>
      </c>
      <c r="C1305" t="s">
        <v>53</v>
      </c>
      <c r="D1305">
        <v>30776</v>
      </c>
      <c r="E1305" s="2">
        <v>5232126.29</v>
      </c>
    </row>
    <row r="1306" spans="1:5" ht="15" x14ac:dyDescent="0.2">
      <c r="A1306" s="1" t="s">
        <v>75</v>
      </c>
      <c r="B1306" t="s">
        <v>19</v>
      </c>
      <c r="C1306" t="s">
        <v>53</v>
      </c>
      <c r="D1306">
        <v>30776</v>
      </c>
      <c r="E1306" s="2">
        <v>14216014.32</v>
      </c>
    </row>
    <row r="1307" spans="1:5" ht="15" x14ac:dyDescent="0.2">
      <c r="A1307" s="1" t="s">
        <v>64</v>
      </c>
      <c r="B1307" t="s">
        <v>3</v>
      </c>
      <c r="C1307" t="s">
        <v>53</v>
      </c>
      <c r="D1307">
        <v>32784</v>
      </c>
      <c r="E1307" s="2">
        <v>84440331.459999993</v>
      </c>
    </row>
    <row r="1308" spans="1:5" ht="15" x14ac:dyDescent="0.2">
      <c r="A1308" s="1" t="s">
        <v>85</v>
      </c>
      <c r="B1308" t="s">
        <v>24</v>
      </c>
      <c r="C1308" t="s">
        <v>53</v>
      </c>
      <c r="D1308">
        <v>32784</v>
      </c>
      <c r="E1308" s="2">
        <v>94440182.540000007</v>
      </c>
    </row>
    <row r="1309" spans="1:5" ht="15" x14ac:dyDescent="0.2">
      <c r="A1309" s="1" t="s">
        <v>80</v>
      </c>
      <c r="B1309" t="s">
        <v>22</v>
      </c>
      <c r="C1309" t="s">
        <v>53</v>
      </c>
      <c r="D1309">
        <v>32784</v>
      </c>
      <c r="E1309" s="2">
        <v>24179720.800000001</v>
      </c>
    </row>
    <row r="1310" spans="1:5" ht="15" x14ac:dyDescent="0.2">
      <c r="A1310" s="1" t="s">
        <v>87</v>
      </c>
      <c r="B1310" t="s">
        <v>26</v>
      </c>
      <c r="C1310" t="s">
        <v>53</v>
      </c>
      <c r="D1310">
        <v>32784</v>
      </c>
      <c r="E1310" s="2">
        <v>18779848.649999999</v>
      </c>
    </row>
    <row r="1311" spans="1:5" ht="15" x14ac:dyDescent="0.2">
      <c r="A1311" s="1" t="s">
        <v>65</v>
      </c>
      <c r="B1311" t="s">
        <v>4</v>
      </c>
      <c r="C1311" t="s">
        <v>53</v>
      </c>
      <c r="D1311">
        <v>32956</v>
      </c>
      <c r="E1311" s="2">
        <v>2308072.54</v>
      </c>
    </row>
    <row r="1312" spans="1:5" ht="15" x14ac:dyDescent="0.2">
      <c r="A1312" s="1" t="s">
        <v>71</v>
      </c>
      <c r="B1312" t="s">
        <v>9</v>
      </c>
      <c r="C1312" t="s">
        <v>53</v>
      </c>
      <c r="D1312">
        <v>32956</v>
      </c>
      <c r="E1312" s="2">
        <v>32708887.390000001</v>
      </c>
    </row>
    <row r="1313" spans="1:5" ht="15" x14ac:dyDescent="0.2">
      <c r="A1313" s="1" t="s">
        <v>79</v>
      </c>
      <c r="B1313" t="s">
        <v>21</v>
      </c>
      <c r="C1313" t="s">
        <v>53</v>
      </c>
      <c r="D1313">
        <v>33170</v>
      </c>
      <c r="E1313" s="2">
        <v>23538205.02</v>
      </c>
    </row>
    <row r="1314" spans="1:5" ht="15" x14ac:dyDescent="0.2">
      <c r="A1314" s="1" t="s">
        <v>90</v>
      </c>
      <c r="B1314" t="s">
        <v>29</v>
      </c>
      <c r="C1314" t="s">
        <v>53</v>
      </c>
      <c r="D1314">
        <v>33170</v>
      </c>
      <c r="E1314" s="2">
        <v>30635641.010000002</v>
      </c>
    </row>
    <row r="1315" spans="1:5" ht="15" x14ac:dyDescent="0.2">
      <c r="A1315" s="1" t="s">
        <v>92</v>
      </c>
      <c r="B1315" t="s">
        <v>31</v>
      </c>
      <c r="C1315" t="s">
        <v>53</v>
      </c>
      <c r="D1315">
        <v>33170</v>
      </c>
      <c r="E1315" s="2">
        <v>40482568.780000001</v>
      </c>
    </row>
    <row r="1316" spans="1:5" ht="15" x14ac:dyDescent="0.2">
      <c r="A1316" s="1" t="s">
        <v>94</v>
      </c>
      <c r="B1316" t="s">
        <v>33</v>
      </c>
      <c r="C1316" t="s">
        <v>53</v>
      </c>
      <c r="D1316">
        <v>33170</v>
      </c>
      <c r="E1316" s="2">
        <v>44087439.270000003</v>
      </c>
    </row>
    <row r="1317" spans="1:5" ht="15" x14ac:dyDescent="0.2">
      <c r="A1317" s="1" t="s">
        <v>83</v>
      </c>
      <c r="B1317" t="s">
        <v>23</v>
      </c>
      <c r="C1317" t="s">
        <v>53</v>
      </c>
      <c r="D1317">
        <v>33170</v>
      </c>
      <c r="E1317" s="2">
        <v>5160715.33</v>
      </c>
    </row>
    <row r="1318" spans="1:5" ht="15" x14ac:dyDescent="0.2">
      <c r="A1318" s="1" t="s">
        <v>70</v>
      </c>
      <c r="B1318" t="s">
        <v>8</v>
      </c>
      <c r="C1318" t="s">
        <v>53</v>
      </c>
      <c r="D1318">
        <v>33170</v>
      </c>
      <c r="E1318" s="2">
        <v>4325.2700000000004</v>
      </c>
    </row>
    <row r="1319" spans="1:5" ht="15" x14ac:dyDescent="0.2">
      <c r="A1319" s="1" t="s">
        <v>92</v>
      </c>
      <c r="B1319" t="s">
        <v>31</v>
      </c>
      <c r="C1319" t="s">
        <v>53</v>
      </c>
      <c r="D1319">
        <v>35415</v>
      </c>
      <c r="E1319" s="2">
        <v>25495349.489999998</v>
      </c>
    </row>
    <row r="1320" spans="1:5" ht="15" x14ac:dyDescent="0.2">
      <c r="A1320" s="1" t="s">
        <v>94</v>
      </c>
      <c r="B1320" t="s">
        <v>33</v>
      </c>
      <c r="C1320" t="s">
        <v>53</v>
      </c>
      <c r="D1320">
        <v>35415</v>
      </c>
      <c r="E1320" s="2">
        <v>41807198.630000003</v>
      </c>
    </row>
    <row r="1321" spans="1:5" ht="15" x14ac:dyDescent="0.2">
      <c r="A1321" s="1" t="s">
        <v>80</v>
      </c>
      <c r="B1321" t="s">
        <v>22</v>
      </c>
      <c r="C1321" t="s">
        <v>53</v>
      </c>
      <c r="D1321">
        <v>35415</v>
      </c>
      <c r="E1321" s="2">
        <v>5601182.3300000001</v>
      </c>
    </row>
    <row r="1322" spans="1:5" ht="15" x14ac:dyDescent="0.2">
      <c r="A1322" s="1" t="s">
        <v>87</v>
      </c>
      <c r="B1322" t="s">
        <v>26</v>
      </c>
      <c r="C1322" t="s">
        <v>53</v>
      </c>
      <c r="D1322">
        <v>35415</v>
      </c>
      <c r="E1322" s="2">
        <v>11524222.869999999</v>
      </c>
    </row>
    <row r="1323" spans="1:5" ht="15" x14ac:dyDescent="0.2">
      <c r="A1323" s="1" t="s">
        <v>79</v>
      </c>
      <c r="B1323" t="s">
        <v>21</v>
      </c>
      <c r="C1323" t="s">
        <v>53</v>
      </c>
      <c r="D1323">
        <v>36055</v>
      </c>
      <c r="E1323" s="2">
        <v>6604940.4199999999</v>
      </c>
    </row>
    <row r="1324" spans="1:5" ht="15" x14ac:dyDescent="0.2">
      <c r="A1324" s="1" t="s">
        <v>93</v>
      </c>
      <c r="B1324" t="s">
        <v>32</v>
      </c>
      <c r="C1324" t="s">
        <v>53</v>
      </c>
      <c r="D1324">
        <v>36055</v>
      </c>
      <c r="E1324" s="2">
        <v>106528415.16</v>
      </c>
    </row>
    <row r="1325" spans="1:5" ht="15" x14ac:dyDescent="0.2">
      <c r="A1325" s="1" t="s">
        <v>94</v>
      </c>
      <c r="B1325" t="s">
        <v>33</v>
      </c>
      <c r="C1325" t="s">
        <v>53</v>
      </c>
      <c r="D1325">
        <v>36055</v>
      </c>
      <c r="E1325" s="2">
        <v>78329682.010000005</v>
      </c>
    </row>
    <row r="1326" spans="1:5" ht="15" x14ac:dyDescent="0.2">
      <c r="A1326" s="1" t="s">
        <v>98</v>
      </c>
      <c r="B1326" t="s">
        <v>34</v>
      </c>
      <c r="C1326" t="s">
        <v>53</v>
      </c>
      <c r="D1326">
        <v>36055</v>
      </c>
      <c r="E1326" s="2">
        <v>38150276.869999997</v>
      </c>
    </row>
    <row r="1327" spans="1:5" ht="15" x14ac:dyDescent="0.2">
      <c r="A1327" s="1" t="s">
        <v>99</v>
      </c>
      <c r="B1327" t="s">
        <v>35</v>
      </c>
      <c r="C1327" t="s">
        <v>53</v>
      </c>
      <c r="D1327">
        <v>36055</v>
      </c>
      <c r="E1327" s="2">
        <v>8340833.75</v>
      </c>
    </row>
    <row r="1328" spans="1:5" ht="15" x14ac:dyDescent="0.2">
      <c r="A1328" s="1" t="s">
        <v>95</v>
      </c>
      <c r="B1328" t="s">
        <v>38</v>
      </c>
      <c r="C1328" t="s">
        <v>53</v>
      </c>
      <c r="D1328">
        <v>36768</v>
      </c>
      <c r="E1328" s="2">
        <v>447538556.25</v>
      </c>
    </row>
    <row r="1329" spans="1:5" ht="15" x14ac:dyDescent="0.2">
      <c r="A1329" s="1" t="s">
        <v>99</v>
      </c>
      <c r="B1329" t="s">
        <v>35</v>
      </c>
      <c r="C1329" t="s">
        <v>53</v>
      </c>
      <c r="D1329">
        <v>36768</v>
      </c>
      <c r="E1329" s="2">
        <v>20972187.329999998</v>
      </c>
    </row>
    <row r="1330" spans="1:5" ht="15" x14ac:dyDescent="0.2">
      <c r="A1330" s="1" t="s">
        <v>103</v>
      </c>
      <c r="B1330" t="s">
        <v>37</v>
      </c>
      <c r="C1330" t="s">
        <v>53</v>
      </c>
      <c r="D1330">
        <v>36768</v>
      </c>
      <c r="E1330" s="2">
        <v>9115463.3399999999</v>
      </c>
    </row>
    <row r="1331" spans="1:5" ht="15" x14ac:dyDescent="0.2">
      <c r="A1331" s="1" t="s">
        <v>86</v>
      </c>
      <c r="B1331" t="s">
        <v>25</v>
      </c>
      <c r="C1331" t="s">
        <v>53</v>
      </c>
      <c r="D1331">
        <v>37559</v>
      </c>
      <c r="E1331" s="2">
        <v>286.18</v>
      </c>
    </row>
    <row r="1332" spans="1:5" ht="15" x14ac:dyDescent="0.2">
      <c r="A1332" s="1" t="s">
        <v>91</v>
      </c>
      <c r="B1332" t="s">
        <v>30</v>
      </c>
      <c r="C1332" t="s">
        <v>53</v>
      </c>
      <c r="D1332">
        <v>37559</v>
      </c>
      <c r="E1332" s="2">
        <v>156636375.56</v>
      </c>
    </row>
    <row r="1333" spans="1:5" ht="15" x14ac:dyDescent="0.2">
      <c r="A1333" s="1" t="s">
        <v>92</v>
      </c>
      <c r="B1333" t="s">
        <v>31</v>
      </c>
      <c r="C1333" t="s">
        <v>53</v>
      </c>
      <c r="D1333">
        <v>37559</v>
      </c>
      <c r="E1333" s="2">
        <v>2520.56</v>
      </c>
    </row>
    <row r="1334" spans="1:5" ht="15" x14ac:dyDescent="0.2">
      <c r="A1334" s="1" t="s">
        <v>93</v>
      </c>
      <c r="B1334" t="s">
        <v>32</v>
      </c>
      <c r="C1334" t="s">
        <v>53</v>
      </c>
      <c r="D1334">
        <v>37559</v>
      </c>
      <c r="E1334" s="2">
        <v>68929726.489999995</v>
      </c>
    </row>
    <row r="1335" spans="1:5" ht="15" x14ac:dyDescent="0.2">
      <c r="A1335" s="1" t="s">
        <v>75</v>
      </c>
      <c r="B1335" t="s">
        <v>12</v>
      </c>
      <c r="C1335" t="s">
        <v>53</v>
      </c>
      <c r="D1335">
        <v>37559</v>
      </c>
      <c r="E1335" s="2">
        <v>20486967.98</v>
      </c>
    </row>
    <row r="1336" spans="1:5" ht="15" x14ac:dyDescent="0.2">
      <c r="A1336" s="1" t="s">
        <v>98</v>
      </c>
      <c r="B1336" t="s">
        <v>34</v>
      </c>
      <c r="C1336" t="s">
        <v>53</v>
      </c>
      <c r="D1336">
        <v>37559</v>
      </c>
      <c r="E1336" s="2">
        <v>43293736.93</v>
      </c>
    </row>
    <row r="1337" spans="1:5" ht="15" x14ac:dyDescent="0.2">
      <c r="A1337" s="1" t="s">
        <v>103</v>
      </c>
      <c r="B1337" t="s">
        <v>37</v>
      </c>
      <c r="C1337" t="s">
        <v>53</v>
      </c>
      <c r="D1337">
        <v>37559</v>
      </c>
      <c r="E1337" s="2">
        <v>10596669.109999999</v>
      </c>
    </row>
    <row r="1338" spans="1:5" ht="15" x14ac:dyDescent="0.2">
      <c r="A1338" s="1" t="s">
        <v>70</v>
      </c>
      <c r="B1338" t="s">
        <v>8</v>
      </c>
      <c r="C1338" t="s">
        <v>53</v>
      </c>
      <c r="D1338">
        <v>38696</v>
      </c>
      <c r="E1338" s="2">
        <v>72360615.390000001</v>
      </c>
    </row>
    <row r="1339" spans="1:5" ht="15" x14ac:dyDescent="0.2">
      <c r="A1339" s="1" t="s">
        <v>66</v>
      </c>
      <c r="B1339" t="s">
        <v>47</v>
      </c>
      <c r="C1339" t="s">
        <v>53</v>
      </c>
      <c r="D1339">
        <v>43566</v>
      </c>
      <c r="E1339" s="2">
        <v>14145321.24</v>
      </c>
    </row>
    <row r="1340" spans="1:5" ht="15" x14ac:dyDescent="0.2">
      <c r="A1340" s="1" t="s">
        <v>94</v>
      </c>
      <c r="B1340" t="s">
        <v>33</v>
      </c>
      <c r="C1340" t="s">
        <v>53</v>
      </c>
      <c r="D1340">
        <v>43566</v>
      </c>
      <c r="E1340" s="2">
        <v>29379108.670000002</v>
      </c>
    </row>
    <row r="1341" spans="1:5" ht="15" x14ac:dyDescent="0.2">
      <c r="A1341" s="1" t="s">
        <v>95</v>
      </c>
      <c r="B1341" t="s">
        <v>38</v>
      </c>
      <c r="C1341" t="s">
        <v>53</v>
      </c>
      <c r="D1341">
        <v>43566</v>
      </c>
      <c r="E1341" s="2">
        <v>66091974.869999997</v>
      </c>
    </row>
    <row r="1342" spans="1:5" ht="15" x14ac:dyDescent="0.2">
      <c r="A1342" s="1" t="s">
        <v>72</v>
      </c>
      <c r="B1342" t="s">
        <v>10</v>
      </c>
      <c r="C1342" t="s">
        <v>53</v>
      </c>
      <c r="D1342">
        <v>43566</v>
      </c>
      <c r="E1342" s="2">
        <v>7058027.9500000002</v>
      </c>
    </row>
    <row r="1343" spans="1:5" ht="15" x14ac:dyDescent="0.2">
      <c r="A1343" s="1" t="s">
        <v>69</v>
      </c>
      <c r="B1343" t="s">
        <v>7</v>
      </c>
      <c r="C1343" t="s">
        <v>53</v>
      </c>
      <c r="D1343">
        <v>43566</v>
      </c>
      <c r="E1343" s="2">
        <v>573.27</v>
      </c>
    </row>
    <row r="1344" spans="1:5" ht="15" x14ac:dyDescent="0.2">
      <c r="A1344" s="1" t="s">
        <v>82</v>
      </c>
      <c r="B1344" t="s">
        <v>15</v>
      </c>
      <c r="C1344" t="s">
        <v>53</v>
      </c>
      <c r="D1344">
        <v>43566</v>
      </c>
      <c r="E1344" s="2">
        <v>4511790.4800000004</v>
      </c>
    </row>
    <row r="1345" spans="1:5" ht="15" x14ac:dyDescent="0.2">
      <c r="A1345" s="1" t="s">
        <v>66</v>
      </c>
      <c r="B1345" t="s">
        <v>47</v>
      </c>
      <c r="C1345" t="s">
        <v>53</v>
      </c>
      <c r="D1345">
        <v>46026</v>
      </c>
      <c r="E1345" s="2">
        <v>16685025.140000001</v>
      </c>
    </row>
    <row r="1346" spans="1:5" ht="15" x14ac:dyDescent="0.2">
      <c r="A1346" s="1" t="s">
        <v>64</v>
      </c>
      <c r="B1346" t="s">
        <v>3</v>
      </c>
      <c r="C1346" t="s">
        <v>53</v>
      </c>
      <c r="D1346">
        <v>46026</v>
      </c>
      <c r="E1346" s="2">
        <v>4754.21</v>
      </c>
    </row>
    <row r="1347" spans="1:5" ht="15" x14ac:dyDescent="0.2">
      <c r="A1347" s="1" t="s">
        <v>99</v>
      </c>
      <c r="B1347" t="s">
        <v>35</v>
      </c>
      <c r="C1347" t="s">
        <v>53</v>
      </c>
      <c r="D1347">
        <v>46026</v>
      </c>
      <c r="E1347" s="2">
        <v>7157253</v>
      </c>
    </row>
    <row r="1348" spans="1:5" ht="15" x14ac:dyDescent="0.2">
      <c r="A1348" s="1" t="s">
        <v>64</v>
      </c>
      <c r="B1348" t="s">
        <v>3</v>
      </c>
      <c r="C1348" t="s">
        <v>53</v>
      </c>
      <c r="D1348">
        <v>46969</v>
      </c>
      <c r="E1348" s="2">
        <v>68594278.989999995</v>
      </c>
    </row>
    <row r="1349" spans="1:5" ht="15" x14ac:dyDescent="0.2">
      <c r="A1349" s="1" t="s">
        <v>72</v>
      </c>
      <c r="B1349" t="s">
        <v>10</v>
      </c>
      <c r="C1349" t="s">
        <v>53</v>
      </c>
      <c r="D1349">
        <v>46969</v>
      </c>
      <c r="E1349" s="2">
        <v>15149972.35</v>
      </c>
    </row>
    <row r="1350" spans="1:5" ht="15" x14ac:dyDescent="0.2">
      <c r="A1350" s="1" t="s">
        <v>75</v>
      </c>
      <c r="B1350" t="s">
        <v>19</v>
      </c>
      <c r="C1350" t="s">
        <v>53</v>
      </c>
      <c r="D1350">
        <v>46969</v>
      </c>
      <c r="E1350" s="2">
        <v>11896809.960000001</v>
      </c>
    </row>
    <row r="1351" spans="1:5" ht="15" x14ac:dyDescent="0.2">
      <c r="A1351" s="1" t="s">
        <v>70</v>
      </c>
      <c r="B1351" t="s">
        <v>8</v>
      </c>
      <c r="C1351" t="s">
        <v>53</v>
      </c>
      <c r="D1351">
        <v>46969</v>
      </c>
      <c r="E1351" s="2">
        <v>61028698.299999997</v>
      </c>
    </row>
    <row r="1352" spans="1:5" ht="15" x14ac:dyDescent="0.2">
      <c r="A1352" s="1" t="s">
        <v>82</v>
      </c>
      <c r="B1352" t="s">
        <v>15</v>
      </c>
      <c r="C1352" t="s">
        <v>53</v>
      </c>
      <c r="D1352">
        <v>46969</v>
      </c>
      <c r="E1352" s="2">
        <v>7666.17</v>
      </c>
    </row>
    <row r="1353" spans="1:5" ht="15" x14ac:dyDescent="0.2">
      <c r="A1353" s="1" t="s">
        <v>99</v>
      </c>
      <c r="B1353" t="s">
        <v>35</v>
      </c>
      <c r="C1353" t="s">
        <v>53</v>
      </c>
      <c r="D1353">
        <v>47729</v>
      </c>
      <c r="E1353" s="2">
        <v>30925841.5</v>
      </c>
    </row>
    <row r="1354" spans="1:5" ht="15" x14ac:dyDescent="0.2">
      <c r="A1354" s="1" t="s">
        <v>75</v>
      </c>
      <c r="B1354" t="s">
        <v>19</v>
      </c>
      <c r="C1354" t="s">
        <v>53</v>
      </c>
      <c r="D1354">
        <v>47729</v>
      </c>
      <c r="E1354" s="2">
        <v>6571994.8499999996</v>
      </c>
    </row>
    <row r="1355" spans="1:5" ht="15" x14ac:dyDescent="0.2">
      <c r="A1355" s="1" t="s">
        <v>69</v>
      </c>
      <c r="B1355" t="s">
        <v>7</v>
      </c>
      <c r="C1355" t="s">
        <v>53</v>
      </c>
      <c r="D1355">
        <v>47729</v>
      </c>
      <c r="E1355" s="2">
        <v>42180911.880000003</v>
      </c>
    </row>
    <row r="1356" spans="1:5" ht="15" x14ac:dyDescent="0.2">
      <c r="A1356" s="1" t="s">
        <v>86</v>
      </c>
      <c r="B1356" t="s">
        <v>25</v>
      </c>
      <c r="C1356" t="s">
        <v>53</v>
      </c>
      <c r="D1356">
        <v>50768</v>
      </c>
      <c r="E1356" s="2">
        <v>15869053.710000001</v>
      </c>
    </row>
    <row r="1357" spans="1:5" ht="15" x14ac:dyDescent="0.2">
      <c r="A1357" s="1" t="s">
        <v>94</v>
      </c>
      <c r="B1357" t="s">
        <v>33</v>
      </c>
      <c r="C1357" t="s">
        <v>53</v>
      </c>
      <c r="D1357">
        <v>50768</v>
      </c>
      <c r="E1357" s="2">
        <v>114377057.09</v>
      </c>
    </row>
    <row r="1358" spans="1:5" ht="15" x14ac:dyDescent="0.2">
      <c r="A1358" s="1" t="s">
        <v>98</v>
      </c>
      <c r="B1358" t="s">
        <v>34</v>
      </c>
      <c r="C1358" t="s">
        <v>53</v>
      </c>
      <c r="D1358">
        <v>50768</v>
      </c>
      <c r="E1358" s="2">
        <v>66130385.979999997</v>
      </c>
    </row>
    <row r="1359" spans="1:5" ht="15" x14ac:dyDescent="0.2">
      <c r="A1359" s="1" t="s">
        <v>99</v>
      </c>
      <c r="B1359" t="s">
        <v>35</v>
      </c>
      <c r="C1359" t="s">
        <v>53</v>
      </c>
      <c r="D1359">
        <v>50768</v>
      </c>
      <c r="E1359" s="2">
        <v>21229341.66</v>
      </c>
    </row>
    <row r="1360" spans="1:5" ht="15" x14ac:dyDescent="0.2">
      <c r="A1360" s="1" t="s">
        <v>78</v>
      </c>
      <c r="B1360" t="s">
        <v>20</v>
      </c>
      <c r="C1360" t="s">
        <v>53</v>
      </c>
      <c r="D1360">
        <v>50768</v>
      </c>
      <c r="E1360" s="2">
        <v>134.13999999999999</v>
      </c>
    </row>
    <row r="1361" spans="1:5" ht="15" x14ac:dyDescent="0.2">
      <c r="A1361" s="1" t="s">
        <v>75</v>
      </c>
      <c r="B1361" t="s">
        <v>19</v>
      </c>
      <c r="C1361" t="s">
        <v>53</v>
      </c>
      <c r="D1361">
        <v>50768</v>
      </c>
      <c r="E1361" s="2">
        <v>12011452.02</v>
      </c>
    </row>
    <row r="1362" spans="1:5" ht="15" x14ac:dyDescent="0.2">
      <c r="A1362" s="1" t="s">
        <v>70</v>
      </c>
      <c r="B1362" t="s">
        <v>8</v>
      </c>
      <c r="C1362" t="s">
        <v>53</v>
      </c>
      <c r="D1362">
        <v>50768</v>
      </c>
      <c r="E1362" s="2">
        <v>109291126.97</v>
      </c>
    </row>
    <row r="1363" spans="1:5" ht="15" x14ac:dyDescent="0.2">
      <c r="A1363" s="1" t="s">
        <v>66</v>
      </c>
      <c r="B1363" t="s">
        <v>47</v>
      </c>
      <c r="C1363" t="s">
        <v>53</v>
      </c>
      <c r="D1363">
        <v>53027</v>
      </c>
      <c r="E1363" s="2">
        <v>6216437.7599999998</v>
      </c>
    </row>
    <row r="1364" spans="1:5" ht="15" x14ac:dyDescent="0.2">
      <c r="A1364" s="1" t="s">
        <v>95</v>
      </c>
      <c r="B1364" t="s">
        <v>38</v>
      </c>
      <c r="C1364" t="s">
        <v>53</v>
      </c>
      <c r="D1364">
        <v>53027</v>
      </c>
      <c r="E1364" s="2">
        <v>212066869.75999999</v>
      </c>
    </row>
    <row r="1365" spans="1:5" ht="15" x14ac:dyDescent="0.2">
      <c r="A1365" s="1" t="s">
        <v>99</v>
      </c>
      <c r="B1365" t="s">
        <v>35</v>
      </c>
      <c r="C1365" t="s">
        <v>53</v>
      </c>
      <c r="D1365">
        <v>53027</v>
      </c>
      <c r="E1365" s="2">
        <v>16516458.300000001</v>
      </c>
    </row>
    <row r="1366" spans="1:5" ht="15" x14ac:dyDescent="0.2">
      <c r="A1366" s="1" t="s">
        <v>93</v>
      </c>
      <c r="B1366" t="s">
        <v>32</v>
      </c>
      <c r="C1366" t="s">
        <v>53</v>
      </c>
      <c r="D1366">
        <v>53681</v>
      </c>
      <c r="E1366" s="2">
        <v>53625525.549999997</v>
      </c>
    </row>
    <row r="1367" spans="1:5" ht="15" x14ac:dyDescent="0.2">
      <c r="A1367" s="1" t="s">
        <v>83</v>
      </c>
      <c r="B1367" t="s">
        <v>23</v>
      </c>
      <c r="C1367" t="s">
        <v>53</v>
      </c>
      <c r="D1367">
        <v>53681</v>
      </c>
      <c r="E1367" s="2">
        <v>14164235.16</v>
      </c>
    </row>
    <row r="1368" spans="1:5" ht="15" x14ac:dyDescent="0.2">
      <c r="A1368" s="1" t="s">
        <v>78</v>
      </c>
      <c r="B1368" t="s">
        <v>20</v>
      </c>
      <c r="C1368" t="s">
        <v>53</v>
      </c>
      <c r="D1368">
        <v>53681</v>
      </c>
      <c r="E1368" s="2">
        <v>2652948.5</v>
      </c>
    </row>
    <row r="1369" spans="1:5" ht="15" x14ac:dyDescent="0.2">
      <c r="A1369" s="1" t="s">
        <v>104</v>
      </c>
      <c r="B1369" t="s">
        <v>40</v>
      </c>
      <c r="C1369" t="s">
        <v>53</v>
      </c>
      <c r="D1369">
        <v>53681</v>
      </c>
      <c r="E1369" s="2">
        <v>36865702.770000003</v>
      </c>
    </row>
    <row r="1370" spans="1:5" ht="15" x14ac:dyDescent="0.2">
      <c r="A1370" s="1" t="s">
        <v>80</v>
      </c>
      <c r="B1370" t="s">
        <v>22</v>
      </c>
      <c r="C1370" t="s">
        <v>53</v>
      </c>
      <c r="D1370">
        <v>56917</v>
      </c>
      <c r="E1370" s="2">
        <v>11914550.789999999</v>
      </c>
    </row>
    <row r="1371" spans="1:5" ht="15" x14ac:dyDescent="0.2">
      <c r="A1371" s="1" t="s">
        <v>78</v>
      </c>
      <c r="B1371" t="s">
        <v>20</v>
      </c>
      <c r="C1371" t="s">
        <v>53</v>
      </c>
      <c r="D1371">
        <v>56917</v>
      </c>
      <c r="E1371" s="2">
        <v>2377416.2599999998</v>
      </c>
    </row>
    <row r="1372" spans="1:5" ht="15" x14ac:dyDescent="0.2">
      <c r="A1372" s="1" t="s">
        <v>65</v>
      </c>
      <c r="B1372" t="s">
        <v>4</v>
      </c>
      <c r="C1372" t="s">
        <v>53</v>
      </c>
      <c r="D1372">
        <v>56917</v>
      </c>
      <c r="E1372" s="2">
        <v>4237422.57</v>
      </c>
    </row>
    <row r="1373" spans="1:5" ht="15" x14ac:dyDescent="0.2">
      <c r="A1373" s="1" t="s">
        <v>94</v>
      </c>
      <c r="B1373" t="s">
        <v>33</v>
      </c>
      <c r="C1373" t="s">
        <v>53</v>
      </c>
      <c r="D1373">
        <v>56933</v>
      </c>
      <c r="E1373" s="2">
        <v>3773.46</v>
      </c>
    </row>
    <row r="1374" spans="1:5" ht="15" x14ac:dyDescent="0.2">
      <c r="A1374" s="1" t="s">
        <v>96</v>
      </c>
      <c r="B1374" t="s">
        <v>44</v>
      </c>
      <c r="C1374" t="s">
        <v>53</v>
      </c>
      <c r="D1374">
        <v>56933</v>
      </c>
      <c r="E1374" s="2">
        <v>8361706.5700000003</v>
      </c>
    </row>
    <row r="1375" spans="1:5" ht="15" x14ac:dyDescent="0.2">
      <c r="A1375" s="1" t="s">
        <v>97</v>
      </c>
      <c r="B1375" t="s">
        <v>42</v>
      </c>
      <c r="C1375" t="s">
        <v>53</v>
      </c>
      <c r="D1375">
        <v>56933</v>
      </c>
      <c r="E1375" s="2">
        <v>7647052.71</v>
      </c>
    </row>
    <row r="1376" spans="1:5" ht="15" x14ac:dyDescent="0.2">
      <c r="A1376" s="1" t="s">
        <v>78</v>
      </c>
      <c r="B1376" t="s">
        <v>20</v>
      </c>
      <c r="C1376" t="s">
        <v>53</v>
      </c>
      <c r="D1376">
        <v>56933</v>
      </c>
      <c r="E1376" s="2">
        <v>3254297.72</v>
      </c>
    </row>
    <row r="1377" spans="1:5" ht="15" x14ac:dyDescent="0.2">
      <c r="A1377" s="1" t="s">
        <v>71</v>
      </c>
      <c r="B1377" t="s">
        <v>9</v>
      </c>
      <c r="C1377" t="s">
        <v>53</v>
      </c>
      <c r="D1377">
        <v>56933</v>
      </c>
      <c r="E1377" s="2">
        <v>641.66999999999996</v>
      </c>
    </row>
    <row r="1378" spans="1:5" ht="15" x14ac:dyDescent="0.2">
      <c r="A1378" s="1" t="s">
        <v>95</v>
      </c>
      <c r="B1378" t="s">
        <v>38</v>
      </c>
      <c r="C1378" t="s">
        <v>53</v>
      </c>
      <c r="D1378">
        <v>57593</v>
      </c>
      <c r="E1378" s="2">
        <v>187128985.53999999</v>
      </c>
    </row>
    <row r="1379" spans="1:5" ht="15" x14ac:dyDescent="0.2">
      <c r="A1379" s="1" t="s">
        <v>84</v>
      </c>
      <c r="B1379" t="s">
        <v>16</v>
      </c>
      <c r="C1379" t="s">
        <v>53</v>
      </c>
      <c r="D1379">
        <v>63220</v>
      </c>
      <c r="E1379" s="2">
        <v>12124925.869999999</v>
      </c>
    </row>
    <row r="1380" spans="1:5" ht="15" x14ac:dyDescent="0.2">
      <c r="A1380" s="1" t="s">
        <v>83</v>
      </c>
      <c r="B1380" t="s">
        <v>23</v>
      </c>
      <c r="C1380" t="s">
        <v>53</v>
      </c>
      <c r="D1380">
        <v>63220</v>
      </c>
      <c r="E1380" s="2">
        <v>10803416.369999999</v>
      </c>
    </row>
    <row r="1381" spans="1:5" ht="15" x14ac:dyDescent="0.2">
      <c r="A1381" s="1" t="s">
        <v>80</v>
      </c>
      <c r="B1381" t="s">
        <v>22</v>
      </c>
      <c r="C1381" t="s">
        <v>53</v>
      </c>
      <c r="D1381">
        <v>63220</v>
      </c>
      <c r="E1381" s="2">
        <v>16182933.390000001</v>
      </c>
    </row>
    <row r="1382" spans="1:5" ht="15" x14ac:dyDescent="0.2">
      <c r="A1382" s="1" t="s">
        <v>69</v>
      </c>
      <c r="B1382" t="s">
        <v>7</v>
      </c>
      <c r="C1382" t="s">
        <v>53</v>
      </c>
      <c r="D1382">
        <v>63220</v>
      </c>
      <c r="E1382" s="2">
        <v>70820766</v>
      </c>
    </row>
    <row r="1383" spans="1:5" ht="15" x14ac:dyDescent="0.2">
      <c r="A1383" s="1" t="s">
        <v>70</v>
      </c>
      <c r="B1383" t="s">
        <v>8</v>
      </c>
      <c r="C1383" t="s">
        <v>53</v>
      </c>
      <c r="D1383">
        <v>63220</v>
      </c>
      <c r="E1383" s="2">
        <v>119690633.20999999</v>
      </c>
    </row>
    <row r="1384" spans="1:5" ht="15" x14ac:dyDescent="0.2">
      <c r="A1384" s="1" t="s">
        <v>79</v>
      </c>
      <c r="B1384" t="s">
        <v>21</v>
      </c>
      <c r="C1384" t="s">
        <v>53</v>
      </c>
      <c r="D1384">
        <v>63403</v>
      </c>
      <c r="E1384" s="2">
        <v>16907126.539999999</v>
      </c>
    </row>
    <row r="1385" spans="1:5" ht="15" x14ac:dyDescent="0.2">
      <c r="A1385" s="1" t="s">
        <v>92</v>
      </c>
      <c r="B1385" t="s">
        <v>31</v>
      </c>
      <c r="C1385" t="s">
        <v>53</v>
      </c>
      <c r="D1385">
        <v>63403</v>
      </c>
      <c r="E1385" s="2">
        <v>13616941.41</v>
      </c>
    </row>
    <row r="1386" spans="1:5" ht="15" x14ac:dyDescent="0.2">
      <c r="A1386" s="1" t="s">
        <v>85</v>
      </c>
      <c r="B1386" t="s">
        <v>24</v>
      </c>
      <c r="C1386" t="s">
        <v>53</v>
      </c>
      <c r="D1386">
        <v>63403</v>
      </c>
      <c r="E1386" s="2">
        <v>1.22</v>
      </c>
    </row>
    <row r="1387" spans="1:5" ht="15" x14ac:dyDescent="0.2">
      <c r="A1387" s="1" t="s">
        <v>72</v>
      </c>
      <c r="B1387" t="s">
        <v>10</v>
      </c>
      <c r="C1387" t="s">
        <v>53</v>
      </c>
      <c r="D1387">
        <v>63403</v>
      </c>
      <c r="E1387" s="2">
        <v>21327512.949999999</v>
      </c>
    </row>
    <row r="1388" spans="1:5" ht="15" x14ac:dyDescent="0.2">
      <c r="A1388" s="1" t="s">
        <v>96</v>
      </c>
      <c r="B1388" t="s">
        <v>44</v>
      </c>
      <c r="C1388" t="s">
        <v>53</v>
      </c>
      <c r="D1388">
        <v>63403</v>
      </c>
      <c r="E1388" s="2">
        <v>8770235.5099999998</v>
      </c>
    </row>
    <row r="1389" spans="1:5" ht="15" x14ac:dyDescent="0.2">
      <c r="A1389" s="1" t="s">
        <v>98</v>
      </c>
      <c r="B1389" t="s">
        <v>34</v>
      </c>
      <c r="C1389" t="s">
        <v>53</v>
      </c>
      <c r="D1389">
        <v>63403</v>
      </c>
      <c r="E1389" s="2">
        <v>39131449.770000003</v>
      </c>
    </row>
    <row r="1390" spans="1:5" ht="15" x14ac:dyDescent="0.2">
      <c r="A1390" s="1" t="s">
        <v>92</v>
      </c>
      <c r="B1390" t="s">
        <v>31</v>
      </c>
      <c r="C1390" t="s">
        <v>53</v>
      </c>
      <c r="D1390">
        <v>63405</v>
      </c>
      <c r="E1390" s="2">
        <v>19682594.190000001</v>
      </c>
    </row>
    <row r="1391" spans="1:5" ht="15" x14ac:dyDescent="0.2">
      <c r="A1391" s="1" t="s">
        <v>75</v>
      </c>
      <c r="B1391" t="s">
        <v>12</v>
      </c>
      <c r="C1391" t="s">
        <v>53</v>
      </c>
      <c r="D1391">
        <v>63405</v>
      </c>
      <c r="E1391" s="2">
        <v>27169724.460000001</v>
      </c>
    </row>
    <row r="1392" spans="1:5" ht="15" x14ac:dyDescent="0.2">
      <c r="A1392" s="1" t="s">
        <v>80</v>
      </c>
      <c r="B1392" t="s">
        <v>22</v>
      </c>
      <c r="C1392" t="s">
        <v>53</v>
      </c>
      <c r="D1392">
        <v>63405</v>
      </c>
      <c r="E1392" s="2">
        <v>331.05</v>
      </c>
    </row>
    <row r="1393" spans="1:5" ht="15" x14ac:dyDescent="0.2">
      <c r="A1393" s="1" t="s">
        <v>98</v>
      </c>
      <c r="B1393" t="s">
        <v>34</v>
      </c>
      <c r="C1393" t="s">
        <v>53</v>
      </c>
      <c r="D1393">
        <v>63405</v>
      </c>
      <c r="E1393" s="2">
        <v>38229304.659999996</v>
      </c>
    </row>
    <row r="1394" spans="1:5" ht="15" x14ac:dyDescent="0.2">
      <c r="A1394" s="1" t="s">
        <v>103</v>
      </c>
      <c r="B1394" t="s">
        <v>37</v>
      </c>
      <c r="C1394" t="s">
        <v>53</v>
      </c>
      <c r="D1394">
        <v>63405</v>
      </c>
      <c r="E1394" s="2">
        <v>9867617.3599999994</v>
      </c>
    </row>
    <row r="1395" spans="1:5" ht="15" x14ac:dyDescent="0.2">
      <c r="A1395" s="1" t="s">
        <v>65</v>
      </c>
      <c r="B1395" t="s">
        <v>4</v>
      </c>
      <c r="C1395" t="s">
        <v>53</v>
      </c>
      <c r="D1395">
        <v>63405</v>
      </c>
      <c r="E1395" s="2">
        <v>1365.87</v>
      </c>
    </row>
    <row r="1396" spans="1:5" ht="15" x14ac:dyDescent="0.2">
      <c r="A1396" s="1" t="s">
        <v>70</v>
      </c>
      <c r="B1396" t="s">
        <v>8</v>
      </c>
      <c r="C1396" t="s">
        <v>53</v>
      </c>
      <c r="D1396">
        <v>63405</v>
      </c>
      <c r="E1396" s="2">
        <v>53757168.609999999</v>
      </c>
    </row>
    <row r="1397" spans="1:5" ht="15" x14ac:dyDescent="0.2">
      <c r="A1397" s="1" t="s">
        <v>82</v>
      </c>
      <c r="B1397" t="s">
        <v>15</v>
      </c>
      <c r="C1397" t="s">
        <v>53</v>
      </c>
      <c r="D1397">
        <v>63405</v>
      </c>
      <c r="E1397" s="2">
        <v>4927419.4400000004</v>
      </c>
    </row>
    <row r="1398" spans="1:5" ht="15" x14ac:dyDescent="0.2">
      <c r="A1398" s="1" t="s">
        <v>66</v>
      </c>
      <c r="B1398" t="s">
        <v>47</v>
      </c>
      <c r="C1398" t="s">
        <v>53</v>
      </c>
      <c r="D1398">
        <v>67561</v>
      </c>
      <c r="E1398" s="2">
        <v>7247347.5800000001</v>
      </c>
    </row>
    <row r="1399" spans="1:5" ht="15" x14ac:dyDescent="0.2">
      <c r="A1399" s="1" t="s">
        <v>84</v>
      </c>
      <c r="B1399" t="s">
        <v>16</v>
      </c>
      <c r="C1399" t="s">
        <v>53</v>
      </c>
      <c r="D1399">
        <v>67561</v>
      </c>
      <c r="E1399" s="2">
        <v>17425277.609999999</v>
      </c>
    </row>
    <row r="1400" spans="1:5" ht="15" x14ac:dyDescent="0.2">
      <c r="A1400" s="1" t="s">
        <v>65</v>
      </c>
      <c r="B1400" t="s">
        <v>4</v>
      </c>
      <c r="C1400" t="s">
        <v>53</v>
      </c>
      <c r="D1400">
        <v>67561</v>
      </c>
      <c r="E1400" s="2">
        <v>1.24</v>
      </c>
    </row>
    <row r="1401" spans="1:5" ht="15" x14ac:dyDescent="0.2">
      <c r="A1401" s="1" t="s">
        <v>95</v>
      </c>
      <c r="B1401" t="s">
        <v>38</v>
      </c>
      <c r="C1401" t="s">
        <v>53</v>
      </c>
      <c r="D1401">
        <v>67941</v>
      </c>
      <c r="E1401" s="2">
        <v>416468696.72000003</v>
      </c>
    </row>
    <row r="1402" spans="1:5" ht="15" x14ac:dyDescent="0.2">
      <c r="A1402" s="1" t="s">
        <v>65</v>
      </c>
      <c r="B1402" t="s">
        <v>4</v>
      </c>
      <c r="C1402" t="s">
        <v>53</v>
      </c>
      <c r="D1402">
        <v>67941</v>
      </c>
      <c r="E1402" s="2">
        <v>4072191.13</v>
      </c>
    </row>
    <row r="1403" spans="1:5" ht="15" x14ac:dyDescent="0.2">
      <c r="A1403" s="1" t="s">
        <v>104</v>
      </c>
      <c r="B1403" t="s">
        <v>40</v>
      </c>
      <c r="C1403" t="s">
        <v>53</v>
      </c>
      <c r="D1403">
        <v>67941</v>
      </c>
      <c r="E1403" s="2">
        <v>47396675.950000003</v>
      </c>
    </row>
    <row r="1404" spans="1:5" ht="15" x14ac:dyDescent="0.2">
      <c r="A1404" s="1" t="s">
        <v>86</v>
      </c>
      <c r="B1404" t="s">
        <v>25</v>
      </c>
      <c r="C1404" t="s">
        <v>53</v>
      </c>
      <c r="D1404">
        <v>72739</v>
      </c>
      <c r="E1404" s="2">
        <v>8189074.5199999996</v>
      </c>
    </row>
    <row r="1405" spans="1:5" ht="15" x14ac:dyDescent="0.2">
      <c r="A1405" s="1" t="s">
        <v>92</v>
      </c>
      <c r="B1405" t="s">
        <v>31</v>
      </c>
      <c r="C1405" t="s">
        <v>53</v>
      </c>
      <c r="D1405">
        <v>72739</v>
      </c>
      <c r="E1405" s="2">
        <v>22765252.129999999</v>
      </c>
    </row>
    <row r="1406" spans="1:5" ht="15" x14ac:dyDescent="0.2">
      <c r="A1406" s="1" t="s">
        <v>97</v>
      </c>
      <c r="B1406" t="s">
        <v>42</v>
      </c>
      <c r="C1406" t="s">
        <v>53</v>
      </c>
      <c r="D1406">
        <v>72739</v>
      </c>
      <c r="E1406" s="2">
        <v>5830537.6500000004</v>
      </c>
    </row>
    <row r="1407" spans="1:5" ht="15" x14ac:dyDescent="0.2">
      <c r="A1407" s="1" t="s">
        <v>104</v>
      </c>
      <c r="B1407" t="s">
        <v>40</v>
      </c>
      <c r="C1407" t="s">
        <v>53</v>
      </c>
      <c r="D1407">
        <v>72739</v>
      </c>
      <c r="E1407" s="2">
        <v>51457899.649999999</v>
      </c>
    </row>
    <row r="1408" spans="1:5" ht="15" x14ac:dyDescent="0.2">
      <c r="A1408" s="1" t="s">
        <v>69</v>
      </c>
      <c r="B1408" t="s">
        <v>7</v>
      </c>
      <c r="C1408" t="s">
        <v>53</v>
      </c>
      <c r="D1408">
        <v>72739</v>
      </c>
      <c r="E1408" s="2">
        <v>0.11</v>
      </c>
    </row>
    <row r="1409" spans="1:5" ht="15" x14ac:dyDescent="0.2">
      <c r="A1409" s="1" t="s">
        <v>82</v>
      </c>
      <c r="B1409" t="s">
        <v>15</v>
      </c>
      <c r="C1409" t="s">
        <v>53</v>
      </c>
      <c r="D1409">
        <v>72739</v>
      </c>
      <c r="E1409" s="2">
        <v>4226771.6100000003</v>
      </c>
    </row>
    <row r="1410" spans="1:5" ht="15" x14ac:dyDescent="0.2">
      <c r="A1410" s="1" t="s">
        <v>66</v>
      </c>
      <c r="B1410" t="s">
        <v>47</v>
      </c>
      <c r="C1410" t="s">
        <v>53</v>
      </c>
      <c r="D1410">
        <v>75257</v>
      </c>
      <c r="E1410" s="2">
        <v>8317410.8200000003</v>
      </c>
    </row>
    <row r="1411" spans="1:5" ht="15" x14ac:dyDescent="0.2">
      <c r="A1411" s="1" t="s">
        <v>72</v>
      </c>
      <c r="B1411" t="s">
        <v>10</v>
      </c>
      <c r="C1411" t="s">
        <v>53</v>
      </c>
      <c r="D1411">
        <v>75257</v>
      </c>
      <c r="E1411" s="2">
        <v>19393459.989999998</v>
      </c>
    </row>
    <row r="1412" spans="1:5" ht="15" x14ac:dyDescent="0.2">
      <c r="A1412" s="1" t="s">
        <v>95</v>
      </c>
      <c r="B1412" t="s">
        <v>38</v>
      </c>
      <c r="C1412" t="s">
        <v>53</v>
      </c>
      <c r="D1412">
        <v>77596</v>
      </c>
      <c r="E1412" s="2">
        <v>230996319.05000001</v>
      </c>
    </row>
    <row r="1413" spans="1:5" ht="15" x14ac:dyDescent="0.2">
      <c r="A1413" s="1" t="s">
        <v>80</v>
      </c>
      <c r="B1413" t="s">
        <v>22</v>
      </c>
      <c r="C1413" t="s">
        <v>53</v>
      </c>
      <c r="D1413">
        <v>77596</v>
      </c>
      <c r="E1413" s="2">
        <v>6342122.8600000003</v>
      </c>
    </row>
    <row r="1414" spans="1:5" ht="15" x14ac:dyDescent="0.2">
      <c r="A1414" s="1" t="s">
        <v>65</v>
      </c>
      <c r="B1414" t="s">
        <v>4</v>
      </c>
      <c r="C1414" t="s">
        <v>53</v>
      </c>
      <c r="D1414">
        <v>77596</v>
      </c>
      <c r="E1414" s="2">
        <v>2524076.84</v>
      </c>
    </row>
    <row r="1415" spans="1:5" ht="15" x14ac:dyDescent="0.2">
      <c r="A1415" s="1" t="s">
        <v>86</v>
      </c>
      <c r="B1415" t="s">
        <v>25</v>
      </c>
      <c r="C1415" t="s">
        <v>53</v>
      </c>
      <c r="D1415">
        <v>80154</v>
      </c>
      <c r="E1415" s="2">
        <v>19248314.039999999</v>
      </c>
    </row>
    <row r="1416" spans="1:5" ht="15" x14ac:dyDescent="0.2">
      <c r="A1416" s="1" t="s">
        <v>92</v>
      </c>
      <c r="B1416" t="s">
        <v>31</v>
      </c>
      <c r="C1416" t="s">
        <v>53</v>
      </c>
      <c r="D1416">
        <v>80154</v>
      </c>
      <c r="E1416" s="2">
        <v>33271670.5</v>
      </c>
    </row>
    <row r="1417" spans="1:5" ht="15" x14ac:dyDescent="0.2">
      <c r="A1417" s="1" t="s">
        <v>95</v>
      </c>
      <c r="B1417" t="s">
        <v>38</v>
      </c>
      <c r="C1417" t="s">
        <v>53</v>
      </c>
      <c r="D1417">
        <v>80154</v>
      </c>
      <c r="E1417" s="2">
        <v>0.79</v>
      </c>
    </row>
    <row r="1418" spans="1:5" ht="15" x14ac:dyDescent="0.2">
      <c r="A1418" s="1" t="s">
        <v>103</v>
      </c>
      <c r="B1418" t="s">
        <v>37</v>
      </c>
      <c r="C1418" t="s">
        <v>53</v>
      </c>
      <c r="D1418">
        <v>80154</v>
      </c>
      <c r="E1418" s="2">
        <v>11466921.52</v>
      </c>
    </row>
    <row r="1419" spans="1:5" ht="15" x14ac:dyDescent="0.2">
      <c r="A1419" s="1" t="s">
        <v>75</v>
      </c>
      <c r="B1419" t="s">
        <v>19</v>
      </c>
      <c r="C1419" t="s">
        <v>53</v>
      </c>
      <c r="D1419">
        <v>80154</v>
      </c>
      <c r="E1419" s="2">
        <v>4925.16</v>
      </c>
    </row>
    <row r="1420" spans="1:5" ht="15" x14ac:dyDescent="0.2">
      <c r="A1420" s="1" t="s">
        <v>70</v>
      </c>
      <c r="B1420" t="s">
        <v>8</v>
      </c>
      <c r="C1420" t="s">
        <v>53</v>
      </c>
      <c r="D1420">
        <v>80154</v>
      </c>
      <c r="E1420" s="2">
        <v>74414114.530000001</v>
      </c>
    </row>
    <row r="1421" spans="1:5" ht="15" x14ac:dyDescent="0.2">
      <c r="A1421" s="1" t="s">
        <v>90</v>
      </c>
      <c r="B1421" t="s">
        <v>29</v>
      </c>
      <c r="C1421" t="s">
        <v>53</v>
      </c>
      <c r="D1421">
        <v>81857</v>
      </c>
      <c r="E1421" s="2">
        <v>46261616.270000003</v>
      </c>
    </row>
    <row r="1422" spans="1:5" ht="15" x14ac:dyDescent="0.2">
      <c r="A1422" s="1" t="s">
        <v>71</v>
      </c>
      <c r="B1422" t="s">
        <v>9</v>
      </c>
      <c r="C1422" t="s">
        <v>53</v>
      </c>
      <c r="D1422">
        <v>81857</v>
      </c>
      <c r="E1422" s="2">
        <v>20946567.75</v>
      </c>
    </row>
    <row r="1423" spans="1:5" ht="15" x14ac:dyDescent="0.2">
      <c r="A1423" s="1" t="s">
        <v>82</v>
      </c>
      <c r="B1423" t="s">
        <v>15</v>
      </c>
      <c r="C1423" t="s">
        <v>53</v>
      </c>
      <c r="D1423">
        <v>81857</v>
      </c>
      <c r="E1423" s="2">
        <v>5673511</v>
      </c>
    </row>
    <row r="1424" spans="1:5" ht="15" x14ac:dyDescent="0.2">
      <c r="A1424" s="1" t="s">
        <v>85</v>
      </c>
      <c r="B1424" t="s">
        <v>24</v>
      </c>
      <c r="C1424" t="s">
        <v>53</v>
      </c>
      <c r="D1424">
        <v>86385</v>
      </c>
      <c r="E1424" s="2">
        <v>50151385.829999998</v>
      </c>
    </row>
    <row r="1425" spans="1:5" ht="15" x14ac:dyDescent="0.2">
      <c r="A1425" s="1" t="s">
        <v>96</v>
      </c>
      <c r="B1425" t="s">
        <v>44</v>
      </c>
      <c r="C1425" t="s">
        <v>53</v>
      </c>
      <c r="D1425">
        <v>86385</v>
      </c>
      <c r="E1425" s="2">
        <v>9456879.1799999997</v>
      </c>
    </row>
    <row r="1426" spans="1:5" ht="15" x14ac:dyDescent="0.2">
      <c r="A1426" s="1" t="s">
        <v>71</v>
      </c>
      <c r="B1426" t="s">
        <v>9</v>
      </c>
      <c r="C1426" t="s">
        <v>53</v>
      </c>
      <c r="D1426">
        <v>86385</v>
      </c>
      <c r="E1426" s="2">
        <v>40589327.359999999</v>
      </c>
    </row>
    <row r="1427" spans="1:5" ht="15" x14ac:dyDescent="0.2">
      <c r="A1427" s="1" t="s">
        <v>86</v>
      </c>
      <c r="B1427" t="s">
        <v>25</v>
      </c>
      <c r="C1427" t="s">
        <v>53</v>
      </c>
      <c r="D1427">
        <v>87229</v>
      </c>
      <c r="E1427" s="2">
        <v>26844543.899999999</v>
      </c>
    </row>
    <row r="1428" spans="1:5" ht="15" x14ac:dyDescent="0.2">
      <c r="A1428" s="1" t="s">
        <v>89</v>
      </c>
      <c r="B1428" t="s">
        <v>28</v>
      </c>
      <c r="C1428" t="s">
        <v>53</v>
      </c>
      <c r="D1428">
        <v>87229</v>
      </c>
      <c r="E1428" s="2">
        <v>10640300.109999999</v>
      </c>
    </row>
    <row r="1429" spans="1:5" ht="15" x14ac:dyDescent="0.2">
      <c r="A1429" s="1" t="s">
        <v>93</v>
      </c>
      <c r="B1429" t="s">
        <v>32</v>
      </c>
      <c r="C1429" t="s">
        <v>53</v>
      </c>
      <c r="D1429">
        <v>87229</v>
      </c>
      <c r="E1429" s="2">
        <v>67276426.879999995</v>
      </c>
    </row>
    <row r="1430" spans="1:5" ht="15" x14ac:dyDescent="0.2">
      <c r="A1430" s="1" t="s">
        <v>72</v>
      </c>
      <c r="B1430" t="s">
        <v>10</v>
      </c>
      <c r="C1430" t="s">
        <v>53</v>
      </c>
      <c r="D1430">
        <v>87229</v>
      </c>
      <c r="E1430" s="2">
        <v>7577248.0599999996</v>
      </c>
    </row>
    <row r="1431" spans="1:5" ht="15" x14ac:dyDescent="0.2">
      <c r="A1431" s="1" t="s">
        <v>96</v>
      </c>
      <c r="B1431" t="s">
        <v>44</v>
      </c>
      <c r="C1431" t="s">
        <v>53</v>
      </c>
      <c r="D1431">
        <v>87229</v>
      </c>
      <c r="E1431" s="2">
        <v>5858401.6900000004</v>
      </c>
    </row>
    <row r="1432" spans="1:5" ht="15" x14ac:dyDescent="0.2">
      <c r="A1432" s="1" t="s">
        <v>99</v>
      </c>
      <c r="B1432" t="s">
        <v>35</v>
      </c>
      <c r="C1432" t="s">
        <v>53</v>
      </c>
      <c r="D1432">
        <v>87229</v>
      </c>
      <c r="E1432" s="2">
        <v>15951508.27</v>
      </c>
    </row>
    <row r="1433" spans="1:5" ht="15" x14ac:dyDescent="0.2">
      <c r="A1433" s="1" t="s">
        <v>71</v>
      </c>
      <c r="B1433" t="s">
        <v>9</v>
      </c>
      <c r="C1433" t="s">
        <v>53</v>
      </c>
      <c r="D1433">
        <v>87229</v>
      </c>
      <c r="E1433" s="2">
        <v>127.13</v>
      </c>
    </row>
    <row r="1434" spans="1:5" ht="15" x14ac:dyDescent="0.2">
      <c r="A1434" s="1" t="s">
        <v>91</v>
      </c>
      <c r="B1434" t="s">
        <v>30</v>
      </c>
      <c r="C1434" t="s">
        <v>53</v>
      </c>
      <c r="D1434">
        <v>87778</v>
      </c>
      <c r="E1434" s="2">
        <v>237813371.25999999</v>
      </c>
    </row>
    <row r="1435" spans="1:5" ht="15" x14ac:dyDescent="0.2">
      <c r="A1435" s="1" t="s">
        <v>75</v>
      </c>
      <c r="B1435" t="s">
        <v>12</v>
      </c>
      <c r="C1435" t="s">
        <v>53</v>
      </c>
      <c r="D1435">
        <v>87778</v>
      </c>
      <c r="E1435" s="2">
        <v>1.0900000000000001</v>
      </c>
    </row>
    <row r="1436" spans="1:5" ht="15" x14ac:dyDescent="0.2">
      <c r="A1436" s="1" t="s">
        <v>82</v>
      </c>
      <c r="B1436" t="s">
        <v>15</v>
      </c>
      <c r="C1436" t="s">
        <v>53</v>
      </c>
      <c r="D1436">
        <v>87778</v>
      </c>
      <c r="E1436" s="2">
        <v>1993312.74</v>
      </c>
    </row>
    <row r="1437" spans="1:5" ht="15" x14ac:dyDescent="0.2">
      <c r="A1437" s="1" t="s">
        <v>94</v>
      </c>
      <c r="B1437" t="s">
        <v>33</v>
      </c>
      <c r="C1437" t="s">
        <v>53</v>
      </c>
      <c r="D1437">
        <v>89472</v>
      </c>
      <c r="E1437" s="2">
        <v>65425638.329999998</v>
      </c>
    </row>
    <row r="1438" spans="1:5" ht="15" x14ac:dyDescent="0.2">
      <c r="A1438" s="1" t="s">
        <v>83</v>
      </c>
      <c r="B1438" t="s">
        <v>23</v>
      </c>
      <c r="C1438" t="s">
        <v>53</v>
      </c>
      <c r="D1438">
        <v>89472</v>
      </c>
      <c r="E1438" s="2">
        <v>31979129.719999999</v>
      </c>
    </row>
    <row r="1439" spans="1:5" ht="15" x14ac:dyDescent="0.2">
      <c r="A1439" s="1" t="s">
        <v>80</v>
      </c>
      <c r="B1439" t="s">
        <v>22</v>
      </c>
      <c r="C1439" t="s">
        <v>53</v>
      </c>
      <c r="D1439">
        <v>89472</v>
      </c>
      <c r="E1439" s="2">
        <v>7001353.6600000001</v>
      </c>
    </row>
    <row r="1440" spans="1:5" ht="15" x14ac:dyDescent="0.2">
      <c r="A1440" s="1" t="s">
        <v>97</v>
      </c>
      <c r="B1440" t="s">
        <v>42</v>
      </c>
      <c r="C1440" t="s">
        <v>53</v>
      </c>
      <c r="D1440">
        <v>89472</v>
      </c>
      <c r="E1440" s="2">
        <v>15066300.25</v>
      </c>
    </row>
    <row r="1441" spans="1:5" ht="15" x14ac:dyDescent="0.2">
      <c r="A1441" s="1" t="s">
        <v>65</v>
      </c>
      <c r="B1441" t="s">
        <v>4</v>
      </c>
      <c r="C1441" t="s">
        <v>53</v>
      </c>
      <c r="D1441">
        <v>89472</v>
      </c>
      <c r="E1441" s="2">
        <v>1444.18</v>
      </c>
    </row>
    <row r="1442" spans="1:5" ht="15" x14ac:dyDescent="0.2">
      <c r="A1442" s="1" t="s">
        <v>86</v>
      </c>
      <c r="B1442" t="s">
        <v>25</v>
      </c>
      <c r="C1442" t="s">
        <v>54</v>
      </c>
      <c r="D1442">
        <v>11546</v>
      </c>
      <c r="E1442" s="2">
        <v>29087018.98</v>
      </c>
    </row>
    <row r="1443" spans="1:5" ht="15" x14ac:dyDescent="0.2">
      <c r="A1443" s="1" t="s">
        <v>85</v>
      </c>
      <c r="B1443" t="s">
        <v>24</v>
      </c>
      <c r="C1443" t="s">
        <v>54</v>
      </c>
      <c r="D1443">
        <v>11546</v>
      </c>
      <c r="E1443" s="2">
        <v>26526594.629999999</v>
      </c>
    </row>
    <row r="1444" spans="1:5" ht="15" x14ac:dyDescent="0.2">
      <c r="A1444" s="1" t="s">
        <v>95</v>
      </c>
      <c r="B1444" t="s">
        <v>38</v>
      </c>
      <c r="C1444" t="s">
        <v>54</v>
      </c>
      <c r="D1444">
        <v>11546</v>
      </c>
      <c r="E1444" s="2">
        <v>870037360.33000004</v>
      </c>
    </row>
    <row r="1445" spans="1:5" ht="15" x14ac:dyDescent="0.2">
      <c r="A1445" s="1" t="s">
        <v>80</v>
      </c>
      <c r="B1445" t="s">
        <v>22</v>
      </c>
      <c r="C1445" t="s">
        <v>54</v>
      </c>
      <c r="D1445">
        <v>11546</v>
      </c>
      <c r="E1445" s="2">
        <v>4481446.54</v>
      </c>
    </row>
    <row r="1446" spans="1:5" ht="15" x14ac:dyDescent="0.2">
      <c r="A1446" s="1" t="s">
        <v>77</v>
      </c>
      <c r="B1446" t="s">
        <v>18</v>
      </c>
      <c r="C1446" t="s">
        <v>54</v>
      </c>
      <c r="D1446">
        <v>11546</v>
      </c>
      <c r="E1446" s="2">
        <v>38968499.18</v>
      </c>
    </row>
    <row r="1447" spans="1:5" ht="15" x14ac:dyDescent="0.2">
      <c r="A1447" s="1" t="s">
        <v>69</v>
      </c>
      <c r="B1447" t="s">
        <v>7</v>
      </c>
      <c r="C1447" t="s">
        <v>54</v>
      </c>
      <c r="D1447">
        <v>11546</v>
      </c>
      <c r="E1447" s="2">
        <v>30496.22</v>
      </c>
    </row>
    <row r="1448" spans="1:5" ht="15" x14ac:dyDescent="0.2">
      <c r="A1448" s="1" t="s">
        <v>79</v>
      </c>
      <c r="B1448" t="s">
        <v>21</v>
      </c>
      <c r="C1448" t="s">
        <v>54</v>
      </c>
      <c r="D1448">
        <v>13175</v>
      </c>
      <c r="E1448" s="2">
        <v>4459501.1399999997</v>
      </c>
    </row>
    <row r="1449" spans="1:5" ht="15" x14ac:dyDescent="0.2">
      <c r="A1449" s="1" t="s">
        <v>92</v>
      </c>
      <c r="B1449" t="s">
        <v>31</v>
      </c>
      <c r="C1449" t="s">
        <v>54</v>
      </c>
      <c r="D1449">
        <v>13175</v>
      </c>
      <c r="E1449" s="2">
        <v>50745289.390000001</v>
      </c>
    </row>
    <row r="1450" spans="1:5" ht="15" x14ac:dyDescent="0.2">
      <c r="A1450" s="1" t="s">
        <v>93</v>
      </c>
      <c r="B1450" t="s">
        <v>32</v>
      </c>
      <c r="C1450" t="s">
        <v>54</v>
      </c>
      <c r="D1450">
        <v>13175</v>
      </c>
      <c r="E1450" s="2">
        <v>6114.78</v>
      </c>
    </row>
    <row r="1451" spans="1:5" ht="15" x14ac:dyDescent="0.2">
      <c r="A1451" s="1" t="s">
        <v>74</v>
      </c>
      <c r="B1451" t="s">
        <v>11</v>
      </c>
      <c r="C1451" t="s">
        <v>54</v>
      </c>
      <c r="D1451">
        <v>13175</v>
      </c>
      <c r="E1451" s="2">
        <v>1231104.0900000001</v>
      </c>
    </row>
    <row r="1452" spans="1:5" ht="15" x14ac:dyDescent="0.2">
      <c r="A1452" s="1" t="s">
        <v>97</v>
      </c>
      <c r="B1452" t="s">
        <v>42</v>
      </c>
      <c r="C1452" t="s">
        <v>54</v>
      </c>
      <c r="D1452">
        <v>13175</v>
      </c>
      <c r="E1452" s="2">
        <v>5305514.1100000003</v>
      </c>
    </row>
    <row r="1453" spans="1:5" ht="15" x14ac:dyDescent="0.2">
      <c r="A1453" s="1" t="s">
        <v>68</v>
      </c>
      <c r="B1453" t="s">
        <v>6</v>
      </c>
      <c r="C1453" t="s">
        <v>54</v>
      </c>
      <c r="D1453">
        <v>13175</v>
      </c>
      <c r="E1453" s="2">
        <v>15746954.279999999</v>
      </c>
    </row>
    <row r="1454" spans="1:5" ht="15" x14ac:dyDescent="0.2">
      <c r="A1454" s="1" t="s">
        <v>66</v>
      </c>
      <c r="B1454" t="s">
        <v>47</v>
      </c>
      <c r="C1454" t="s">
        <v>54</v>
      </c>
      <c r="D1454">
        <v>15777</v>
      </c>
      <c r="E1454" s="2">
        <v>2654053.7799999998</v>
      </c>
    </row>
    <row r="1455" spans="1:5" ht="15" x14ac:dyDescent="0.2">
      <c r="A1455" s="1" t="s">
        <v>92</v>
      </c>
      <c r="B1455" t="s">
        <v>31</v>
      </c>
      <c r="C1455" t="s">
        <v>54</v>
      </c>
      <c r="D1455">
        <v>15777</v>
      </c>
      <c r="E1455" s="2">
        <v>1129.68</v>
      </c>
    </row>
    <row r="1456" spans="1:5" ht="15" x14ac:dyDescent="0.2">
      <c r="A1456" s="1" t="s">
        <v>74</v>
      </c>
      <c r="B1456" t="s">
        <v>11</v>
      </c>
      <c r="C1456" t="s">
        <v>54</v>
      </c>
      <c r="D1456">
        <v>15777</v>
      </c>
      <c r="E1456" s="2">
        <v>1794076.87</v>
      </c>
    </row>
    <row r="1457" spans="1:5" ht="15" x14ac:dyDescent="0.2">
      <c r="A1457" s="1" t="s">
        <v>78</v>
      </c>
      <c r="B1457" t="s">
        <v>20</v>
      </c>
      <c r="C1457" t="s">
        <v>54</v>
      </c>
      <c r="D1457">
        <v>15777</v>
      </c>
      <c r="E1457" s="2">
        <v>4481838.25</v>
      </c>
    </row>
    <row r="1458" spans="1:5" ht="15" x14ac:dyDescent="0.2">
      <c r="A1458" s="1" t="s">
        <v>69</v>
      </c>
      <c r="B1458" t="s">
        <v>7</v>
      </c>
      <c r="C1458" t="s">
        <v>54</v>
      </c>
      <c r="D1458">
        <v>15777</v>
      </c>
      <c r="E1458" s="2">
        <v>9589.56</v>
      </c>
    </row>
    <row r="1459" spans="1:5" ht="15" x14ac:dyDescent="0.2">
      <c r="A1459" s="1" t="s">
        <v>86</v>
      </c>
      <c r="B1459" t="s">
        <v>25</v>
      </c>
      <c r="C1459" t="s">
        <v>54</v>
      </c>
      <c r="D1459">
        <v>20910</v>
      </c>
      <c r="E1459" s="2">
        <v>1147737.6000000001</v>
      </c>
    </row>
    <row r="1460" spans="1:5" ht="15" x14ac:dyDescent="0.2">
      <c r="A1460" s="1" t="s">
        <v>95</v>
      </c>
      <c r="B1460" t="s">
        <v>38</v>
      </c>
      <c r="C1460" t="s">
        <v>54</v>
      </c>
      <c r="D1460">
        <v>20910</v>
      </c>
      <c r="E1460" s="2">
        <v>645300036.48000002</v>
      </c>
    </row>
    <row r="1461" spans="1:5" ht="15" x14ac:dyDescent="0.2">
      <c r="A1461" s="1" t="s">
        <v>74</v>
      </c>
      <c r="B1461" t="s">
        <v>11</v>
      </c>
      <c r="C1461" t="s">
        <v>54</v>
      </c>
      <c r="D1461">
        <v>20910</v>
      </c>
      <c r="E1461" s="2">
        <v>598394.56999999995</v>
      </c>
    </row>
    <row r="1462" spans="1:5" ht="15" x14ac:dyDescent="0.2">
      <c r="A1462" s="1" t="s">
        <v>96</v>
      </c>
      <c r="B1462" t="s">
        <v>44</v>
      </c>
      <c r="C1462" t="s">
        <v>54</v>
      </c>
      <c r="D1462">
        <v>20910</v>
      </c>
      <c r="E1462" s="2">
        <v>1952780.07</v>
      </c>
    </row>
    <row r="1463" spans="1:5" ht="15" x14ac:dyDescent="0.2">
      <c r="A1463" s="1" t="s">
        <v>97</v>
      </c>
      <c r="B1463" t="s">
        <v>42</v>
      </c>
      <c r="C1463" t="s">
        <v>54</v>
      </c>
      <c r="D1463">
        <v>20910</v>
      </c>
      <c r="E1463" s="2">
        <v>7185244.4900000002</v>
      </c>
    </row>
    <row r="1464" spans="1:5" ht="15" x14ac:dyDescent="0.2">
      <c r="A1464" s="1" t="s">
        <v>92</v>
      </c>
      <c r="B1464" t="s">
        <v>31</v>
      </c>
      <c r="C1464" t="s">
        <v>54</v>
      </c>
      <c r="D1464">
        <v>23259</v>
      </c>
      <c r="E1464" s="2">
        <v>3262.86</v>
      </c>
    </row>
    <row r="1465" spans="1:5" ht="15" x14ac:dyDescent="0.2">
      <c r="A1465" s="1" t="s">
        <v>93</v>
      </c>
      <c r="B1465" t="s">
        <v>32</v>
      </c>
      <c r="C1465" t="s">
        <v>54</v>
      </c>
      <c r="D1465">
        <v>23259</v>
      </c>
      <c r="E1465" s="2">
        <v>115532126.70999999</v>
      </c>
    </row>
    <row r="1466" spans="1:5" ht="15" x14ac:dyDescent="0.2">
      <c r="A1466" s="1" t="s">
        <v>100</v>
      </c>
      <c r="B1466" t="s">
        <v>43</v>
      </c>
      <c r="C1466" t="s">
        <v>54</v>
      </c>
      <c r="D1466">
        <v>23259</v>
      </c>
      <c r="E1466" s="2">
        <v>0.74</v>
      </c>
    </row>
    <row r="1467" spans="1:5" ht="15" x14ac:dyDescent="0.2">
      <c r="A1467" s="1" t="s">
        <v>102</v>
      </c>
      <c r="B1467" t="s">
        <v>36</v>
      </c>
      <c r="C1467" t="s">
        <v>54</v>
      </c>
      <c r="D1467">
        <v>23259</v>
      </c>
      <c r="E1467" s="2">
        <v>4180535.78</v>
      </c>
    </row>
    <row r="1468" spans="1:5" ht="15" x14ac:dyDescent="0.2">
      <c r="A1468" s="1" t="s">
        <v>101</v>
      </c>
      <c r="B1468" t="s">
        <v>39</v>
      </c>
      <c r="C1468" t="s">
        <v>54</v>
      </c>
      <c r="D1468">
        <v>23259</v>
      </c>
      <c r="E1468" s="2">
        <v>10069440.390000001</v>
      </c>
    </row>
    <row r="1469" spans="1:5" ht="15" x14ac:dyDescent="0.2">
      <c r="A1469" s="1" t="s">
        <v>75</v>
      </c>
      <c r="B1469" t="s">
        <v>19</v>
      </c>
      <c r="C1469" t="s">
        <v>54</v>
      </c>
      <c r="D1469">
        <v>23259</v>
      </c>
      <c r="E1469" s="2">
        <v>14821054.84</v>
      </c>
    </row>
    <row r="1470" spans="1:5" ht="15" x14ac:dyDescent="0.2">
      <c r="A1470" s="1" t="s">
        <v>92</v>
      </c>
      <c r="B1470" t="s">
        <v>31</v>
      </c>
      <c r="C1470" t="s">
        <v>54</v>
      </c>
      <c r="D1470">
        <v>23326</v>
      </c>
      <c r="E1470" s="2">
        <v>23624400.609999999</v>
      </c>
    </row>
    <row r="1471" spans="1:5" ht="15" x14ac:dyDescent="0.2">
      <c r="A1471" s="1" t="s">
        <v>101</v>
      </c>
      <c r="B1471" t="s">
        <v>39</v>
      </c>
      <c r="C1471" t="s">
        <v>54</v>
      </c>
      <c r="D1471">
        <v>23326</v>
      </c>
      <c r="E1471" s="2">
        <v>5240726.2699999996</v>
      </c>
    </row>
    <row r="1472" spans="1:5" ht="15" x14ac:dyDescent="0.2">
      <c r="A1472" s="1" t="s">
        <v>66</v>
      </c>
      <c r="B1472" t="s">
        <v>47</v>
      </c>
      <c r="C1472" t="s">
        <v>54</v>
      </c>
      <c r="D1472">
        <v>24003</v>
      </c>
      <c r="E1472" s="2">
        <v>3404194.92</v>
      </c>
    </row>
    <row r="1473" spans="1:5" ht="15" x14ac:dyDescent="0.2">
      <c r="A1473" s="1" t="s">
        <v>79</v>
      </c>
      <c r="B1473" t="s">
        <v>21</v>
      </c>
      <c r="C1473" t="s">
        <v>54</v>
      </c>
      <c r="D1473">
        <v>24003</v>
      </c>
      <c r="E1473" s="2">
        <v>2228747.6</v>
      </c>
    </row>
    <row r="1474" spans="1:5" ht="15" x14ac:dyDescent="0.2">
      <c r="A1474" s="1" t="s">
        <v>90</v>
      </c>
      <c r="B1474" t="s">
        <v>29</v>
      </c>
      <c r="C1474" t="s">
        <v>54</v>
      </c>
      <c r="D1474">
        <v>24003</v>
      </c>
      <c r="E1474" s="2">
        <v>35949376.350000001</v>
      </c>
    </row>
    <row r="1475" spans="1:5" ht="15" x14ac:dyDescent="0.2">
      <c r="A1475" s="1" t="s">
        <v>91</v>
      </c>
      <c r="B1475" t="s">
        <v>30</v>
      </c>
      <c r="C1475" t="s">
        <v>54</v>
      </c>
      <c r="D1475">
        <v>24003</v>
      </c>
      <c r="E1475" s="2">
        <v>55643115.43</v>
      </c>
    </row>
    <row r="1476" spans="1:5" ht="15" x14ac:dyDescent="0.2">
      <c r="A1476" s="1" t="s">
        <v>88</v>
      </c>
      <c r="B1476" t="s">
        <v>27</v>
      </c>
      <c r="C1476" t="s">
        <v>54</v>
      </c>
      <c r="D1476">
        <v>24003</v>
      </c>
      <c r="E1476" s="2">
        <v>17965920.780000001</v>
      </c>
    </row>
    <row r="1477" spans="1:5" ht="15" x14ac:dyDescent="0.2">
      <c r="A1477" s="1" t="s">
        <v>102</v>
      </c>
      <c r="B1477" t="s">
        <v>36</v>
      </c>
      <c r="C1477" t="s">
        <v>54</v>
      </c>
      <c r="D1477">
        <v>24003</v>
      </c>
      <c r="E1477" s="2">
        <v>3877858.72</v>
      </c>
    </row>
    <row r="1478" spans="1:5" ht="15" x14ac:dyDescent="0.2">
      <c r="A1478" s="1" t="s">
        <v>79</v>
      </c>
      <c r="B1478" t="s">
        <v>21</v>
      </c>
      <c r="C1478" t="s">
        <v>54</v>
      </c>
      <c r="D1478">
        <v>24014</v>
      </c>
      <c r="E1478" s="2">
        <v>7157279.1399999997</v>
      </c>
    </row>
    <row r="1479" spans="1:5" ht="15" x14ac:dyDescent="0.2">
      <c r="A1479" s="1" t="s">
        <v>93</v>
      </c>
      <c r="B1479" t="s">
        <v>32</v>
      </c>
      <c r="C1479" t="s">
        <v>54</v>
      </c>
      <c r="D1479">
        <v>24014</v>
      </c>
      <c r="E1479" s="2">
        <v>6129.6</v>
      </c>
    </row>
    <row r="1480" spans="1:5" ht="15" x14ac:dyDescent="0.2">
      <c r="A1480" s="1" t="s">
        <v>80</v>
      </c>
      <c r="B1480" t="s">
        <v>22</v>
      </c>
      <c r="C1480" t="s">
        <v>54</v>
      </c>
      <c r="D1480">
        <v>24014</v>
      </c>
      <c r="E1480" s="2">
        <v>823.43</v>
      </c>
    </row>
    <row r="1481" spans="1:5" ht="15" x14ac:dyDescent="0.2">
      <c r="A1481" s="1" t="s">
        <v>77</v>
      </c>
      <c r="B1481" t="s">
        <v>18</v>
      </c>
      <c r="C1481" t="s">
        <v>54</v>
      </c>
      <c r="D1481">
        <v>24014</v>
      </c>
      <c r="E1481" s="2">
        <v>36241311.350000001</v>
      </c>
    </row>
    <row r="1482" spans="1:5" ht="15" x14ac:dyDescent="0.2">
      <c r="A1482" s="1" t="s">
        <v>68</v>
      </c>
      <c r="B1482" t="s">
        <v>6</v>
      </c>
      <c r="C1482" t="s">
        <v>54</v>
      </c>
      <c r="D1482">
        <v>24905</v>
      </c>
      <c r="E1482" s="2">
        <v>1699101.91</v>
      </c>
    </row>
    <row r="1483" spans="1:5" ht="15" x14ac:dyDescent="0.2">
      <c r="A1483" s="1" t="s">
        <v>87</v>
      </c>
      <c r="B1483" t="s">
        <v>26</v>
      </c>
      <c r="C1483" t="s">
        <v>54</v>
      </c>
      <c r="D1483">
        <v>24905</v>
      </c>
      <c r="E1483" s="2">
        <v>15071660.949999999</v>
      </c>
    </row>
    <row r="1484" spans="1:5" ht="15" x14ac:dyDescent="0.2">
      <c r="A1484" s="1" t="s">
        <v>67</v>
      </c>
      <c r="B1484" t="s">
        <v>5</v>
      </c>
      <c r="C1484" t="s">
        <v>54</v>
      </c>
      <c r="D1484">
        <v>27528</v>
      </c>
      <c r="E1484" s="2">
        <v>-4825557.9400000004</v>
      </c>
    </row>
    <row r="1485" spans="1:5" ht="15" x14ac:dyDescent="0.2">
      <c r="A1485" s="1" t="s">
        <v>93</v>
      </c>
      <c r="B1485" t="s">
        <v>32</v>
      </c>
      <c r="C1485" t="s">
        <v>54</v>
      </c>
      <c r="D1485">
        <v>27528</v>
      </c>
      <c r="E1485" s="2">
        <v>14836.54</v>
      </c>
    </row>
    <row r="1486" spans="1:5" ht="15" x14ac:dyDescent="0.2">
      <c r="A1486" s="1" t="s">
        <v>88</v>
      </c>
      <c r="B1486" t="s">
        <v>27</v>
      </c>
      <c r="C1486" t="s">
        <v>54</v>
      </c>
      <c r="D1486">
        <v>27528</v>
      </c>
      <c r="E1486" s="2">
        <v>13044277.439999999</v>
      </c>
    </row>
    <row r="1487" spans="1:5" ht="15" x14ac:dyDescent="0.2">
      <c r="A1487" s="1" t="s">
        <v>102</v>
      </c>
      <c r="B1487" t="s">
        <v>36</v>
      </c>
      <c r="C1487" t="s">
        <v>54</v>
      </c>
      <c r="D1487">
        <v>27528</v>
      </c>
      <c r="E1487" s="2">
        <v>2139333.2999999998</v>
      </c>
    </row>
    <row r="1488" spans="1:5" ht="15" x14ac:dyDescent="0.2">
      <c r="A1488" s="1" t="s">
        <v>75</v>
      </c>
      <c r="B1488" t="s">
        <v>19</v>
      </c>
      <c r="C1488" t="s">
        <v>54</v>
      </c>
      <c r="D1488">
        <v>27528</v>
      </c>
      <c r="E1488" s="2">
        <v>6989117.54</v>
      </c>
    </row>
    <row r="1489" spans="1:5" ht="15" x14ac:dyDescent="0.2">
      <c r="A1489" s="1" t="s">
        <v>90</v>
      </c>
      <c r="B1489" t="s">
        <v>29</v>
      </c>
      <c r="C1489" t="s">
        <v>54</v>
      </c>
      <c r="D1489">
        <v>33170</v>
      </c>
      <c r="E1489" s="2">
        <v>47249258.450000003</v>
      </c>
    </row>
    <row r="1490" spans="1:5" ht="15" x14ac:dyDescent="0.2">
      <c r="A1490" s="1" t="s">
        <v>76</v>
      </c>
      <c r="B1490" t="s">
        <v>13</v>
      </c>
      <c r="C1490" t="s">
        <v>54</v>
      </c>
      <c r="D1490">
        <v>33170</v>
      </c>
      <c r="E1490" s="2">
        <v>30306479.800000001</v>
      </c>
    </row>
    <row r="1491" spans="1:5" ht="15" x14ac:dyDescent="0.2">
      <c r="A1491" s="1" t="s">
        <v>102</v>
      </c>
      <c r="B1491" t="s">
        <v>36</v>
      </c>
      <c r="C1491" t="s">
        <v>54</v>
      </c>
      <c r="D1491">
        <v>33170</v>
      </c>
      <c r="E1491" s="2">
        <v>0.43</v>
      </c>
    </row>
    <row r="1492" spans="1:5" ht="15" x14ac:dyDescent="0.2">
      <c r="A1492" s="1" t="s">
        <v>101</v>
      </c>
      <c r="B1492" t="s">
        <v>39</v>
      </c>
      <c r="C1492" t="s">
        <v>54</v>
      </c>
      <c r="D1492">
        <v>33170</v>
      </c>
      <c r="E1492" s="2">
        <v>15385535.66</v>
      </c>
    </row>
    <row r="1493" spans="1:5" ht="15" x14ac:dyDescent="0.2">
      <c r="A1493" s="1" t="s">
        <v>65</v>
      </c>
      <c r="B1493" t="s">
        <v>4</v>
      </c>
      <c r="C1493" t="s">
        <v>54</v>
      </c>
      <c r="D1493">
        <v>33170</v>
      </c>
      <c r="E1493" s="2">
        <v>6043811.4800000004</v>
      </c>
    </row>
    <row r="1494" spans="1:5" ht="15" x14ac:dyDescent="0.2">
      <c r="A1494" s="1" t="s">
        <v>104</v>
      </c>
      <c r="B1494" t="s">
        <v>40</v>
      </c>
      <c r="C1494" t="s">
        <v>54</v>
      </c>
      <c r="D1494">
        <v>33170</v>
      </c>
      <c r="E1494" s="2">
        <v>134.21</v>
      </c>
    </row>
    <row r="1495" spans="1:5" ht="15" x14ac:dyDescent="0.2">
      <c r="A1495" s="1" t="s">
        <v>89</v>
      </c>
      <c r="B1495" t="s">
        <v>28</v>
      </c>
      <c r="C1495" t="s">
        <v>54</v>
      </c>
      <c r="D1495">
        <v>35143</v>
      </c>
      <c r="E1495" s="2">
        <v>2118501.52</v>
      </c>
    </row>
    <row r="1496" spans="1:5" ht="15" x14ac:dyDescent="0.2">
      <c r="A1496" s="1" t="s">
        <v>91</v>
      </c>
      <c r="B1496" t="s">
        <v>30</v>
      </c>
      <c r="C1496" t="s">
        <v>54</v>
      </c>
      <c r="D1496">
        <v>35143</v>
      </c>
      <c r="E1496" s="2">
        <v>27821631.940000001</v>
      </c>
    </row>
    <row r="1497" spans="1:5" ht="15" x14ac:dyDescent="0.2">
      <c r="A1497" s="1" t="s">
        <v>92</v>
      </c>
      <c r="B1497" t="s">
        <v>31</v>
      </c>
      <c r="C1497" t="s">
        <v>54</v>
      </c>
      <c r="D1497">
        <v>35143</v>
      </c>
      <c r="E1497" s="2">
        <v>10839764.960000001</v>
      </c>
    </row>
    <row r="1498" spans="1:5" ht="15" x14ac:dyDescent="0.2">
      <c r="A1498" s="1" t="s">
        <v>75</v>
      </c>
      <c r="B1498" t="s">
        <v>12</v>
      </c>
      <c r="C1498" t="s">
        <v>54</v>
      </c>
      <c r="D1498">
        <v>35143</v>
      </c>
      <c r="E1498" s="2">
        <v>3432216.61</v>
      </c>
    </row>
    <row r="1499" spans="1:5" ht="15" x14ac:dyDescent="0.2">
      <c r="A1499" s="1" t="s">
        <v>101</v>
      </c>
      <c r="B1499" t="s">
        <v>39</v>
      </c>
      <c r="C1499" t="s">
        <v>54</v>
      </c>
      <c r="D1499">
        <v>35143</v>
      </c>
      <c r="E1499" s="2">
        <v>561.15</v>
      </c>
    </row>
    <row r="1500" spans="1:5" ht="15" x14ac:dyDescent="0.2">
      <c r="A1500" s="1" t="s">
        <v>104</v>
      </c>
      <c r="B1500" t="s">
        <v>40</v>
      </c>
      <c r="C1500" t="s">
        <v>54</v>
      </c>
      <c r="D1500">
        <v>35143</v>
      </c>
      <c r="E1500" s="2">
        <v>26224818.91</v>
      </c>
    </row>
    <row r="1501" spans="1:5" ht="15" x14ac:dyDescent="0.2">
      <c r="A1501" s="1" t="s">
        <v>86</v>
      </c>
      <c r="B1501" t="s">
        <v>25</v>
      </c>
      <c r="C1501" t="s">
        <v>54</v>
      </c>
      <c r="D1501">
        <v>36135</v>
      </c>
      <c r="E1501" s="2">
        <v>8161445.4400000004</v>
      </c>
    </row>
    <row r="1502" spans="1:5" ht="15" x14ac:dyDescent="0.2">
      <c r="A1502" s="1" t="s">
        <v>89</v>
      </c>
      <c r="B1502" t="s">
        <v>28</v>
      </c>
      <c r="C1502" t="s">
        <v>54</v>
      </c>
      <c r="D1502">
        <v>36135</v>
      </c>
      <c r="E1502" s="2">
        <v>10251304.220000001</v>
      </c>
    </row>
    <row r="1503" spans="1:5" ht="15" x14ac:dyDescent="0.2">
      <c r="A1503" s="1" t="s">
        <v>91</v>
      </c>
      <c r="B1503" t="s">
        <v>30</v>
      </c>
      <c r="C1503" t="s">
        <v>54</v>
      </c>
      <c r="D1503">
        <v>36135</v>
      </c>
      <c r="E1503" s="2">
        <v>54884523.130000003</v>
      </c>
    </row>
    <row r="1504" spans="1:5" ht="15" x14ac:dyDescent="0.2">
      <c r="A1504" s="1" t="s">
        <v>100</v>
      </c>
      <c r="B1504" t="s">
        <v>43</v>
      </c>
      <c r="C1504" t="s">
        <v>54</v>
      </c>
      <c r="D1504">
        <v>36135</v>
      </c>
      <c r="E1504" s="2">
        <v>5861710.0099999998</v>
      </c>
    </row>
    <row r="1505" spans="1:5" ht="15" x14ac:dyDescent="0.2">
      <c r="A1505" s="1" t="s">
        <v>81</v>
      </c>
      <c r="B1505" t="s">
        <v>14</v>
      </c>
      <c r="C1505" t="s">
        <v>54</v>
      </c>
      <c r="D1505">
        <v>36135</v>
      </c>
      <c r="E1505" s="2">
        <v>15556754.52</v>
      </c>
    </row>
    <row r="1506" spans="1:5" ht="15" x14ac:dyDescent="0.2">
      <c r="A1506" s="1" t="s">
        <v>67</v>
      </c>
      <c r="B1506" t="s">
        <v>5</v>
      </c>
      <c r="C1506" t="s">
        <v>54</v>
      </c>
      <c r="D1506">
        <v>38653</v>
      </c>
      <c r="E1506" s="2">
        <v>-4046596.45</v>
      </c>
    </row>
    <row r="1507" spans="1:5" ht="15" x14ac:dyDescent="0.2">
      <c r="A1507" s="1" t="s">
        <v>103</v>
      </c>
      <c r="B1507" t="s">
        <v>37</v>
      </c>
      <c r="C1507" t="s">
        <v>54</v>
      </c>
      <c r="D1507">
        <v>38653</v>
      </c>
      <c r="E1507" s="2">
        <v>8733464.9600000009</v>
      </c>
    </row>
    <row r="1508" spans="1:5" ht="15" x14ac:dyDescent="0.2">
      <c r="A1508" s="1" t="s">
        <v>75</v>
      </c>
      <c r="B1508" t="s">
        <v>19</v>
      </c>
      <c r="C1508" t="s">
        <v>54</v>
      </c>
      <c r="D1508">
        <v>38653</v>
      </c>
      <c r="E1508" s="2">
        <v>18658699.23</v>
      </c>
    </row>
    <row r="1509" spans="1:5" ht="15" x14ac:dyDescent="0.2">
      <c r="A1509" s="1" t="s">
        <v>69</v>
      </c>
      <c r="B1509" t="s">
        <v>7</v>
      </c>
      <c r="C1509" t="s">
        <v>54</v>
      </c>
      <c r="D1509">
        <v>38653</v>
      </c>
      <c r="E1509" s="2">
        <v>1595.39</v>
      </c>
    </row>
    <row r="1510" spans="1:5" ht="15" x14ac:dyDescent="0.2">
      <c r="A1510" s="1" t="s">
        <v>66</v>
      </c>
      <c r="B1510" t="s">
        <v>47</v>
      </c>
      <c r="C1510" t="s">
        <v>54</v>
      </c>
      <c r="D1510">
        <v>38696</v>
      </c>
      <c r="E1510" s="2">
        <v>2085386.86</v>
      </c>
    </row>
    <row r="1511" spans="1:5" ht="15" x14ac:dyDescent="0.2">
      <c r="A1511" s="1" t="s">
        <v>86</v>
      </c>
      <c r="B1511" t="s">
        <v>25</v>
      </c>
      <c r="C1511" t="s">
        <v>54</v>
      </c>
      <c r="D1511">
        <v>38696</v>
      </c>
      <c r="E1511" s="2">
        <v>10071.14</v>
      </c>
    </row>
    <row r="1512" spans="1:5" ht="15" x14ac:dyDescent="0.2">
      <c r="A1512" s="1" t="s">
        <v>100</v>
      </c>
      <c r="B1512" t="s">
        <v>43</v>
      </c>
      <c r="C1512" t="s">
        <v>54</v>
      </c>
      <c r="D1512">
        <v>38696</v>
      </c>
      <c r="E1512" s="2">
        <v>9577224.3300000001</v>
      </c>
    </row>
    <row r="1513" spans="1:5" ht="15" x14ac:dyDescent="0.2">
      <c r="A1513" s="1" t="s">
        <v>78</v>
      </c>
      <c r="B1513" t="s">
        <v>20</v>
      </c>
      <c r="C1513" t="s">
        <v>54</v>
      </c>
      <c r="D1513">
        <v>38696</v>
      </c>
      <c r="E1513" s="2">
        <v>782529.98</v>
      </c>
    </row>
    <row r="1514" spans="1:5" ht="15" x14ac:dyDescent="0.2">
      <c r="A1514" s="1" t="s">
        <v>85</v>
      </c>
      <c r="B1514" t="s">
        <v>24</v>
      </c>
      <c r="C1514" t="s">
        <v>54</v>
      </c>
      <c r="D1514">
        <v>43342</v>
      </c>
      <c r="E1514" s="2">
        <v>24622951.02</v>
      </c>
    </row>
    <row r="1515" spans="1:5" ht="15" x14ac:dyDescent="0.2">
      <c r="A1515" s="1" t="s">
        <v>84</v>
      </c>
      <c r="B1515" t="s">
        <v>16</v>
      </c>
      <c r="C1515" t="s">
        <v>54</v>
      </c>
      <c r="D1515">
        <v>43342</v>
      </c>
      <c r="E1515" s="2">
        <v>7175.05</v>
      </c>
    </row>
    <row r="1516" spans="1:5" ht="15" x14ac:dyDescent="0.2">
      <c r="A1516" s="1" t="s">
        <v>100</v>
      </c>
      <c r="B1516" t="s">
        <v>43</v>
      </c>
      <c r="C1516" t="s">
        <v>54</v>
      </c>
      <c r="D1516">
        <v>43342</v>
      </c>
      <c r="E1516" s="2">
        <v>4888754.0999999996</v>
      </c>
    </row>
    <row r="1517" spans="1:5" ht="15" x14ac:dyDescent="0.2">
      <c r="A1517" s="1" t="s">
        <v>103</v>
      </c>
      <c r="B1517" t="s">
        <v>37</v>
      </c>
      <c r="C1517" t="s">
        <v>54</v>
      </c>
      <c r="D1517">
        <v>43342</v>
      </c>
      <c r="E1517" s="2">
        <v>8094928.4100000001</v>
      </c>
    </row>
    <row r="1518" spans="1:5" ht="15" x14ac:dyDescent="0.2">
      <c r="A1518" s="1" t="s">
        <v>65</v>
      </c>
      <c r="B1518" t="s">
        <v>4</v>
      </c>
      <c r="C1518" t="s">
        <v>54</v>
      </c>
      <c r="D1518">
        <v>43342</v>
      </c>
      <c r="E1518" s="2">
        <v>854715.58</v>
      </c>
    </row>
    <row r="1519" spans="1:5" ht="15" x14ac:dyDescent="0.2">
      <c r="A1519" s="1" t="s">
        <v>66</v>
      </c>
      <c r="B1519" t="s">
        <v>47</v>
      </c>
      <c r="C1519" t="s">
        <v>54</v>
      </c>
      <c r="D1519">
        <v>44852</v>
      </c>
      <c r="E1519" s="2">
        <v>6762905.79</v>
      </c>
    </row>
    <row r="1520" spans="1:5" ht="15" x14ac:dyDescent="0.2">
      <c r="A1520" s="1" t="s">
        <v>92</v>
      </c>
      <c r="B1520" t="s">
        <v>31</v>
      </c>
      <c r="C1520" t="s">
        <v>54</v>
      </c>
      <c r="D1520">
        <v>44852</v>
      </c>
      <c r="E1520" s="2">
        <v>20426809.82</v>
      </c>
    </row>
    <row r="1521" spans="1:5" ht="15" x14ac:dyDescent="0.2">
      <c r="A1521" s="1" t="s">
        <v>76</v>
      </c>
      <c r="B1521" t="s">
        <v>13</v>
      </c>
      <c r="C1521" t="s">
        <v>54</v>
      </c>
      <c r="D1521">
        <v>44852</v>
      </c>
      <c r="E1521" s="2">
        <v>15716124.5</v>
      </c>
    </row>
    <row r="1522" spans="1:5" ht="15" x14ac:dyDescent="0.2">
      <c r="A1522" s="1" t="s">
        <v>97</v>
      </c>
      <c r="B1522" t="s">
        <v>42</v>
      </c>
      <c r="C1522" t="s">
        <v>54</v>
      </c>
      <c r="D1522">
        <v>44852</v>
      </c>
      <c r="E1522" s="2">
        <v>8345600.4800000004</v>
      </c>
    </row>
    <row r="1523" spans="1:5" ht="15" x14ac:dyDescent="0.2">
      <c r="A1523" s="1" t="s">
        <v>78</v>
      </c>
      <c r="B1523" t="s">
        <v>20</v>
      </c>
      <c r="C1523" t="s">
        <v>54</v>
      </c>
      <c r="D1523">
        <v>44852</v>
      </c>
      <c r="E1523" s="2">
        <v>1542350.27</v>
      </c>
    </row>
    <row r="1524" spans="1:5" ht="15" x14ac:dyDescent="0.2">
      <c r="A1524" s="1" t="s">
        <v>89</v>
      </c>
      <c r="B1524" t="s">
        <v>28</v>
      </c>
      <c r="C1524" t="s">
        <v>54</v>
      </c>
      <c r="D1524">
        <v>45792</v>
      </c>
      <c r="E1524" s="2">
        <v>2345030.7000000002</v>
      </c>
    </row>
    <row r="1525" spans="1:5" ht="15" x14ac:dyDescent="0.2">
      <c r="A1525" s="1" t="s">
        <v>93</v>
      </c>
      <c r="B1525" t="s">
        <v>32</v>
      </c>
      <c r="C1525" t="s">
        <v>54</v>
      </c>
      <c r="D1525">
        <v>45792</v>
      </c>
      <c r="E1525" s="2">
        <v>94838438.379999995</v>
      </c>
    </row>
    <row r="1526" spans="1:5" ht="15" x14ac:dyDescent="0.2">
      <c r="A1526" s="1" t="s">
        <v>95</v>
      </c>
      <c r="B1526" t="s">
        <v>38</v>
      </c>
      <c r="C1526" t="s">
        <v>54</v>
      </c>
      <c r="D1526">
        <v>45792</v>
      </c>
      <c r="E1526" s="2">
        <v>9140.59</v>
      </c>
    </row>
    <row r="1527" spans="1:5" ht="15" x14ac:dyDescent="0.2">
      <c r="A1527" s="1" t="s">
        <v>80</v>
      </c>
      <c r="B1527" t="s">
        <v>22</v>
      </c>
      <c r="C1527" t="s">
        <v>54</v>
      </c>
      <c r="D1527">
        <v>45792</v>
      </c>
      <c r="E1527" s="2">
        <v>7936778.2400000002</v>
      </c>
    </row>
    <row r="1528" spans="1:5" ht="15" x14ac:dyDescent="0.2">
      <c r="A1528" s="1" t="s">
        <v>68</v>
      </c>
      <c r="B1528" t="s">
        <v>6</v>
      </c>
      <c r="C1528" t="s">
        <v>54</v>
      </c>
      <c r="D1528">
        <v>45792</v>
      </c>
      <c r="E1528" s="2">
        <v>17461668.460000001</v>
      </c>
    </row>
    <row r="1529" spans="1:5" ht="15" x14ac:dyDescent="0.2">
      <c r="A1529" s="1" t="s">
        <v>77</v>
      </c>
      <c r="B1529" t="s">
        <v>18</v>
      </c>
      <c r="C1529" t="s">
        <v>54</v>
      </c>
      <c r="D1529">
        <v>45792</v>
      </c>
      <c r="E1529" s="2">
        <v>1344.68</v>
      </c>
    </row>
    <row r="1530" spans="1:5" ht="15" x14ac:dyDescent="0.2">
      <c r="A1530" s="1" t="s">
        <v>101</v>
      </c>
      <c r="B1530" t="s">
        <v>39</v>
      </c>
      <c r="C1530" t="s">
        <v>54</v>
      </c>
      <c r="D1530">
        <v>45792</v>
      </c>
      <c r="E1530" s="2">
        <v>4261975.54</v>
      </c>
    </row>
    <row r="1531" spans="1:5" ht="15" x14ac:dyDescent="0.2">
      <c r="A1531" s="1" t="s">
        <v>65</v>
      </c>
      <c r="B1531" t="s">
        <v>4</v>
      </c>
      <c r="C1531" t="s">
        <v>54</v>
      </c>
      <c r="D1531">
        <v>45792</v>
      </c>
      <c r="E1531" s="2">
        <v>10035.049999999999</v>
      </c>
    </row>
    <row r="1532" spans="1:5" ht="15" x14ac:dyDescent="0.2">
      <c r="A1532" s="1" t="s">
        <v>92</v>
      </c>
      <c r="B1532" t="s">
        <v>31</v>
      </c>
      <c r="C1532" t="s">
        <v>54</v>
      </c>
      <c r="D1532">
        <v>47193</v>
      </c>
      <c r="E1532" s="2">
        <v>22969123.329999998</v>
      </c>
    </row>
    <row r="1533" spans="1:5" ht="15" x14ac:dyDescent="0.2">
      <c r="A1533" s="1" t="s">
        <v>85</v>
      </c>
      <c r="B1533" t="s">
        <v>24</v>
      </c>
      <c r="C1533" t="s">
        <v>54</v>
      </c>
      <c r="D1533">
        <v>47193</v>
      </c>
      <c r="E1533" s="2">
        <v>16682840.289999999</v>
      </c>
    </row>
    <row r="1534" spans="1:5" ht="15" x14ac:dyDescent="0.2">
      <c r="A1534" s="1" t="s">
        <v>97</v>
      </c>
      <c r="B1534" t="s">
        <v>42</v>
      </c>
      <c r="C1534" t="s">
        <v>54</v>
      </c>
      <c r="D1534">
        <v>47193</v>
      </c>
      <c r="E1534" s="2">
        <v>1478407.41</v>
      </c>
    </row>
    <row r="1535" spans="1:5" ht="15" x14ac:dyDescent="0.2">
      <c r="A1535" s="1" t="s">
        <v>99</v>
      </c>
      <c r="B1535" t="s">
        <v>35</v>
      </c>
      <c r="C1535" t="s">
        <v>54</v>
      </c>
      <c r="D1535">
        <v>47193</v>
      </c>
      <c r="E1535" s="2">
        <v>0.93</v>
      </c>
    </row>
    <row r="1536" spans="1:5" ht="15" x14ac:dyDescent="0.2">
      <c r="A1536" s="1" t="s">
        <v>73</v>
      </c>
      <c r="B1536" t="s">
        <v>17</v>
      </c>
      <c r="C1536" t="s">
        <v>54</v>
      </c>
      <c r="D1536">
        <v>47193</v>
      </c>
      <c r="E1536" s="2">
        <v>3077696.59</v>
      </c>
    </row>
    <row r="1537" spans="1:5" ht="15" x14ac:dyDescent="0.2">
      <c r="A1537" s="1" t="s">
        <v>82</v>
      </c>
      <c r="B1537" t="s">
        <v>15</v>
      </c>
      <c r="C1537" t="s">
        <v>54</v>
      </c>
      <c r="D1537">
        <v>47193</v>
      </c>
      <c r="E1537" s="2">
        <v>0.81</v>
      </c>
    </row>
    <row r="1538" spans="1:5" ht="15" x14ac:dyDescent="0.2">
      <c r="A1538" s="1" t="s">
        <v>85</v>
      </c>
      <c r="B1538" t="s">
        <v>24</v>
      </c>
      <c r="C1538" t="s">
        <v>54</v>
      </c>
      <c r="D1538">
        <v>48636</v>
      </c>
      <c r="E1538" s="2">
        <v>30716432.82</v>
      </c>
    </row>
    <row r="1539" spans="1:5" ht="15" x14ac:dyDescent="0.2">
      <c r="A1539" s="1" t="s">
        <v>84</v>
      </c>
      <c r="B1539" t="s">
        <v>16</v>
      </c>
      <c r="C1539" t="s">
        <v>54</v>
      </c>
      <c r="D1539">
        <v>48636</v>
      </c>
      <c r="E1539" s="2">
        <v>7102376.79</v>
      </c>
    </row>
    <row r="1540" spans="1:5" ht="15" x14ac:dyDescent="0.2">
      <c r="A1540" s="1" t="s">
        <v>79</v>
      </c>
      <c r="B1540" t="s">
        <v>21</v>
      </c>
      <c r="C1540" t="s">
        <v>54</v>
      </c>
      <c r="D1540">
        <v>50768</v>
      </c>
      <c r="E1540" s="2">
        <v>5159778.87</v>
      </c>
    </row>
    <row r="1541" spans="1:5" ht="15" x14ac:dyDescent="0.2">
      <c r="A1541" s="1" t="s">
        <v>100</v>
      </c>
      <c r="B1541" t="s">
        <v>43</v>
      </c>
      <c r="C1541" t="s">
        <v>54</v>
      </c>
      <c r="D1541">
        <v>50768</v>
      </c>
      <c r="E1541" s="2">
        <v>2191901.0699999998</v>
      </c>
    </row>
    <row r="1542" spans="1:5" ht="15" x14ac:dyDescent="0.2">
      <c r="A1542" s="1" t="s">
        <v>87</v>
      </c>
      <c r="B1542" t="s">
        <v>26</v>
      </c>
      <c r="C1542" t="s">
        <v>54</v>
      </c>
      <c r="D1542">
        <v>50768</v>
      </c>
      <c r="E1542" s="2">
        <v>10699633.380000001</v>
      </c>
    </row>
    <row r="1543" spans="1:5" ht="15" x14ac:dyDescent="0.2">
      <c r="A1543" s="1" t="s">
        <v>104</v>
      </c>
      <c r="B1543" t="s">
        <v>40</v>
      </c>
      <c r="C1543" t="s">
        <v>54</v>
      </c>
      <c r="D1543">
        <v>50768</v>
      </c>
      <c r="E1543" s="2">
        <v>25066380.879999999</v>
      </c>
    </row>
    <row r="1544" spans="1:5" ht="15" x14ac:dyDescent="0.2">
      <c r="A1544" s="1" t="s">
        <v>86</v>
      </c>
      <c r="B1544" t="s">
        <v>25</v>
      </c>
      <c r="C1544" t="s">
        <v>54</v>
      </c>
      <c r="D1544">
        <v>51003</v>
      </c>
      <c r="E1544" s="2">
        <v>4138690.53</v>
      </c>
    </row>
    <row r="1545" spans="1:5" ht="15" x14ac:dyDescent="0.2">
      <c r="A1545" s="1" t="s">
        <v>74</v>
      </c>
      <c r="B1545" t="s">
        <v>11</v>
      </c>
      <c r="C1545" t="s">
        <v>54</v>
      </c>
      <c r="D1545">
        <v>51003</v>
      </c>
      <c r="E1545" s="2">
        <v>1492218.4</v>
      </c>
    </row>
    <row r="1546" spans="1:5" ht="15" x14ac:dyDescent="0.2">
      <c r="A1546" s="1" t="s">
        <v>96</v>
      </c>
      <c r="B1546" t="s">
        <v>44</v>
      </c>
      <c r="C1546" t="s">
        <v>54</v>
      </c>
      <c r="D1546">
        <v>51003</v>
      </c>
      <c r="E1546" s="2">
        <v>2646987.5</v>
      </c>
    </row>
    <row r="1547" spans="1:5" ht="15" x14ac:dyDescent="0.2">
      <c r="A1547" s="1" t="s">
        <v>102</v>
      </c>
      <c r="B1547" t="s">
        <v>36</v>
      </c>
      <c r="C1547" t="s">
        <v>54</v>
      </c>
      <c r="D1547">
        <v>51003</v>
      </c>
      <c r="E1547" s="2">
        <v>4748487.3600000003</v>
      </c>
    </row>
    <row r="1548" spans="1:5" ht="15" x14ac:dyDescent="0.2">
      <c r="A1548" s="1" t="s">
        <v>104</v>
      </c>
      <c r="B1548" t="s">
        <v>40</v>
      </c>
      <c r="C1548" t="s">
        <v>54</v>
      </c>
      <c r="D1548">
        <v>51003</v>
      </c>
      <c r="E1548" s="2">
        <v>26342193.609999999</v>
      </c>
    </row>
    <row r="1549" spans="1:5" ht="15" x14ac:dyDescent="0.2">
      <c r="A1549" s="1" t="s">
        <v>93</v>
      </c>
      <c r="B1549" t="s">
        <v>32</v>
      </c>
      <c r="C1549" t="s">
        <v>54</v>
      </c>
      <c r="D1549">
        <v>51457</v>
      </c>
      <c r="E1549" s="2">
        <v>108090823.12</v>
      </c>
    </row>
    <row r="1550" spans="1:5" ht="15" x14ac:dyDescent="0.2">
      <c r="A1550" s="1" t="s">
        <v>96</v>
      </c>
      <c r="B1550" t="s">
        <v>44</v>
      </c>
      <c r="C1550" t="s">
        <v>54</v>
      </c>
      <c r="D1550">
        <v>51457</v>
      </c>
      <c r="E1550" s="2">
        <v>730628.4</v>
      </c>
    </row>
    <row r="1551" spans="1:5" ht="15" x14ac:dyDescent="0.2">
      <c r="A1551" s="1" t="s">
        <v>88</v>
      </c>
      <c r="B1551" t="s">
        <v>27</v>
      </c>
      <c r="C1551" t="s">
        <v>54</v>
      </c>
      <c r="D1551">
        <v>51457</v>
      </c>
      <c r="E1551" s="2">
        <v>22347484.609999999</v>
      </c>
    </row>
    <row r="1552" spans="1:5" ht="15" x14ac:dyDescent="0.2">
      <c r="A1552" s="1" t="s">
        <v>101</v>
      </c>
      <c r="B1552" t="s">
        <v>39</v>
      </c>
      <c r="C1552" t="s">
        <v>54</v>
      </c>
      <c r="D1552">
        <v>51457</v>
      </c>
      <c r="E1552" s="2">
        <v>4443.18</v>
      </c>
    </row>
    <row r="1553" spans="1:5" ht="15" x14ac:dyDescent="0.2">
      <c r="A1553" s="1" t="s">
        <v>71</v>
      </c>
      <c r="B1553" t="s">
        <v>9</v>
      </c>
      <c r="C1553" t="s">
        <v>54</v>
      </c>
      <c r="D1553">
        <v>51457</v>
      </c>
      <c r="E1553" s="2">
        <v>1.06</v>
      </c>
    </row>
    <row r="1554" spans="1:5" ht="15" x14ac:dyDescent="0.2">
      <c r="A1554" s="1" t="s">
        <v>85</v>
      </c>
      <c r="B1554" t="s">
        <v>24</v>
      </c>
      <c r="C1554" t="s">
        <v>54</v>
      </c>
      <c r="D1554">
        <v>53789</v>
      </c>
      <c r="E1554" s="2">
        <v>42071141.060000002</v>
      </c>
    </row>
    <row r="1555" spans="1:5" ht="15" x14ac:dyDescent="0.2">
      <c r="A1555" s="1" t="s">
        <v>84</v>
      </c>
      <c r="B1555" t="s">
        <v>16</v>
      </c>
      <c r="C1555" t="s">
        <v>54</v>
      </c>
      <c r="D1555">
        <v>53789</v>
      </c>
      <c r="E1555" s="2">
        <v>16039445.17</v>
      </c>
    </row>
    <row r="1556" spans="1:5" ht="15" x14ac:dyDescent="0.2">
      <c r="A1556" s="1" t="s">
        <v>87</v>
      </c>
      <c r="B1556" t="s">
        <v>26</v>
      </c>
      <c r="C1556" t="s">
        <v>54</v>
      </c>
      <c r="D1556">
        <v>53789</v>
      </c>
      <c r="E1556" s="2">
        <v>9371223.9299999997</v>
      </c>
    </row>
    <row r="1557" spans="1:5" ht="15" x14ac:dyDescent="0.2">
      <c r="A1557" s="1" t="s">
        <v>73</v>
      </c>
      <c r="B1557" t="s">
        <v>17</v>
      </c>
      <c r="C1557" t="s">
        <v>54</v>
      </c>
      <c r="D1557">
        <v>53789</v>
      </c>
      <c r="E1557" s="2">
        <v>4737484.58</v>
      </c>
    </row>
    <row r="1558" spans="1:5" ht="15" x14ac:dyDescent="0.2">
      <c r="A1558" s="1" t="s">
        <v>69</v>
      </c>
      <c r="B1558" t="s">
        <v>7</v>
      </c>
      <c r="C1558" t="s">
        <v>54</v>
      </c>
      <c r="D1558">
        <v>53789</v>
      </c>
      <c r="E1558" s="2">
        <v>97276058.599999994</v>
      </c>
    </row>
    <row r="1559" spans="1:5" ht="15" x14ac:dyDescent="0.2">
      <c r="A1559" s="1" t="s">
        <v>67</v>
      </c>
      <c r="B1559" t="s">
        <v>5</v>
      </c>
      <c r="C1559" t="s">
        <v>54</v>
      </c>
      <c r="D1559">
        <v>56073</v>
      </c>
      <c r="E1559" s="2">
        <v>-1545769.48</v>
      </c>
    </row>
    <row r="1560" spans="1:5" ht="15" x14ac:dyDescent="0.2">
      <c r="A1560" s="1" t="s">
        <v>81</v>
      </c>
      <c r="B1560" t="s">
        <v>14</v>
      </c>
      <c r="C1560" t="s">
        <v>54</v>
      </c>
      <c r="D1560">
        <v>56073</v>
      </c>
      <c r="E1560" s="2">
        <v>14288468.08</v>
      </c>
    </row>
    <row r="1561" spans="1:5" ht="15" x14ac:dyDescent="0.2">
      <c r="A1561" s="1" t="s">
        <v>87</v>
      </c>
      <c r="B1561" t="s">
        <v>26</v>
      </c>
      <c r="C1561" t="s">
        <v>54</v>
      </c>
      <c r="D1561">
        <v>56073</v>
      </c>
      <c r="E1561" s="2">
        <v>5896.7</v>
      </c>
    </row>
    <row r="1562" spans="1:5" ht="15" x14ac:dyDescent="0.2">
      <c r="A1562" s="1" t="s">
        <v>103</v>
      </c>
      <c r="B1562" t="s">
        <v>37</v>
      </c>
      <c r="C1562" t="s">
        <v>54</v>
      </c>
      <c r="D1562">
        <v>56073</v>
      </c>
      <c r="E1562" s="2">
        <v>6466017.04</v>
      </c>
    </row>
    <row r="1563" spans="1:5" ht="15" x14ac:dyDescent="0.2">
      <c r="A1563" s="1" t="s">
        <v>73</v>
      </c>
      <c r="B1563" t="s">
        <v>17</v>
      </c>
      <c r="C1563" t="s">
        <v>54</v>
      </c>
      <c r="D1563">
        <v>56073</v>
      </c>
      <c r="E1563" s="2">
        <v>10617826.92</v>
      </c>
    </row>
    <row r="1564" spans="1:5" ht="15" x14ac:dyDescent="0.2">
      <c r="A1564" s="1" t="s">
        <v>82</v>
      </c>
      <c r="B1564" t="s">
        <v>15</v>
      </c>
      <c r="C1564" t="s">
        <v>54</v>
      </c>
      <c r="D1564">
        <v>56073</v>
      </c>
      <c r="E1564" s="2">
        <v>27092884.359999999</v>
      </c>
    </row>
    <row r="1565" spans="1:5" ht="15" x14ac:dyDescent="0.2">
      <c r="A1565" s="1" t="s">
        <v>79</v>
      </c>
      <c r="B1565" t="s">
        <v>21</v>
      </c>
      <c r="C1565" t="s">
        <v>54</v>
      </c>
      <c r="D1565">
        <v>61232</v>
      </c>
      <c r="E1565" s="2">
        <v>4328779.75</v>
      </c>
    </row>
    <row r="1566" spans="1:5" ht="15" x14ac:dyDescent="0.2">
      <c r="A1566" s="1" t="s">
        <v>91</v>
      </c>
      <c r="B1566" t="s">
        <v>30</v>
      </c>
      <c r="C1566" t="s">
        <v>54</v>
      </c>
      <c r="D1566">
        <v>61232</v>
      </c>
      <c r="E1566" s="2">
        <v>39194861.280000001</v>
      </c>
    </row>
    <row r="1567" spans="1:5" ht="15" x14ac:dyDescent="0.2">
      <c r="A1567" s="1" t="s">
        <v>74</v>
      </c>
      <c r="B1567" t="s">
        <v>11</v>
      </c>
      <c r="C1567" t="s">
        <v>54</v>
      </c>
      <c r="D1567">
        <v>61232</v>
      </c>
      <c r="E1567" s="2">
        <v>1016437.8</v>
      </c>
    </row>
    <row r="1568" spans="1:5" ht="15" x14ac:dyDescent="0.2">
      <c r="A1568" s="1" t="s">
        <v>96</v>
      </c>
      <c r="B1568" t="s">
        <v>44</v>
      </c>
      <c r="C1568" t="s">
        <v>54</v>
      </c>
      <c r="D1568">
        <v>61232</v>
      </c>
      <c r="E1568" s="2">
        <v>4074299.13</v>
      </c>
    </row>
    <row r="1569" spans="1:5" ht="15" x14ac:dyDescent="0.2">
      <c r="A1569" s="1" t="s">
        <v>67</v>
      </c>
      <c r="B1569" t="s">
        <v>5</v>
      </c>
      <c r="C1569" t="s">
        <v>54</v>
      </c>
      <c r="D1569">
        <v>63220</v>
      </c>
      <c r="E1569" s="2">
        <v>-2242357.44</v>
      </c>
    </row>
    <row r="1570" spans="1:5" ht="15" x14ac:dyDescent="0.2">
      <c r="A1570" s="1" t="s">
        <v>91</v>
      </c>
      <c r="B1570" t="s">
        <v>30</v>
      </c>
      <c r="C1570" t="s">
        <v>54</v>
      </c>
      <c r="D1570">
        <v>63220</v>
      </c>
      <c r="E1570" s="2">
        <v>124686703.73999999</v>
      </c>
    </row>
    <row r="1571" spans="1:5" ht="15" x14ac:dyDescent="0.2">
      <c r="A1571" s="1" t="s">
        <v>97</v>
      </c>
      <c r="B1571" t="s">
        <v>42</v>
      </c>
      <c r="C1571" t="s">
        <v>54</v>
      </c>
      <c r="D1571">
        <v>63220</v>
      </c>
      <c r="E1571" s="2">
        <v>3366429.75</v>
      </c>
    </row>
    <row r="1572" spans="1:5" ht="15" x14ac:dyDescent="0.2">
      <c r="A1572" s="1" t="s">
        <v>77</v>
      </c>
      <c r="B1572" t="s">
        <v>18</v>
      </c>
      <c r="C1572" t="s">
        <v>54</v>
      </c>
      <c r="D1572">
        <v>63220</v>
      </c>
      <c r="E1572" s="2">
        <v>7219915.7400000002</v>
      </c>
    </row>
    <row r="1573" spans="1:5" ht="15" x14ac:dyDescent="0.2">
      <c r="A1573" s="1" t="s">
        <v>103</v>
      </c>
      <c r="B1573" t="s">
        <v>37</v>
      </c>
      <c r="C1573" t="s">
        <v>54</v>
      </c>
      <c r="D1573">
        <v>63220</v>
      </c>
      <c r="E1573" s="2">
        <v>10135938.17</v>
      </c>
    </row>
    <row r="1574" spans="1:5" ht="15" x14ac:dyDescent="0.2">
      <c r="A1574" s="1" t="s">
        <v>101</v>
      </c>
      <c r="B1574" t="s">
        <v>39</v>
      </c>
      <c r="C1574" t="s">
        <v>54</v>
      </c>
      <c r="D1574">
        <v>63220</v>
      </c>
      <c r="E1574" s="2">
        <v>13758.16</v>
      </c>
    </row>
    <row r="1575" spans="1:5" ht="15" x14ac:dyDescent="0.2">
      <c r="A1575" s="1" t="s">
        <v>90</v>
      </c>
      <c r="B1575" t="s">
        <v>29</v>
      </c>
      <c r="C1575" t="s">
        <v>54</v>
      </c>
      <c r="D1575">
        <v>65050</v>
      </c>
      <c r="E1575" s="2">
        <v>14499435.300000001</v>
      </c>
    </row>
    <row r="1576" spans="1:5" ht="15" x14ac:dyDescent="0.2">
      <c r="A1576" s="1" t="s">
        <v>92</v>
      </c>
      <c r="B1576" t="s">
        <v>31</v>
      </c>
      <c r="C1576" t="s">
        <v>54</v>
      </c>
      <c r="D1576">
        <v>65050</v>
      </c>
      <c r="E1576" s="2">
        <v>27851695.370000001</v>
      </c>
    </row>
    <row r="1577" spans="1:5" ht="15" x14ac:dyDescent="0.2">
      <c r="A1577" s="1" t="s">
        <v>99</v>
      </c>
      <c r="B1577" t="s">
        <v>35</v>
      </c>
      <c r="C1577" t="s">
        <v>54</v>
      </c>
      <c r="D1577">
        <v>65050</v>
      </c>
      <c r="E1577" s="2">
        <v>28837310.27</v>
      </c>
    </row>
    <row r="1578" spans="1:5" ht="15" x14ac:dyDescent="0.2">
      <c r="A1578" s="1" t="s">
        <v>100</v>
      </c>
      <c r="B1578" t="s">
        <v>43</v>
      </c>
      <c r="C1578" t="s">
        <v>54</v>
      </c>
      <c r="D1578">
        <v>65050</v>
      </c>
      <c r="E1578" s="2">
        <v>2587330.63</v>
      </c>
    </row>
    <row r="1579" spans="1:5" ht="15" x14ac:dyDescent="0.2">
      <c r="A1579" s="1" t="s">
        <v>81</v>
      </c>
      <c r="B1579" t="s">
        <v>14</v>
      </c>
      <c r="C1579" t="s">
        <v>54</v>
      </c>
      <c r="D1579">
        <v>65050</v>
      </c>
      <c r="E1579" s="2">
        <v>42708485.82</v>
      </c>
    </row>
    <row r="1580" spans="1:5" ht="15" x14ac:dyDescent="0.2">
      <c r="A1580" s="1" t="s">
        <v>65</v>
      </c>
      <c r="B1580" t="s">
        <v>4</v>
      </c>
      <c r="C1580" t="s">
        <v>54</v>
      </c>
      <c r="D1580">
        <v>65050</v>
      </c>
      <c r="E1580" s="2">
        <v>2379445</v>
      </c>
    </row>
    <row r="1581" spans="1:5" ht="15" x14ac:dyDescent="0.2">
      <c r="A1581" s="1" t="s">
        <v>104</v>
      </c>
      <c r="B1581" t="s">
        <v>40</v>
      </c>
      <c r="C1581" t="s">
        <v>54</v>
      </c>
      <c r="D1581">
        <v>65050</v>
      </c>
      <c r="E1581" s="2">
        <v>8268726.8799999999</v>
      </c>
    </row>
    <row r="1582" spans="1:5" ht="15" x14ac:dyDescent="0.2">
      <c r="A1582" s="1" t="s">
        <v>104</v>
      </c>
      <c r="B1582" t="s">
        <v>40</v>
      </c>
      <c r="C1582" t="s">
        <v>54</v>
      </c>
      <c r="D1582">
        <v>72739</v>
      </c>
      <c r="E1582" s="2">
        <v>33194946.879999999</v>
      </c>
    </row>
    <row r="1583" spans="1:5" ht="15" x14ac:dyDescent="0.2">
      <c r="A1583" s="1" t="s">
        <v>82</v>
      </c>
      <c r="B1583" t="s">
        <v>15</v>
      </c>
      <c r="C1583" t="s">
        <v>54</v>
      </c>
      <c r="D1583">
        <v>72739</v>
      </c>
      <c r="E1583" s="2">
        <v>24767237.829999998</v>
      </c>
    </row>
    <row r="1584" spans="1:5" ht="15" x14ac:dyDescent="0.2">
      <c r="A1584" s="1" t="s">
        <v>67</v>
      </c>
      <c r="B1584" t="s">
        <v>5</v>
      </c>
      <c r="C1584" t="s">
        <v>54</v>
      </c>
      <c r="D1584">
        <v>74336</v>
      </c>
      <c r="E1584" s="2">
        <v>-4726132.0999999996</v>
      </c>
    </row>
    <row r="1585" spans="1:5" ht="15" x14ac:dyDescent="0.2">
      <c r="A1585" s="1" t="s">
        <v>79</v>
      </c>
      <c r="B1585" t="s">
        <v>21</v>
      </c>
      <c r="C1585" t="s">
        <v>54</v>
      </c>
      <c r="D1585">
        <v>74336</v>
      </c>
      <c r="E1585" s="2">
        <v>6729272.7000000002</v>
      </c>
    </row>
    <row r="1586" spans="1:5" ht="15" x14ac:dyDescent="0.2">
      <c r="A1586" s="1" t="s">
        <v>75</v>
      </c>
      <c r="B1586" t="s">
        <v>12</v>
      </c>
      <c r="C1586" t="s">
        <v>54</v>
      </c>
      <c r="D1586">
        <v>74336</v>
      </c>
      <c r="E1586" s="2">
        <v>20394700.649999999</v>
      </c>
    </row>
    <row r="1587" spans="1:5" ht="15" x14ac:dyDescent="0.2">
      <c r="A1587" s="1" t="s">
        <v>96</v>
      </c>
      <c r="B1587" t="s">
        <v>44</v>
      </c>
      <c r="C1587" t="s">
        <v>54</v>
      </c>
      <c r="D1587">
        <v>74336</v>
      </c>
      <c r="E1587" s="2">
        <v>3164048.91</v>
      </c>
    </row>
    <row r="1588" spans="1:5" ht="15" x14ac:dyDescent="0.2">
      <c r="A1588" s="1" t="s">
        <v>99</v>
      </c>
      <c r="B1588" t="s">
        <v>35</v>
      </c>
      <c r="C1588" t="s">
        <v>54</v>
      </c>
      <c r="D1588">
        <v>74336</v>
      </c>
      <c r="E1588" s="2">
        <v>31049841.440000001</v>
      </c>
    </row>
    <row r="1589" spans="1:5" ht="15" x14ac:dyDescent="0.2">
      <c r="A1589" s="1" t="s">
        <v>77</v>
      </c>
      <c r="B1589" t="s">
        <v>18</v>
      </c>
      <c r="C1589" t="s">
        <v>54</v>
      </c>
      <c r="D1589">
        <v>74336</v>
      </c>
      <c r="E1589" s="2">
        <v>1347.87</v>
      </c>
    </row>
    <row r="1590" spans="1:5" ht="15" x14ac:dyDescent="0.2">
      <c r="A1590" s="1" t="s">
        <v>100</v>
      </c>
      <c r="B1590" t="s">
        <v>43</v>
      </c>
      <c r="C1590" t="s">
        <v>54</v>
      </c>
      <c r="D1590">
        <v>74336</v>
      </c>
      <c r="E1590" s="2">
        <v>2104197.96</v>
      </c>
    </row>
    <row r="1591" spans="1:5" ht="15" x14ac:dyDescent="0.2">
      <c r="A1591" s="1" t="s">
        <v>103</v>
      </c>
      <c r="B1591" t="s">
        <v>37</v>
      </c>
      <c r="C1591" t="s">
        <v>54</v>
      </c>
      <c r="D1591">
        <v>74336</v>
      </c>
      <c r="E1591" s="2">
        <v>2418093.0699999998</v>
      </c>
    </row>
    <row r="1592" spans="1:5" ht="15" x14ac:dyDescent="0.2">
      <c r="A1592" s="1" t="s">
        <v>101</v>
      </c>
      <c r="B1592" t="s">
        <v>39</v>
      </c>
      <c r="C1592" t="s">
        <v>54</v>
      </c>
      <c r="D1592">
        <v>74336</v>
      </c>
      <c r="E1592" s="2">
        <v>3092947.82</v>
      </c>
    </row>
    <row r="1593" spans="1:5" ht="15" x14ac:dyDescent="0.2">
      <c r="A1593" s="1" t="s">
        <v>91</v>
      </c>
      <c r="B1593" t="s">
        <v>30</v>
      </c>
      <c r="C1593" t="s">
        <v>54</v>
      </c>
      <c r="D1593">
        <v>75257</v>
      </c>
      <c r="E1593" s="2">
        <v>92367006.629999995</v>
      </c>
    </row>
    <row r="1594" spans="1:5" ht="15" x14ac:dyDescent="0.2">
      <c r="A1594" s="1" t="s">
        <v>85</v>
      </c>
      <c r="B1594" t="s">
        <v>24</v>
      </c>
      <c r="C1594" t="s">
        <v>54</v>
      </c>
      <c r="D1594">
        <v>75257</v>
      </c>
      <c r="E1594" s="2">
        <v>496.15</v>
      </c>
    </row>
    <row r="1595" spans="1:5" ht="15" x14ac:dyDescent="0.2">
      <c r="A1595" s="1" t="s">
        <v>75</v>
      </c>
      <c r="B1595" t="s">
        <v>12</v>
      </c>
      <c r="C1595" t="s">
        <v>54</v>
      </c>
      <c r="D1595">
        <v>75257</v>
      </c>
      <c r="E1595" s="2">
        <v>17850674.670000002</v>
      </c>
    </row>
    <row r="1596" spans="1:5" ht="15" x14ac:dyDescent="0.2">
      <c r="A1596" s="1" t="s">
        <v>76</v>
      </c>
      <c r="B1596" t="s">
        <v>13</v>
      </c>
      <c r="C1596" t="s">
        <v>54</v>
      </c>
      <c r="D1596">
        <v>75257</v>
      </c>
      <c r="E1596" s="2">
        <v>11781.61</v>
      </c>
    </row>
    <row r="1597" spans="1:5" ht="15" x14ac:dyDescent="0.2">
      <c r="A1597" s="1" t="s">
        <v>74</v>
      </c>
      <c r="B1597" t="s">
        <v>11</v>
      </c>
      <c r="C1597" t="s">
        <v>54</v>
      </c>
      <c r="D1597">
        <v>75257</v>
      </c>
      <c r="E1597" s="2">
        <v>779353.35</v>
      </c>
    </row>
    <row r="1598" spans="1:5" ht="15" x14ac:dyDescent="0.2">
      <c r="A1598" s="1" t="s">
        <v>96</v>
      </c>
      <c r="B1598" t="s">
        <v>44</v>
      </c>
      <c r="C1598" t="s">
        <v>54</v>
      </c>
      <c r="D1598">
        <v>75257</v>
      </c>
      <c r="E1598" s="2">
        <v>2008705.21</v>
      </c>
    </row>
    <row r="1599" spans="1:5" ht="15" x14ac:dyDescent="0.2">
      <c r="A1599" s="1" t="s">
        <v>91</v>
      </c>
      <c r="B1599" t="s">
        <v>30</v>
      </c>
      <c r="C1599" t="s">
        <v>54</v>
      </c>
      <c r="D1599">
        <v>75884</v>
      </c>
      <c r="E1599" s="2">
        <v>51586595.82</v>
      </c>
    </row>
    <row r="1600" spans="1:5" ht="15" x14ac:dyDescent="0.2">
      <c r="A1600" s="1" t="s">
        <v>93</v>
      </c>
      <c r="B1600" t="s">
        <v>32</v>
      </c>
      <c r="C1600" t="s">
        <v>54</v>
      </c>
      <c r="D1600">
        <v>75884</v>
      </c>
      <c r="E1600" s="2">
        <v>62235550.700000003</v>
      </c>
    </row>
    <row r="1601" spans="1:5" ht="15" x14ac:dyDescent="0.2">
      <c r="A1601" s="1" t="s">
        <v>84</v>
      </c>
      <c r="B1601" t="s">
        <v>16</v>
      </c>
      <c r="C1601" t="s">
        <v>54</v>
      </c>
      <c r="D1601">
        <v>75884</v>
      </c>
      <c r="E1601" s="2">
        <v>22249278.25</v>
      </c>
    </row>
    <row r="1602" spans="1:5" ht="15" x14ac:dyDescent="0.2">
      <c r="A1602" s="1" t="s">
        <v>74</v>
      </c>
      <c r="B1602" t="s">
        <v>11</v>
      </c>
      <c r="C1602" t="s">
        <v>54</v>
      </c>
      <c r="D1602">
        <v>75884</v>
      </c>
      <c r="E1602" s="2">
        <v>522037.64</v>
      </c>
    </row>
    <row r="1603" spans="1:5" ht="15" x14ac:dyDescent="0.2">
      <c r="A1603" s="1" t="s">
        <v>78</v>
      </c>
      <c r="B1603" t="s">
        <v>20</v>
      </c>
      <c r="C1603" t="s">
        <v>54</v>
      </c>
      <c r="D1603">
        <v>75884</v>
      </c>
      <c r="E1603" s="2">
        <v>2123980.86</v>
      </c>
    </row>
    <row r="1604" spans="1:5" ht="15" x14ac:dyDescent="0.2">
      <c r="A1604" s="1" t="s">
        <v>103</v>
      </c>
      <c r="B1604" t="s">
        <v>37</v>
      </c>
      <c r="C1604" t="s">
        <v>54</v>
      </c>
      <c r="D1604">
        <v>75884</v>
      </c>
      <c r="E1604" s="2">
        <v>5354119.3899999997</v>
      </c>
    </row>
    <row r="1605" spans="1:5" ht="15" x14ac:dyDescent="0.2">
      <c r="A1605" s="1" t="s">
        <v>71</v>
      </c>
      <c r="B1605" t="s">
        <v>9</v>
      </c>
      <c r="C1605" t="s">
        <v>54</v>
      </c>
      <c r="D1605">
        <v>75884</v>
      </c>
      <c r="E1605" s="2">
        <v>86323570.140000001</v>
      </c>
    </row>
    <row r="1606" spans="1:5" ht="15" x14ac:dyDescent="0.2">
      <c r="A1606" s="1" t="s">
        <v>86</v>
      </c>
      <c r="B1606" t="s">
        <v>25</v>
      </c>
      <c r="C1606" t="s">
        <v>54</v>
      </c>
      <c r="D1606">
        <v>77825</v>
      </c>
      <c r="E1606" s="2">
        <v>7363142.5999999996</v>
      </c>
    </row>
    <row r="1607" spans="1:5" ht="15" x14ac:dyDescent="0.2">
      <c r="A1607" s="1" t="s">
        <v>80</v>
      </c>
      <c r="B1607" t="s">
        <v>22</v>
      </c>
      <c r="C1607" t="s">
        <v>54</v>
      </c>
      <c r="D1607">
        <v>77825</v>
      </c>
      <c r="E1607" s="2">
        <v>10726777.82</v>
      </c>
    </row>
    <row r="1608" spans="1:5" ht="15" x14ac:dyDescent="0.2">
      <c r="A1608" s="1" t="s">
        <v>65</v>
      </c>
      <c r="B1608" t="s">
        <v>4</v>
      </c>
      <c r="C1608" t="s">
        <v>54</v>
      </c>
      <c r="D1608">
        <v>77825</v>
      </c>
      <c r="E1608" s="2">
        <v>3042362.68</v>
      </c>
    </row>
    <row r="1609" spans="1:5" ht="15" x14ac:dyDescent="0.2">
      <c r="A1609" s="1" t="s">
        <v>79</v>
      </c>
      <c r="B1609" t="s">
        <v>21</v>
      </c>
      <c r="C1609" t="s">
        <v>54</v>
      </c>
      <c r="D1609">
        <v>78398</v>
      </c>
      <c r="E1609" s="2">
        <v>5270.78</v>
      </c>
    </row>
    <row r="1610" spans="1:5" ht="15" x14ac:dyDescent="0.2">
      <c r="A1610" s="1" t="s">
        <v>96</v>
      </c>
      <c r="B1610" t="s">
        <v>44</v>
      </c>
      <c r="C1610" t="s">
        <v>54</v>
      </c>
      <c r="D1610">
        <v>78398</v>
      </c>
      <c r="E1610" s="2">
        <v>2838066.97</v>
      </c>
    </row>
    <row r="1611" spans="1:5" ht="15" x14ac:dyDescent="0.2">
      <c r="A1611" s="1" t="s">
        <v>97</v>
      </c>
      <c r="B1611" t="s">
        <v>42</v>
      </c>
      <c r="C1611" t="s">
        <v>54</v>
      </c>
      <c r="D1611">
        <v>78398</v>
      </c>
      <c r="E1611" s="2">
        <v>8086.39</v>
      </c>
    </row>
    <row r="1612" spans="1:5" ht="15" x14ac:dyDescent="0.2">
      <c r="A1612" s="1" t="s">
        <v>99</v>
      </c>
      <c r="B1612" t="s">
        <v>35</v>
      </c>
      <c r="C1612" t="s">
        <v>54</v>
      </c>
      <c r="D1612">
        <v>78398</v>
      </c>
      <c r="E1612" s="2">
        <v>46943394.460000001</v>
      </c>
    </row>
    <row r="1613" spans="1:5" ht="15" x14ac:dyDescent="0.2">
      <c r="A1613" s="1" t="s">
        <v>78</v>
      </c>
      <c r="B1613" t="s">
        <v>20</v>
      </c>
      <c r="C1613" t="s">
        <v>54</v>
      </c>
      <c r="D1613">
        <v>78398</v>
      </c>
      <c r="E1613" s="2">
        <v>3266841.71</v>
      </c>
    </row>
    <row r="1614" spans="1:5" ht="15" x14ac:dyDescent="0.2">
      <c r="A1614" s="1" t="s">
        <v>87</v>
      </c>
      <c r="B1614" t="s">
        <v>26</v>
      </c>
      <c r="C1614" t="s">
        <v>54</v>
      </c>
      <c r="D1614">
        <v>78398</v>
      </c>
      <c r="E1614" s="2">
        <v>5519706.0099999998</v>
      </c>
    </row>
    <row r="1615" spans="1:5" ht="15" x14ac:dyDescent="0.2">
      <c r="A1615" s="1" t="s">
        <v>102</v>
      </c>
      <c r="B1615" t="s">
        <v>36</v>
      </c>
      <c r="C1615" t="s">
        <v>54</v>
      </c>
      <c r="D1615">
        <v>78398</v>
      </c>
      <c r="E1615" s="2">
        <v>3652065.52</v>
      </c>
    </row>
    <row r="1616" spans="1:5" ht="15" x14ac:dyDescent="0.2">
      <c r="A1616" s="1" t="s">
        <v>104</v>
      </c>
      <c r="B1616" t="s">
        <v>40</v>
      </c>
      <c r="C1616" t="s">
        <v>54</v>
      </c>
      <c r="D1616">
        <v>78398</v>
      </c>
      <c r="E1616" s="2">
        <v>31620635.010000002</v>
      </c>
    </row>
    <row r="1617" spans="1:5" ht="15" x14ac:dyDescent="0.2">
      <c r="A1617" s="1" t="s">
        <v>79</v>
      </c>
      <c r="B1617" t="s">
        <v>21</v>
      </c>
      <c r="C1617" t="s">
        <v>54</v>
      </c>
      <c r="D1617">
        <v>86272</v>
      </c>
      <c r="E1617" s="2">
        <v>10198882.189999999</v>
      </c>
    </row>
    <row r="1618" spans="1:5" ht="15" x14ac:dyDescent="0.2">
      <c r="A1618" s="1" t="s">
        <v>96</v>
      </c>
      <c r="B1618" t="s">
        <v>44</v>
      </c>
      <c r="C1618" t="s">
        <v>54</v>
      </c>
      <c r="D1618">
        <v>86272</v>
      </c>
      <c r="E1618" s="2">
        <v>2693791.4</v>
      </c>
    </row>
    <row r="1619" spans="1:5" ht="15" x14ac:dyDescent="0.2">
      <c r="A1619" s="1" t="s">
        <v>97</v>
      </c>
      <c r="B1619" t="s">
        <v>42</v>
      </c>
      <c r="C1619" t="s">
        <v>54</v>
      </c>
      <c r="D1619">
        <v>86272</v>
      </c>
      <c r="E1619" s="2">
        <v>1772815.73</v>
      </c>
    </row>
    <row r="1620" spans="1:5" ht="15" x14ac:dyDescent="0.2">
      <c r="A1620" s="1" t="s">
        <v>71</v>
      </c>
      <c r="B1620" t="s">
        <v>9</v>
      </c>
      <c r="C1620" t="s">
        <v>54</v>
      </c>
      <c r="D1620">
        <v>86272</v>
      </c>
      <c r="E1620" s="2">
        <v>453.05</v>
      </c>
    </row>
    <row r="1621" spans="1:5" ht="15" x14ac:dyDescent="0.2">
      <c r="A1621" s="1" t="s">
        <v>86</v>
      </c>
      <c r="B1621" t="s">
        <v>25</v>
      </c>
      <c r="C1621" t="s">
        <v>54</v>
      </c>
      <c r="D1621">
        <v>87775</v>
      </c>
      <c r="E1621" s="2">
        <v>10637609.66</v>
      </c>
    </row>
    <row r="1622" spans="1:5" ht="15" x14ac:dyDescent="0.2">
      <c r="A1622" s="1" t="s">
        <v>89</v>
      </c>
      <c r="B1622" t="s">
        <v>28</v>
      </c>
      <c r="C1622" t="s">
        <v>54</v>
      </c>
      <c r="D1622">
        <v>87775</v>
      </c>
      <c r="E1622" s="2">
        <v>3794927.09</v>
      </c>
    </row>
    <row r="1623" spans="1:5" ht="15" x14ac:dyDescent="0.2">
      <c r="A1623" s="1" t="s">
        <v>84</v>
      </c>
      <c r="B1623" t="s">
        <v>16</v>
      </c>
      <c r="C1623" t="s">
        <v>54</v>
      </c>
      <c r="D1623">
        <v>87775</v>
      </c>
      <c r="E1623" s="2">
        <v>0.73</v>
      </c>
    </row>
    <row r="1624" spans="1:5" ht="15" x14ac:dyDescent="0.2">
      <c r="A1624" s="1" t="s">
        <v>78</v>
      </c>
      <c r="B1624" t="s">
        <v>20</v>
      </c>
      <c r="C1624" t="s">
        <v>54</v>
      </c>
      <c r="D1624">
        <v>87775</v>
      </c>
      <c r="E1624" s="2">
        <v>986566.86</v>
      </c>
    </row>
    <row r="1625" spans="1:5" ht="15" x14ac:dyDescent="0.2">
      <c r="A1625" s="1" t="s">
        <v>73</v>
      </c>
      <c r="B1625" t="s">
        <v>17</v>
      </c>
      <c r="C1625" t="s">
        <v>54</v>
      </c>
      <c r="D1625">
        <v>87775</v>
      </c>
      <c r="E1625" s="2">
        <v>4731261.1100000003</v>
      </c>
    </row>
    <row r="1626" spans="1:5" ht="15" x14ac:dyDescent="0.2">
      <c r="A1626" s="1" t="s">
        <v>71</v>
      </c>
      <c r="B1626" t="s">
        <v>9</v>
      </c>
      <c r="C1626" t="s">
        <v>54</v>
      </c>
      <c r="D1626">
        <v>87775</v>
      </c>
      <c r="E1626" s="2">
        <v>62434599.340000004</v>
      </c>
    </row>
    <row r="1627" spans="1:5" ht="15" x14ac:dyDescent="0.2">
      <c r="A1627" s="1" t="s">
        <v>86</v>
      </c>
      <c r="B1627" t="s">
        <v>25</v>
      </c>
      <c r="C1627" t="s">
        <v>55</v>
      </c>
      <c r="D1627">
        <v>11546</v>
      </c>
      <c r="E1627" s="2">
        <v>156.05000000000001</v>
      </c>
    </row>
    <row r="1628" spans="1:5" ht="15" x14ac:dyDescent="0.2">
      <c r="A1628" s="1" t="s">
        <v>93</v>
      </c>
      <c r="B1628" t="s">
        <v>32</v>
      </c>
      <c r="C1628" t="s">
        <v>55</v>
      </c>
      <c r="D1628">
        <v>11546</v>
      </c>
      <c r="E1628" s="2">
        <v>63528096</v>
      </c>
    </row>
    <row r="1629" spans="1:5" ht="15" x14ac:dyDescent="0.2">
      <c r="A1629" s="1" t="s">
        <v>74</v>
      </c>
      <c r="B1629" t="s">
        <v>11</v>
      </c>
      <c r="C1629" t="s">
        <v>55</v>
      </c>
      <c r="D1629">
        <v>11546</v>
      </c>
      <c r="E1629" s="2">
        <v>2147044.98</v>
      </c>
    </row>
    <row r="1630" spans="1:5" ht="15" x14ac:dyDescent="0.2">
      <c r="A1630" s="1" t="s">
        <v>72</v>
      </c>
      <c r="B1630" t="s">
        <v>10</v>
      </c>
      <c r="C1630" t="s">
        <v>55</v>
      </c>
      <c r="D1630">
        <v>11546</v>
      </c>
      <c r="E1630" s="2">
        <v>1.35</v>
      </c>
    </row>
    <row r="1631" spans="1:5" ht="15" x14ac:dyDescent="0.2">
      <c r="A1631" s="1" t="s">
        <v>99</v>
      </c>
      <c r="B1631" t="s">
        <v>35</v>
      </c>
      <c r="C1631" t="s">
        <v>55</v>
      </c>
      <c r="D1631">
        <v>11546</v>
      </c>
      <c r="E1631" s="2">
        <v>16851823.559999999</v>
      </c>
    </row>
    <row r="1632" spans="1:5" ht="15" x14ac:dyDescent="0.2">
      <c r="A1632" s="1" t="s">
        <v>81</v>
      </c>
      <c r="B1632" t="s">
        <v>14</v>
      </c>
      <c r="C1632" t="s">
        <v>55</v>
      </c>
      <c r="D1632">
        <v>11546</v>
      </c>
      <c r="E1632" s="2">
        <v>10719209.77</v>
      </c>
    </row>
    <row r="1633" spans="1:5" ht="15" x14ac:dyDescent="0.2">
      <c r="A1633" s="1" t="s">
        <v>103</v>
      </c>
      <c r="B1633" t="s">
        <v>37</v>
      </c>
      <c r="C1633" t="s">
        <v>55</v>
      </c>
      <c r="D1633">
        <v>11546</v>
      </c>
      <c r="E1633" s="2">
        <v>3765207</v>
      </c>
    </row>
    <row r="1634" spans="1:5" ht="15" x14ac:dyDescent="0.2">
      <c r="A1634" s="1" t="s">
        <v>73</v>
      </c>
      <c r="B1634" t="s">
        <v>17</v>
      </c>
      <c r="C1634" t="s">
        <v>55</v>
      </c>
      <c r="D1634">
        <v>11546</v>
      </c>
      <c r="E1634" s="2">
        <v>2750064.19</v>
      </c>
    </row>
    <row r="1635" spans="1:5" ht="15" x14ac:dyDescent="0.2">
      <c r="A1635" s="1" t="s">
        <v>65</v>
      </c>
      <c r="B1635" t="s">
        <v>4</v>
      </c>
      <c r="C1635" t="s">
        <v>55</v>
      </c>
      <c r="D1635">
        <v>11546</v>
      </c>
      <c r="E1635" s="2">
        <v>1952.32</v>
      </c>
    </row>
    <row r="1636" spans="1:5" ht="15" x14ac:dyDescent="0.2">
      <c r="A1636" s="1" t="s">
        <v>71</v>
      </c>
      <c r="B1636" t="s">
        <v>9</v>
      </c>
      <c r="C1636" t="s">
        <v>55</v>
      </c>
      <c r="D1636">
        <v>11546</v>
      </c>
      <c r="E1636" s="2">
        <v>17845661.23</v>
      </c>
    </row>
    <row r="1637" spans="1:5" ht="15" x14ac:dyDescent="0.2">
      <c r="A1637" s="1" t="s">
        <v>79</v>
      </c>
      <c r="B1637" t="s">
        <v>21</v>
      </c>
      <c r="C1637" t="s">
        <v>55</v>
      </c>
      <c r="D1637">
        <v>13175</v>
      </c>
      <c r="E1637" s="2">
        <v>16410160.41</v>
      </c>
    </row>
    <row r="1638" spans="1:5" ht="15" x14ac:dyDescent="0.2">
      <c r="A1638" s="1" t="s">
        <v>84</v>
      </c>
      <c r="B1638" t="s">
        <v>16</v>
      </c>
      <c r="C1638" t="s">
        <v>55</v>
      </c>
      <c r="D1638">
        <v>13175</v>
      </c>
      <c r="E1638" s="2">
        <v>5893437.6399999997</v>
      </c>
    </row>
    <row r="1639" spans="1:5" ht="15" x14ac:dyDescent="0.2">
      <c r="A1639" s="1" t="s">
        <v>75</v>
      </c>
      <c r="B1639" t="s">
        <v>12</v>
      </c>
      <c r="C1639" t="s">
        <v>55</v>
      </c>
      <c r="D1639">
        <v>13175</v>
      </c>
      <c r="E1639" s="2">
        <v>3687296.3</v>
      </c>
    </row>
    <row r="1640" spans="1:5" ht="15" x14ac:dyDescent="0.2">
      <c r="A1640" s="1" t="s">
        <v>100</v>
      </c>
      <c r="B1640" t="s">
        <v>43</v>
      </c>
      <c r="C1640" t="s">
        <v>55</v>
      </c>
      <c r="D1640">
        <v>13175</v>
      </c>
      <c r="E1640" s="2">
        <v>9104.5499999999993</v>
      </c>
    </row>
    <row r="1641" spans="1:5" ht="15" x14ac:dyDescent="0.2">
      <c r="A1641" s="1" t="s">
        <v>88</v>
      </c>
      <c r="B1641" t="s">
        <v>27</v>
      </c>
      <c r="C1641" t="s">
        <v>55</v>
      </c>
      <c r="D1641">
        <v>13175</v>
      </c>
      <c r="E1641" s="2">
        <v>3240825.54</v>
      </c>
    </row>
    <row r="1642" spans="1:5" ht="15" x14ac:dyDescent="0.2">
      <c r="A1642" s="1" t="s">
        <v>69</v>
      </c>
      <c r="B1642" t="s">
        <v>7</v>
      </c>
      <c r="C1642" t="s">
        <v>55</v>
      </c>
      <c r="D1642">
        <v>13175</v>
      </c>
      <c r="E1642" s="2">
        <v>28334001.940000001</v>
      </c>
    </row>
    <row r="1643" spans="1:5" ht="15" x14ac:dyDescent="0.2">
      <c r="A1643" s="1" t="s">
        <v>80</v>
      </c>
      <c r="B1643" t="s">
        <v>22</v>
      </c>
      <c r="C1643" t="s">
        <v>55</v>
      </c>
      <c r="D1643">
        <v>15285</v>
      </c>
      <c r="E1643" s="2">
        <v>6439925.5499999998</v>
      </c>
    </row>
    <row r="1644" spans="1:5" ht="15" x14ac:dyDescent="0.2">
      <c r="A1644" s="1" t="s">
        <v>72</v>
      </c>
      <c r="B1644" t="s">
        <v>10</v>
      </c>
      <c r="C1644" t="s">
        <v>55</v>
      </c>
      <c r="D1644">
        <v>15285</v>
      </c>
      <c r="E1644" s="2">
        <v>8997636.6400000006</v>
      </c>
    </row>
    <row r="1645" spans="1:5" ht="15" x14ac:dyDescent="0.2">
      <c r="A1645" s="1" t="s">
        <v>97</v>
      </c>
      <c r="B1645" t="s">
        <v>42</v>
      </c>
      <c r="C1645" t="s">
        <v>55</v>
      </c>
      <c r="D1645">
        <v>15285</v>
      </c>
      <c r="E1645" s="2">
        <v>10112874.039999999</v>
      </c>
    </row>
    <row r="1646" spans="1:5" ht="15" x14ac:dyDescent="0.2">
      <c r="A1646" s="1" t="s">
        <v>81</v>
      </c>
      <c r="B1646" t="s">
        <v>14</v>
      </c>
      <c r="C1646" t="s">
        <v>55</v>
      </c>
      <c r="D1646">
        <v>15285</v>
      </c>
      <c r="E1646" s="2">
        <v>10643734.289999999</v>
      </c>
    </row>
    <row r="1647" spans="1:5" ht="15" x14ac:dyDescent="0.2">
      <c r="A1647" s="1" t="s">
        <v>78</v>
      </c>
      <c r="B1647" t="s">
        <v>20</v>
      </c>
      <c r="C1647" t="s">
        <v>55</v>
      </c>
      <c r="D1647">
        <v>15285</v>
      </c>
      <c r="E1647" s="2">
        <v>0.75</v>
      </c>
    </row>
    <row r="1648" spans="1:5" ht="15" x14ac:dyDescent="0.2">
      <c r="A1648" s="1" t="s">
        <v>87</v>
      </c>
      <c r="B1648" t="s">
        <v>26</v>
      </c>
      <c r="C1648" t="s">
        <v>55</v>
      </c>
      <c r="D1648">
        <v>15285</v>
      </c>
      <c r="E1648" s="2">
        <v>9789384.8100000005</v>
      </c>
    </row>
    <row r="1649" spans="1:5" ht="15" x14ac:dyDescent="0.2">
      <c r="A1649" s="1" t="s">
        <v>103</v>
      </c>
      <c r="B1649" t="s">
        <v>37</v>
      </c>
      <c r="C1649" t="s">
        <v>55</v>
      </c>
      <c r="D1649">
        <v>15285</v>
      </c>
      <c r="E1649" s="2">
        <v>10708112.26</v>
      </c>
    </row>
    <row r="1650" spans="1:5" ht="15" x14ac:dyDescent="0.2">
      <c r="A1650" s="1" t="s">
        <v>73</v>
      </c>
      <c r="B1650" t="s">
        <v>17</v>
      </c>
      <c r="C1650" t="s">
        <v>55</v>
      </c>
      <c r="D1650">
        <v>15285</v>
      </c>
      <c r="E1650" s="2">
        <v>3250887.8</v>
      </c>
    </row>
    <row r="1651" spans="1:5" ht="15" x14ac:dyDescent="0.2">
      <c r="A1651" s="1" t="s">
        <v>70</v>
      </c>
      <c r="B1651" t="s">
        <v>8</v>
      </c>
      <c r="C1651" t="s">
        <v>55</v>
      </c>
      <c r="D1651">
        <v>15285</v>
      </c>
      <c r="E1651" s="2">
        <v>105024831</v>
      </c>
    </row>
    <row r="1652" spans="1:5" ht="15" x14ac:dyDescent="0.2">
      <c r="A1652" s="1" t="s">
        <v>92</v>
      </c>
      <c r="B1652" t="s">
        <v>31</v>
      </c>
      <c r="C1652" t="s">
        <v>55</v>
      </c>
      <c r="D1652">
        <v>15777</v>
      </c>
      <c r="E1652" s="2">
        <v>19161941</v>
      </c>
    </row>
    <row r="1653" spans="1:5" ht="15" x14ac:dyDescent="0.2">
      <c r="A1653" s="1" t="s">
        <v>85</v>
      </c>
      <c r="B1653" t="s">
        <v>24</v>
      </c>
      <c r="C1653" t="s">
        <v>55</v>
      </c>
      <c r="D1653">
        <v>15777</v>
      </c>
      <c r="E1653" s="2">
        <v>254.52</v>
      </c>
    </row>
    <row r="1654" spans="1:5" ht="15" x14ac:dyDescent="0.2">
      <c r="A1654" s="1" t="s">
        <v>74</v>
      </c>
      <c r="B1654" t="s">
        <v>11</v>
      </c>
      <c r="C1654" t="s">
        <v>55</v>
      </c>
      <c r="D1654">
        <v>15777</v>
      </c>
      <c r="E1654" s="2">
        <v>1380641.23</v>
      </c>
    </row>
    <row r="1655" spans="1:5" ht="15" x14ac:dyDescent="0.2">
      <c r="A1655" s="1" t="s">
        <v>77</v>
      </c>
      <c r="B1655" t="s">
        <v>18</v>
      </c>
      <c r="C1655" t="s">
        <v>55</v>
      </c>
      <c r="D1655">
        <v>15777</v>
      </c>
      <c r="E1655" s="2">
        <v>11801924.32</v>
      </c>
    </row>
    <row r="1656" spans="1:5" ht="15" x14ac:dyDescent="0.2">
      <c r="A1656" s="1" t="s">
        <v>88</v>
      </c>
      <c r="B1656" t="s">
        <v>27</v>
      </c>
      <c r="C1656" t="s">
        <v>55</v>
      </c>
      <c r="D1656">
        <v>15777</v>
      </c>
      <c r="E1656" s="2">
        <v>7515809.6699999999</v>
      </c>
    </row>
    <row r="1657" spans="1:5" ht="15" x14ac:dyDescent="0.2">
      <c r="A1657" s="1" t="s">
        <v>73</v>
      </c>
      <c r="B1657" t="s">
        <v>17</v>
      </c>
      <c r="C1657" t="s">
        <v>55</v>
      </c>
      <c r="D1657">
        <v>15777</v>
      </c>
      <c r="E1657" s="2">
        <v>7022882.1900000004</v>
      </c>
    </row>
    <row r="1658" spans="1:5" ht="15" x14ac:dyDescent="0.2">
      <c r="A1658" s="1" t="s">
        <v>90</v>
      </c>
      <c r="B1658" t="s">
        <v>29</v>
      </c>
      <c r="C1658" t="s">
        <v>55</v>
      </c>
      <c r="D1658">
        <v>17019</v>
      </c>
      <c r="E1658" s="2">
        <v>8633681.8499999996</v>
      </c>
    </row>
    <row r="1659" spans="1:5" ht="15" x14ac:dyDescent="0.2">
      <c r="A1659" s="1" t="s">
        <v>94</v>
      </c>
      <c r="B1659" t="s">
        <v>33</v>
      </c>
      <c r="C1659" t="s">
        <v>55</v>
      </c>
      <c r="D1659">
        <v>17019</v>
      </c>
      <c r="E1659" s="2">
        <v>36552431.280000001</v>
      </c>
    </row>
    <row r="1660" spans="1:5" ht="15" x14ac:dyDescent="0.2">
      <c r="A1660" s="1" t="s">
        <v>84</v>
      </c>
      <c r="B1660" t="s">
        <v>16</v>
      </c>
      <c r="C1660" t="s">
        <v>55</v>
      </c>
      <c r="D1660">
        <v>17019</v>
      </c>
      <c r="E1660" s="2">
        <v>10739485.92</v>
      </c>
    </row>
    <row r="1661" spans="1:5" ht="15" x14ac:dyDescent="0.2">
      <c r="A1661" s="1" t="s">
        <v>72</v>
      </c>
      <c r="B1661" t="s">
        <v>10</v>
      </c>
      <c r="C1661" t="s">
        <v>55</v>
      </c>
      <c r="D1661">
        <v>17019</v>
      </c>
      <c r="E1661" s="2">
        <v>15435465.17</v>
      </c>
    </row>
    <row r="1662" spans="1:5" ht="15" x14ac:dyDescent="0.2">
      <c r="A1662" s="1" t="s">
        <v>97</v>
      </c>
      <c r="B1662" t="s">
        <v>42</v>
      </c>
      <c r="C1662" t="s">
        <v>55</v>
      </c>
      <c r="D1662">
        <v>17019</v>
      </c>
      <c r="E1662" s="2">
        <v>3931429.82</v>
      </c>
    </row>
    <row r="1663" spans="1:5" ht="15" x14ac:dyDescent="0.2">
      <c r="A1663" s="1" t="s">
        <v>68</v>
      </c>
      <c r="B1663" t="s">
        <v>6</v>
      </c>
      <c r="C1663" t="s">
        <v>55</v>
      </c>
      <c r="D1663">
        <v>17019</v>
      </c>
      <c r="E1663" s="2">
        <v>5335197.97</v>
      </c>
    </row>
    <row r="1664" spans="1:5" ht="15" x14ac:dyDescent="0.2">
      <c r="A1664" s="1" t="s">
        <v>100</v>
      </c>
      <c r="B1664" t="s">
        <v>43</v>
      </c>
      <c r="C1664" t="s">
        <v>55</v>
      </c>
      <c r="D1664">
        <v>17019</v>
      </c>
      <c r="E1664" s="2">
        <v>6089052.4699999997</v>
      </c>
    </row>
    <row r="1665" spans="1:5" ht="15" x14ac:dyDescent="0.2">
      <c r="A1665" s="1" t="s">
        <v>87</v>
      </c>
      <c r="B1665" t="s">
        <v>26</v>
      </c>
      <c r="C1665" t="s">
        <v>55</v>
      </c>
      <c r="D1665">
        <v>17019</v>
      </c>
      <c r="E1665" s="2">
        <v>7298392.5999999996</v>
      </c>
    </row>
    <row r="1666" spans="1:5" ht="15" x14ac:dyDescent="0.2">
      <c r="A1666" s="1" t="s">
        <v>105</v>
      </c>
      <c r="B1666" t="s">
        <v>41</v>
      </c>
      <c r="C1666" t="s">
        <v>55</v>
      </c>
      <c r="D1666">
        <v>17019</v>
      </c>
      <c r="E1666" s="2">
        <v>8250640.1799999997</v>
      </c>
    </row>
    <row r="1667" spans="1:5" ht="15" x14ac:dyDescent="0.2">
      <c r="A1667" s="1" t="s">
        <v>70</v>
      </c>
      <c r="B1667" t="s">
        <v>8</v>
      </c>
      <c r="C1667" t="s">
        <v>55</v>
      </c>
      <c r="D1667">
        <v>17019</v>
      </c>
      <c r="E1667" s="2">
        <v>10572.49</v>
      </c>
    </row>
    <row r="1668" spans="1:5" ht="15" x14ac:dyDescent="0.2">
      <c r="A1668" s="1" t="s">
        <v>71</v>
      </c>
      <c r="B1668" t="s">
        <v>9</v>
      </c>
      <c r="C1668" t="s">
        <v>55</v>
      </c>
      <c r="D1668">
        <v>17019</v>
      </c>
      <c r="E1668" s="2">
        <v>36537939.380000003</v>
      </c>
    </row>
    <row r="1669" spans="1:5" ht="15" x14ac:dyDescent="0.2">
      <c r="A1669" s="1" t="s">
        <v>86</v>
      </c>
      <c r="B1669" t="s">
        <v>25</v>
      </c>
      <c r="C1669" t="s">
        <v>55</v>
      </c>
      <c r="D1669">
        <v>20910</v>
      </c>
      <c r="E1669" s="2">
        <v>4244528.28</v>
      </c>
    </row>
    <row r="1670" spans="1:5" ht="15" x14ac:dyDescent="0.2">
      <c r="A1670" s="1" t="s">
        <v>89</v>
      </c>
      <c r="B1670" t="s">
        <v>28</v>
      </c>
      <c r="C1670" t="s">
        <v>55</v>
      </c>
      <c r="D1670">
        <v>20910</v>
      </c>
      <c r="E1670" s="2">
        <v>12533.39</v>
      </c>
    </row>
    <row r="1671" spans="1:5" ht="15" x14ac:dyDescent="0.2">
      <c r="A1671" s="1" t="s">
        <v>94</v>
      </c>
      <c r="B1671" t="s">
        <v>33</v>
      </c>
      <c r="C1671" t="s">
        <v>55</v>
      </c>
      <c r="D1671">
        <v>20910</v>
      </c>
      <c r="E1671" s="2">
        <v>89372173.840000004</v>
      </c>
    </row>
    <row r="1672" spans="1:5" ht="15" x14ac:dyDescent="0.2">
      <c r="A1672" s="1" t="s">
        <v>75</v>
      </c>
      <c r="B1672" t="s">
        <v>12</v>
      </c>
      <c r="C1672" t="s">
        <v>55</v>
      </c>
      <c r="D1672">
        <v>20910</v>
      </c>
      <c r="E1672" s="2">
        <v>3055688.05</v>
      </c>
    </row>
    <row r="1673" spans="1:5" ht="15" x14ac:dyDescent="0.2">
      <c r="A1673" s="1" t="s">
        <v>72</v>
      </c>
      <c r="B1673" t="s">
        <v>10</v>
      </c>
      <c r="C1673" t="s">
        <v>55</v>
      </c>
      <c r="D1673">
        <v>20910</v>
      </c>
      <c r="E1673" s="2">
        <v>4511.9799999999996</v>
      </c>
    </row>
    <row r="1674" spans="1:5" ht="15" x14ac:dyDescent="0.2">
      <c r="A1674" s="1" t="s">
        <v>68</v>
      </c>
      <c r="B1674" t="s">
        <v>6</v>
      </c>
      <c r="C1674" t="s">
        <v>55</v>
      </c>
      <c r="D1674">
        <v>20910</v>
      </c>
      <c r="E1674" s="2">
        <v>1490865.18</v>
      </c>
    </row>
    <row r="1675" spans="1:5" ht="15" x14ac:dyDescent="0.2">
      <c r="A1675" s="1" t="s">
        <v>102</v>
      </c>
      <c r="B1675" t="s">
        <v>36</v>
      </c>
      <c r="C1675" t="s">
        <v>55</v>
      </c>
      <c r="D1675">
        <v>20910</v>
      </c>
      <c r="E1675" s="2">
        <v>7145644.1299999999</v>
      </c>
    </row>
    <row r="1676" spans="1:5" ht="15" x14ac:dyDescent="0.2">
      <c r="A1676" s="1" t="s">
        <v>73</v>
      </c>
      <c r="B1676" t="s">
        <v>17</v>
      </c>
      <c r="C1676" t="s">
        <v>55</v>
      </c>
      <c r="D1676">
        <v>20910</v>
      </c>
      <c r="E1676" s="2">
        <v>1100306.1399999999</v>
      </c>
    </row>
    <row r="1677" spans="1:5" ht="15" x14ac:dyDescent="0.2">
      <c r="A1677" s="1" t="s">
        <v>90</v>
      </c>
      <c r="B1677" t="s">
        <v>29</v>
      </c>
      <c r="C1677" t="s">
        <v>55</v>
      </c>
      <c r="D1677">
        <v>24014</v>
      </c>
      <c r="E1677" s="2">
        <v>1180.8900000000001</v>
      </c>
    </row>
    <row r="1678" spans="1:5" ht="15" x14ac:dyDescent="0.2">
      <c r="A1678" s="1" t="s">
        <v>100</v>
      </c>
      <c r="B1678" t="s">
        <v>43</v>
      </c>
      <c r="C1678" t="s">
        <v>55</v>
      </c>
      <c r="D1678">
        <v>24014</v>
      </c>
      <c r="E1678" s="2">
        <v>5991944.25</v>
      </c>
    </row>
    <row r="1679" spans="1:5" ht="15" x14ac:dyDescent="0.2">
      <c r="A1679" s="1" t="s">
        <v>75</v>
      </c>
      <c r="B1679" t="s">
        <v>19</v>
      </c>
      <c r="C1679" t="s">
        <v>55</v>
      </c>
      <c r="D1679">
        <v>24014</v>
      </c>
      <c r="E1679" s="2">
        <v>10261499.279999999</v>
      </c>
    </row>
    <row r="1680" spans="1:5" ht="15" x14ac:dyDescent="0.2">
      <c r="A1680" s="1" t="s">
        <v>104</v>
      </c>
      <c r="B1680" t="s">
        <v>40</v>
      </c>
      <c r="C1680" t="s">
        <v>55</v>
      </c>
      <c r="D1680">
        <v>24014</v>
      </c>
      <c r="E1680" s="2">
        <v>9425941.5700000003</v>
      </c>
    </row>
    <row r="1681" spans="1:5" ht="15" x14ac:dyDescent="0.2">
      <c r="A1681" s="1" t="s">
        <v>82</v>
      </c>
      <c r="B1681" t="s">
        <v>15</v>
      </c>
      <c r="C1681" t="s">
        <v>55</v>
      </c>
      <c r="D1681">
        <v>24014</v>
      </c>
      <c r="E1681" s="2">
        <v>11213447.68</v>
      </c>
    </row>
    <row r="1682" spans="1:5" ht="15" x14ac:dyDescent="0.2">
      <c r="A1682" s="1" t="s">
        <v>66</v>
      </c>
      <c r="B1682" t="s">
        <v>47</v>
      </c>
      <c r="C1682" t="s">
        <v>55</v>
      </c>
      <c r="D1682">
        <v>28350</v>
      </c>
      <c r="E1682" s="2">
        <v>1864219.33</v>
      </c>
    </row>
    <row r="1683" spans="1:5" ht="15" x14ac:dyDescent="0.2">
      <c r="A1683" s="1" t="s">
        <v>85</v>
      </c>
      <c r="B1683" t="s">
        <v>24</v>
      </c>
      <c r="C1683" t="s">
        <v>55</v>
      </c>
      <c r="D1683">
        <v>28350</v>
      </c>
      <c r="E1683" s="2">
        <v>18834304.800000001</v>
      </c>
    </row>
    <row r="1684" spans="1:5" ht="15" x14ac:dyDescent="0.2">
      <c r="A1684" s="1" t="s">
        <v>74</v>
      </c>
      <c r="B1684" t="s">
        <v>11</v>
      </c>
      <c r="C1684" t="s">
        <v>55</v>
      </c>
      <c r="D1684">
        <v>28350</v>
      </c>
      <c r="E1684" s="2">
        <v>815468.65</v>
      </c>
    </row>
    <row r="1685" spans="1:5" ht="15" x14ac:dyDescent="0.2">
      <c r="A1685" s="1" t="s">
        <v>81</v>
      </c>
      <c r="B1685" t="s">
        <v>14</v>
      </c>
      <c r="C1685" t="s">
        <v>55</v>
      </c>
      <c r="D1685">
        <v>28350</v>
      </c>
      <c r="E1685" s="2">
        <v>667.34</v>
      </c>
    </row>
    <row r="1686" spans="1:5" ht="15" x14ac:dyDescent="0.2">
      <c r="A1686" s="1" t="s">
        <v>103</v>
      </c>
      <c r="B1686" t="s">
        <v>37</v>
      </c>
      <c r="C1686" t="s">
        <v>55</v>
      </c>
      <c r="D1686">
        <v>28350</v>
      </c>
      <c r="E1686" s="2">
        <v>6261666.0499999998</v>
      </c>
    </row>
    <row r="1687" spans="1:5" ht="15" x14ac:dyDescent="0.2">
      <c r="A1687" s="1" t="s">
        <v>105</v>
      </c>
      <c r="B1687" t="s">
        <v>41</v>
      </c>
      <c r="C1687" t="s">
        <v>55</v>
      </c>
      <c r="D1687">
        <v>28350</v>
      </c>
      <c r="E1687" s="2">
        <v>4238872.05</v>
      </c>
    </row>
    <row r="1688" spans="1:5" ht="15" x14ac:dyDescent="0.2">
      <c r="A1688" s="1" t="s">
        <v>71</v>
      </c>
      <c r="B1688" t="s">
        <v>9</v>
      </c>
      <c r="C1688" t="s">
        <v>55</v>
      </c>
      <c r="D1688">
        <v>28350</v>
      </c>
      <c r="E1688" s="2">
        <v>18245044.379999999</v>
      </c>
    </row>
    <row r="1689" spans="1:5" ht="15" x14ac:dyDescent="0.2">
      <c r="A1689" s="1" t="s">
        <v>82</v>
      </c>
      <c r="B1689" t="s">
        <v>15</v>
      </c>
      <c r="C1689" t="s">
        <v>55</v>
      </c>
      <c r="D1689">
        <v>28350</v>
      </c>
      <c r="E1689" s="2">
        <v>0.78</v>
      </c>
    </row>
    <row r="1690" spans="1:5" ht="15" x14ac:dyDescent="0.2">
      <c r="A1690" s="1" t="s">
        <v>95</v>
      </c>
      <c r="B1690" t="s">
        <v>38</v>
      </c>
      <c r="C1690" t="s">
        <v>55</v>
      </c>
      <c r="D1690">
        <v>32784</v>
      </c>
      <c r="E1690" s="2">
        <v>365800288.57999998</v>
      </c>
    </row>
    <row r="1691" spans="1:5" ht="15" x14ac:dyDescent="0.2">
      <c r="A1691" s="1" t="s">
        <v>80</v>
      </c>
      <c r="B1691" t="s">
        <v>22</v>
      </c>
      <c r="C1691" t="s">
        <v>55</v>
      </c>
      <c r="D1691">
        <v>32784</v>
      </c>
      <c r="E1691" s="2">
        <v>5129995.62</v>
      </c>
    </row>
    <row r="1692" spans="1:5" ht="15" x14ac:dyDescent="0.2">
      <c r="A1692" s="1" t="s">
        <v>97</v>
      </c>
      <c r="B1692" t="s">
        <v>42</v>
      </c>
      <c r="C1692" t="s">
        <v>55</v>
      </c>
      <c r="D1692">
        <v>32784</v>
      </c>
      <c r="E1692" s="2">
        <v>313.85000000000002</v>
      </c>
    </row>
    <row r="1693" spans="1:5" ht="15" x14ac:dyDescent="0.2">
      <c r="A1693" s="1" t="s">
        <v>77</v>
      </c>
      <c r="B1693" t="s">
        <v>18</v>
      </c>
      <c r="C1693" t="s">
        <v>55</v>
      </c>
      <c r="D1693">
        <v>32784</v>
      </c>
      <c r="E1693" s="2">
        <v>24481267.48</v>
      </c>
    </row>
    <row r="1694" spans="1:5" ht="15" x14ac:dyDescent="0.2">
      <c r="A1694" s="1" t="s">
        <v>87</v>
      </c>
      <c r="B1694" t="s">
        <v>26</v>
      </c>
      <c r="C1694" t="s">
        <v>55</v>
      </c>
      <c r="D1694">
        <v>32784</v>
      </c>
      <c r="E1694" s="2">
        <v>0.54</v>
      </c>
    </row>
    <row r="1695" spans="1:5" ht="15" x14ac:dyDescent="0.2">
      <c r="A1695" s="1" t="s">
        <v>104</v>
      </c>
      <c r="B1695" t="s">
        <v>40</v>
      </c>
      <c r="C1695" t="s">
        <v>55</v>
      </c>
      <c r="D1695">
        <v>32784</v>
      </c>
      <c r="E1695" s="2">
        <v>11287784.07</v>
      </c>
    </row>
    <row r="1696" spans="1:5" ht="15" x14ac:dyDescent="0.2">
      <c r="A1696" s="1" t="s">
        <v>79</v>
      </c>
      <c r="B1696" t="s">
        <v>21</v>
      </c>
      <c r="C1696" t="s">
        <v>55</v>
      </c>
      <c r="D1696">
        <v>34812</v>
      </c>
      <c r="E1696" s="2">
        <v>14016.12</v>
      </c>
    </row>
    <row r="1697" spans="1:5" ht="15" x14ac:dyDescent="0.2">
      <c r="A1697" s="1" t="s">
        <v>84</v>
      </c>
      <c r="B1697" t="s">
        <v>16</v>
      </c>
      <c r="C1697" t="s">
        <v>55</v>
      </c>
      <c r="D1697">
        <v>34812</v>
      </c>
      <c r="E1697" s="2">
        <v>679.21</v>
      </c>
    </row>
    <row r="1698" spans="1:5" ht="15" x14ac:dyDescent="0.2">
      <c r="A1698" s="1" t="s">
        <v>98</v>
      </c>
      <c r="B1698" t="s">
        <v>34</v>
      </c>
      <c r="C1698" t="s">
        <v>55</v>
      </c>
      <c r="D1698">
        <v>34812</v>
      </c>
      <c r="E1698" s="2">
        <v>11764.54</v>
      </c>
    </row>
    <row r="1699" spans="1:5" ht="15" x14ac:dyDescent="0.2">
      <c r="A1699" s="1" t="s">
        <v>78</v>
      </c>
      <c r="B1699" t="s">
        <v>20</v>
      </c>
      <c r="C1699" t="s">
        <v>55</v>
      </c>
      <c r="D1699">
        <v>34812</v>
      </c>
      <c r="E1699" s="2">
        <v>2781399.24</v>
      </c>
    </row>
    <row r="1700" spans="1:5" ht="15" x14ac:dyDescent="0.2">
      <c r="A1700" s="1" t="s">
        <v>88</v>
      </c>
      <c r="B1700" t="s">
        <v>27</v>
      </c>
      <c r="C1700" t="s">
        <v>55</v>
      </c>
      <c r="D1700">
        <v>34812</v>
      </c>
      <c r="E1700" s="2">
        <v>7965749.6600000001</v>
      </c>
    </row>
    <row r="1701" spans="1:5" ht="15" x14ac:dyDescent="0.2">
      <c r="A1701" s="1" t="s">
        <v>102</v>
      </c>
      <c r="B1701" t="s">
        <v>36</v>
      </c>
      <c r="C1701" t="s">
        <v>55</v>
      </c>
      <c r="D1701">
        <v>34812</v>
      </c>
      <c r="E1701" s="2">
        <v>9716.01</v>
      </c>
    </row>
    <row r="1702" spans="1:5" ht="15" x14ac:dyDescent="0.2">
      <c r="A1702" s="1" t="s">
        <v>104</v>
      </c>
      <c r="B1702" t="s">
        <v>40</v>
      </c>
      <c r="C1702" t="s">
        <v>55</v>
      </c>
      <c r="D1702">
        <v>34812</v>
      </c>
      <c r="E1702" s="2">
        <v>7070118.9000000004</v>
      </c>
    </row>
    <row r="1703" spans="1:5" ht="15" x14ac:dyDescent="0.2">
      <c r="A1703" s="1" t="s">
        <v>66</v>
      </c>
      <c r="B1703" t="s">
        <v>47</v>
      </c>
      <c r="C1703" t="s">
        <v>55</v>
      </c>
      <c r="D1703">
        <v>36135</v>
      </c>
      <c r="E1703" s="2">
        <v>1324851.42</v>
      </c>
    </row>
    <row r="1704" spans="1:5" ht="15" x14ac:dyDescent="0.2">
      <c r="A1704" s="1" t="s">
        <v>92</v>
      </c>
      <c r="B1704" t="s">
        <v>31</v>
      </c>
      <c r="C1704" t="s">
        <v>55</v>
      </c>
      <c r="D1704">
        <v>36135</v>
      </c>
      <c r="E1704" s="2">
        <v>21986836.859999999</v>
      </c>
    </row>
    <row r="1705" spans="1:5" ht="15" x14ac:dyDescent="0.2">
      <c r="A1705" s="1" t="s">
        <v>94</v>
      </c>
      <c r="B1705" t="s">
        <v>33</v>
      </c>
      <c r="C1705" t="s">
        <v>55</v>
      </c>
      <c r="D1705">
        <v>36135</v>
      </c>
      <c r="E1705" s="2">
        <v>39191433.969999999</v>
      </c>
    </row>
    <row r="1706" spans="1:5" ht="15" x14ac:dyDescent="0.2">
      <c r="A1706" s="1" t="s">
        <v>64</v>
      </c>
      <c r="B1706" t="s">
        <v>3</v>
      </c>
      <c r="C1706" t="s">
        <v>55</v>
      </c>
      <c r="D1706">
        <v>36135</v>
      </c>
      <c r="E1706" s="2">
        <v>12416815.539999999</v>
      </c>
    </row>
    <row r="1707" spans="1:5" ht="15" x14ac:dyDescent="0.2">
      <c r="A1707" s="1" t="s">
        <v>85</v>
      </c>
      <c r="B1707" t="s">
        <v>24</v>
      </c>
      <c r="C1707" t="s">
        <v>55</v>
      </c>
      <c r="D1707">
        <v>36135</v>
      </c>
      <c r="E1707" s="2">
        <v>23802325.949999999</v>
      </c>
    </row>
    <row r="1708" spans="1:5" ht="15" x14ac:dyDescent="0.2">
      <c r="A1708" s="1" t="s">
        <v>103</v>
      </c>
      <c r="B1708" t="s">
        <v>37</v>
      </c>
      <c r="C1708" t="s">
        <v>55</v>
      </c>
      <c r="D1708">
        <v>36135</v>
      </c>
      <c r="E1708" s="2">
        <v>1697.55</v>
      </c>
    </row>
    <row r="1709" spans="1:5" ht="15" x14ac:dyDescent="0.2">
      <c r="A1709" s="1" t="s">
        <v>66</v>
      </c>
      <c r="B1709" t="s">
        <v>47</v>
      </c>
      <c r="C1709" t="s">
        <v>55</v>
      </c>
      <c r="D1709">
        <v>39706</v>
      </c>
      <c r="E1709" s="2">
        <v>3275002.84</v>
      </c>
    </row>
    <row r="1710" spans="1:5" ht="15" x14ac:dyDescent="0.2">
      <c r="A1710" s="1" t="s">
        <v>92</v>
      </c>
      <c r="B1710" t="s">
        <v>31</v>
      </c>
      <c r="C1710" t="s">
        <v>55</v>
      </c>
      <c r="D1710">
        <v>39706</v>
      </c>
      <c r="E1710" s="2">
        <v>25332960.18</v>
      </c>
    </row>
    <row r="1711" spans="1:5" ht="15" x14ac:dyDescent="0.2">
      <c r="A1711" s="1" t="s">
        <v>93</v>
      </c>
      <c r="B1711" t="s">
        <v>32</v>
      </c>
      <c r="C1711" t="s">
        <v>55</v>
      </c>
      <c r="D1711">
        <v>39706</v>
      </c>
      <c r="E1711" s="2">
        <v>132164834.54000001</v>
      </c>
    </row>
    <row r="1712" spans="1:5" ht="15" x14ac:dyDescent="0.2">
      <c r="A1712" s="1" t="s">
        <v>77</v>
      </c>
      <c r="B1712" t="s">
        <v>18</v>
      </c>
      <c r="C1712" t="s">
        <v>55</v>
      </c>
      <c r="D1712">
        <v>39706</v>
      </c>
      <c r="E1712" s="2">
        <v>13894605.890000001</v>
      </c>
    </row>
    <row r="1713" spans="1:5" ht="15" x14ac:dyDescent="0.2">
      <c r="A1713" s="1" t="s">
        <v>70</v>
      </c>
      <c r="B1713" t="s">
        <v>8</v>
      </c>
      <c r="C1713" t="s">
        <v>55</v>
      </c>
      <c r="D1713">
        <v>39706</v>
      </c>
      <c r="E1713" s="2">
        <v>9439.39</v>
      </c>
    </row>
    <row r="1714" spans="1:5" ht="15" x14ac:dyDescent="0.2">
      <c r="A1714" s="1" t="s">
        <v>71</v>
      </c>
      <c r="B1714" t="s">
        <v>9</v>
      </c>
      <c r="C1714" t="s">
        <v>55</v>
      </c>
      <c r="D1714">
        <v>39706</v>
      </c>
      <c r="E1714" s="2">
        <v>11155.66</v>
      </c>
    </row>
    <row r="1715" spans="1:5" ht="15" x14ac:dyDescent="0.2">
      <c r="A1715" s="1" t="s">
        <v>86</v>
      </c>
      <c r="B1715" t="s">
        <v>25</v>
      </c>
      <c r="C1715" t="s">
        <v>55</v>
      </c>
      <c r="D1715">
        <v>41143</v>
      </c>
      <c r="E1715" s="2">
        <v>11056696.98</v>
      </c>
    </row>
    <row r="1716" spans="1:5" ht="15" x14ac:dyDescent="0.2">
      <c r="A1716" s="1" t="s">
        <v>98</v>
      </c>
      <c r="B1716" t="s">
        <v>34</v>
      </c>
      <c r="C1716" t="s">
        <v>55</v>
      </c>
      <c r="D1716">
        <v>41143</v>
      </c>
      <c r="E1716" s="2">
        <v>45597894.18</v>
      </c>
    </row>
    <row r="1717" spans="1:5" ht="15" x14ac:dyDescent="0.2">
      <c r="A1717" s="1" t="s">
        <v>81</v>
      </c>
      <c r="B1717" t="s">
        <v>14</v>
      </c>
      <c r="C1717" t="s">
        <v>55</v>
      </c>
      <c r="D1717">
        <v>41143</v>
      </c>
      <c r="E1717" s="2">
        <v>14251496.1</v>
      </c>
    </row>
    <row r="1718" spans="1:5" ht="15" x14ac:dyDescent="0.2">
      <c r="A1718" s="1" t="s">
        <v>87</v>
      </c>
      <c r="B1718" t="s">
        <v>26</v>
      </c>
      <c r="C1718" t="s">
        <v>55</v>
      </c>
      <c r="D1718">
        <v>41143</v>
      </c>
      <c r="E1718" s="2">
        <v>1.1599999999999999</v>
      </c>
    </row>
    <row r="1719" spans="1:5" ht="15" x14ac:dyDescent="0.2">
      <c r="A1719" s="1" t="s">
        <v>73</v>
      </c>
      <c r="B1719" t="s">
        <v>17</v>
      </c>
      <c r="C1719" t="s">
        <v>55</v>
      </c>
      <c r="D1719">
        <v>41143</v>
      </c>
      <c r="E1719" s="2">
        <v>2612098.02</v>
      </c>
    </row>
    <row r="1720" spans="1:5" ht="15" x14ac:dyDescent="0.2">
      <c r="A1720" s="1" t="s">
        <v>104</v>
      </c>
      <c r="B1720" t="s">
        <v>40</v>
      </c>
      <c r="C1720" t="s">
        <v>55</v>
      </c>
      <c r="D1720">
        <v>41143</v>
      </c>
      <c r="E1720" s="2">
        <v>15549190.710000001</v>
      </c>
    </row>
    <row r="1721" spans="1:5" ht="15" x14ac:dyDescent="0.2">
      <c r="A1721" s="1" t="s">
        <v>67</v>
      </c>
      <c r="B1721" t="s">
        <v>5</v>
      </c>
      <c r="C1721" t="s">
        <v>55</v>
      </c>
      <c r="D1721">
        <v>45792</v>
      </c>
      <c r="E1721" s="2">
        <v>-5072335.12</v>
      </c>
    </row>
    <row r="1722" spans="1:5" ht="15" x14ac:dyDescent="0.2">
      <c r="A1722" s="1" t="s">
        <v>79</v>
      </c>
      <c r="B1722" t="s">
        <v>21</v>
      </c>
      <c r="C1722" t="s">
        <v>55</v>
      </c>
      <c r="D1722">
        <v>45792</v>
      </c>
      <c r="E1722" s="2">
        <v>3946199.65</v>
      </c>
    </row>
    <row r="1723" spans="1:5" ht="15" x14ac:dyDescent="0.2">
      <c r="A1723" s="1" t="s">
        <v>85</v>
      </c>
      <c r="B1723" t="s">
        <v>24</v>
      </c>
      <c r="C1723" t="s">
        <v>55</v>
      </c>
      <c r="D1723">
        <v>45792</v>
      </c>
      <c r="E1723" s="2">
        <v>9358311.9499999993</v>
      </c>
    </row>
    <row r="1724" spans="1:5" ht="15" x14ac:dyDescent="0.2">
      <c r="A1724" s="1" t="s">
        <v>95</v>
      </c>
      <c r="B1724" t="s">
        <v>38</v>
      </c>
      <c r="C1724" t="s">
        <v>55</v>
      </c>
      <c r="D1724">
        <v>45792</v>
      </c>
      <c r="E1724" s="2">
        <v>180577015.55000001</v>
      </c>
    </row>
    <row r="1725" spans="1:5" ht="15" x14ac:dyDescent="0.2">
      <c r="A1725" s="1" t="s">
        <v>98</v>
      </c>
      <c r="B1725" t="s">
        <v>34</v>
      </c>
      <c r="C1725" t="s">
        <v>55</v>
      </c>
      <c r="D1725">
        <v>45792</v>
      </c>
      <c r="E1725" s="2">
        <v>33829181.799999997</v>
      </c>
    </row>
    <row r="1726" spans="1:5" ht="15" x14ac:dyDescent="0.2">
      <c r="A1726" s="1" t="s">
        <v>99</v>
      </c>
      <c r="B1726" t="s">
        <v>35</v>
      </c>
      <c r="C1726" t="s">
        <v>55</v>
      </c>
      <c r="D1726">
        <v>45792</v>
      </c>
      <c r="E1726" s="2">
        <v>3048879.05</v>
      </c>
    </row>
    <row r="1727" spans="1:5" ht="15" x14ac:dyDescent="0.2">
      <c r="A1727" s="1" t="s">
        <v>68</v>
      </c>
      <c r="B1727" t="s">
        <v>6</v>
      </c>
      <c r="C1727" t="s">
        <v>55</v>
      </c>
      <c r="D1727">
        <v>45792</v>
      </c>
      <c r="E1727" s="2">
        <v>11009935.75</v>
      </c>
    </row>
    <row r="1728" spans="1:5" ht="15" x14ac:dyDescent="0.2">
      <c r="A1728" s="1" t="s">
        <v>100</v>
      </c>
      <c r="B1728" t="s">
        <v>43</v>
      </c>
      <c r="C1728" t="s">
        <v>55</v>
      </c>
      <c r="D1728">
        <v>45792</v>
      </c>
      <c r="E1728" s="2">
        <v>5083049.5</v>
      </c>
    </row>
    <row r="1729" spans="1:5" ht="15" x14ac:dyDescent="0.2">
      <c r="A1729" s="1" t="s">
        <v>81</v>
      </c>
      <c r="B1729" t="s">
        <v>14</v>
      </c>
      <c r="C1729" t="s">
        <v>55</v>
      </c>
      <c r="D1729">
        <v>45792</v>
      </c>
      <c r="E1729" s="2">
        <v>4073685.33</v>
      </c>
    </row>
    <row r="1730" spans="1:5" ht="15" x14ac:dyDescent="0.2">
      <c r="A1730" s="1" t="s">
        <v>78</v>
      </c>
      <c r="B1730" t="s">
        <v>20</v>
      </c>
      <c r="C1730" t="s">
        <v>55</v>
      </c>
      <c r="D1730">
        <v>45792</v>
      </c>
      <c r="E1730" s="2">
        <v>4101700.42</v>
      </c>
    </row>
    <row r="1731" spans="1:5" ht="15" x14ac:dyDescent="0.2">
      <c r="A1731" s="1" t="s">
        <v>88</v>
      </c>
      <c r="B1731" t="s">
        <v>27</v>
      </c>
      <c r="C1731" t="s">
        <v>55</v>
      </c>
      <c r="D1731">
        <v>45792</v>
      </c>
      <c r="E1731" s="2">
        <v>8280513.2300000004</v>
      </c>
    </row>
    <row r="1732" spans="1:5" ht="15" x14ac:dyDescent="0.2">
      <c r="A1732" s="1" t="s">
        <v>104</v>
      </c>
      <c r="B1732" t="s">
        <v>40</v>
      </c>
      <c r="C1732" t="s">
        <v>55</v>
      </c>
      <c r="D1732">
        <v>45792</v>
      </c>
      <c r="E1732" s="2">
        <v>11310880.460000001</v>
      </c>
    </row>
    <row r="1733" spans="1:5" ht="15" x14ac:dyDescent="0.2">
      <c r="A1733" s="1" t="s">
        <v>71</v>
      </c>
      <c r="B1733" t="s">
        <v>9</v>
      </c>
      <c r="C1733" t="s">
        <v>55</v>
      </c>
      <c r="D1733">
        <v>45792</v>
      </c>
      <c r="E1733" s="2">
        <v>5279154.16</v>
      </c>
    </row>
    <row r="1734" spans="1:5" ht="15" x14ac:dyDescent="0.2">
      <c r="A1734" s="1" t="s">
        <v>64</v>
      </c>
      <c r="B1734" t="s">
        <v>3</v>
      </c>
      <c r="C1734" t="s">
        <v>55</v>
      </c>
      <c r="D1734">
        <v>47729</v>
      </c>
      <c r="E1734" s="2">
        <v>11830641.15</v>
      </c>
    </row>
    <row r="1735" spans="1:5" ht="15" x14ac:dyDescent="0.2">
      <c r="A1735" s="1" t="s">
        <v>85</v>
      </c>
      <c r="B1735" t="s">
        <v>24</v>
      </c>
      <c r="C1735" t="s">
        <v>55</v>
      </c>
      <c r="D1735">
        <v>47729</v>
      </c>
      <c r="E1735" s="2">
        <v>33205444.82</v>
      </c>
    </row>
    <row r="1736" spans="1:5" ht="15" x14ac:dyDescent="0.2">
      <c r="A1736" s="1" t="s">
        <v>92</v>
      </c>
      <c r="B1736" t="s">
        <v>31</v>
      </c>
      <c r="C1736" t="s">
        <v>55</v>
      </c>
      <c r="D1736">
        <v>51003</v>
      </c>
      <c r="E1736" s="2">
        <v>5764.51</v>
      </c>
    </row>
    <row r="1737" spans="1:5" ht="15" x14ac:dyDescent="0.2">
      <c r="A1737" s="1" t="s">
        <v>64</v>
      </c>
      <c r="B1737" t="s">
        <v>3</v>
      </c>
      <c r="C1737" t="s">
        <v>55</v>
      </c>
      <c r="D1737">
        <v>51003</v>
      </c>
      <c r="E1737" s="2">
        <v>29110042.059999999</v>
      </c>
    </row>
    <row r="1738" spans="1:5" ht="15" x14ac:dyDescent="0.2">
      <c r="A1738" s="1" t="s">
        <v>84</v>
      </c>
      <c r="B1738" t="s">
        <v>16</v>
      </c>
      <c r="C1738" t="s">
        <v>55</v>
      </c>
      <c r="D1738">
        <v>51003</v>
      </c>
      <c r="E1738" s="2">
        <v>5636327.6699999999</v>
      </c>
    </row>
    <row r="1739" spans="1:5" ht="15" x14ac:dyDescent="0.2">
      <c r="A1739" s="1" t="s">
        <v>80</v>
      </c>
      <c r="B1739" t="s">
        <v>22</v>
      </c>
      <c r="C1739" t="s">
        <v>55</v>
      </c>
      <c r="D1739">
        <v>51003</v>
      </c>
      <c r="E1739" s="2">
        <v>3466116.43</v>
      </c>
    </row>
    <row r="1740" spans="1:5" ht="15" x14ac:dyDescent="0.2">
      <c r="A1740" s="1" t="s">
        <v>103</v>
      </c>
      <c r="B1740" t="s">
        <v>37</v>
      </c>
      <c r="C1740" t="s">
        <v>55</v>
      </c>
      <c r="D1740">
        <v>51003</v>
      </c>
      <c r="E1740" s="2">
        <v>5378164.04</v>
      </c>
    </row>
    <row r="1741" spans="1:5" ht="15" x14ac:dyDescent="0.2">
      <c r="A1741" s="1" t="s">
        <v>65</v>
      </c>
      <c r="B1741" t="s">
        <v>4</v>
      </c>
      <c r="C1741" t="s">
        <v>55</v>
      </c>
      <c r="D1741">
        <v>51003</v>
      </c>
      <c r="E1741" s="2">
        <v>4432387.58</v>
      </c>
    </row>
    <row r="1742" spans="1:5" ht="15" x14ac:dyDescent="0.2">
      <c r="A1742" s="1" t="s">
        <v>104</v>
      </c>
      <c r="B1742" t="s">
        <v>40</v>
      </c>
      <c r="C1742" t="s">
        <v>55</v>
      </c>
      <c r="D1742">
        <v>51003</v>
      </c>
      <c r="E1742" s="2">
        <v>17682180.77</v>
      </c>
    </row>
    <row r="1743" spans="1:5" ht="15" x14ac:dyDescent="0.2">
      <c r="A1743" s="1" t="s">
        <v>105</v>
      </c>
      <c r="B1743" t="s">
        <v>41</v>
      </c>
      <c r="C1743" t="s">
        <v>55</v>
      </c>
      <c r="D1743">
        <v>51003</v>
      </c>
      <c r="E1743" s="2">
        <v>3870593.72</v>
      </c>
    </row>
    <row r="1744" spans="1:5" ht="15" x14ac:dyDescent="0.2">
      <c r="A1744" s="1" t="s">
        <v>66</v>
      </c>
      <c r="B1744" t="s">
        <v>47</v>
      </c>
      <c r="C1744" t="s">
        <v>55</v>
      </c>
      <c r="D1744">
        <v>53681</v>
      </c>
      <c r="E1744" s="2">
        <v>2105588.0099999998</v>
      </c>
    </row>
    <row r="1745" spans="1:5" ht="15" x14ac:dyDescent="0.2">
      <c r="A1745" s="1" t="s">
        <v>86</v>
      </c>
      <c r="B1745" t="s">
        <v>25</v>
      </c>
      <c r="C1745" t="s">
        <v>55</v>
      </c>
      <c r="D1745">
        <v>53681</v>
      </c>
      <c r="E1745" s="2">
        <v>4911813.8499999996</v>
      </c>
    </row>
    <row r="1746" spans="1:5" ht="15" x14ac:dyDescent="0.2">
      <c r="A1746" s="1" t="s">
        <v>79</v>
      </c>
      <c r="B1746" t="s">
        <v>21</v>
      </c>
      <c r="C1746" t="s">
        <v>55</v>
      </c>
      <c r="D1746">
        <v>53681</v>
      </c>
      <c r="E1746" s="2">
        <v>8275347.1299999999</v>
      </c>
    </row>
    <row r="1747" spans="1:5" ht="15" x14ac:dyDescent="0.2">
      <c r="A1747" s="1" t="s">
        <v>92</v>
      </c>
      <c r="B1747" t="s">
        <v>31</v>
      </c>
      <c r="C1747" t="s">
        <v>55</v>
      </c>
      <c r="D1747">
        <v>53681</v>
      </c>
      <c r="E1747" s="2">
        <v>10593654.140000001</v>
      </c>
    </row>
    <row r="1748" spans="1:5" ht="15" x14ac:dyDescent="0.2">
      <c r="A1748" s="1" t="s">
        <v>94</v>
      </c>
      <c r="B1748" t="s">
        <v>33</v>
      </c>
      <c r="C1748" t="s">
        <v>55</v>
      </c>
      <c r="D1748">
        <v>53681</v>
      </c>
      <c r="E1748" s="2">
        <v>3424.44</v>
      </c>
    </row>
    <row r="1749" spans="1:5" ht="15" x14ac:dyDescent="0.2">
      <c r="A1749" s="1" t="s">
        <v>98</v>
      </c>
      <c r="B1749" t="s">
        <v>34</v>
      </c>
      <c r="C1749" t="s">
        <v>55</v>
      </c>
      <c r="D1749">
        <v>53681</v>
      </c>
      <c r="E1749" s="2">
        <v>0.22</v>
      </c>
    </row>
    <row r="1750" spans="1:5" ht="15" x14ac:dyDescent="0.2">
      <c r="A1750" s="1" t="s">
        <v>68</v>
      </c>
      <c r="B1750" t="s">
        <v>6</v>
      </c>
      <c r="C1750" t="s">
        <v>55</v>
      </c>
      <c r="D1750">
        <v>53681</v>
      </c>
      <c r="E1750" s="2">
        <v>6185597.0999999996</v>
      </c>
    </row>
    <row r="1751" spans="1:5" ht="15" x14ac:dyDescent="0.2">
      <c r="A1751" s="1" t="s">
        <v>81</v>
      </c>
      <c r="B1751" t="s">
        <v>14</v>
      </c>
      <c r="C1751" t="s">
        <v>55</v>
      </c>
      <c r="D1751">
        <v>53681</v>
      </c>
      <c r="E1751" s="2">
        <v>8728.7800000000007</v>
      </c>
    </row>
    <row r="1752" spans="1:5" ht="15" x14ac:dyDescent="0.2">
      <c r="A1752" s="1" t="s">
        <v>102</v>
      </c>
      <c r="B1752" t="s">
        <v>36</v>
      </c>
      <c r="C1752" t="s">
        <v>55</v>
      </c>
      <c r="D1752">
        <v>53681</v>
      </c>
      <c r="E1752" s="2">
        <v>3495670.73</v>
      </c>
    </row>
    <row r="1753" spans="1:5" ht="15" x14ac:dyDescent="0.2">
      <c r="A1753" s="1" t="s">
        <v>70</v>
      </c>
      <c r="B1753" t="s">
        <v>8</v>
      </c>
      <c r="C1753" t="s">
        <v>55</v>
      </c>
      <c r="D1753">
        <v>53681</v>
      </c>
      <c r="E1753" s="2">
        <v>42519017.43</v>
      </c>
    </row>
    <row r="1754" spans="1:5" ht="15" x14ac:dyDescent="0.2">
      <c r="A1754" s="1" t="s">
        <v>66</v>
      </c>
      <c r="B1754" t="s">
        <v>47</v>
      </c>
      <c r="C1754" t="s">
        <v>55</v>
      </c>
      <c r="D1754">
        <v>53789</v>
      </c>
      <c r="E1754" s="2">
        <v>579.25</v>
      </c>
    </row>
    <row r="1755" spans="1:5" ht="15" x14ac:dyDescent="0.2">
      <c r="A1755" s="1" t="s">
        <v>86</v>
      </c>
      <c r="B1755" t="s">
        <v>25</v>
      </c>
      <c r="C1755" t="s">
        <v>55</v>
      </c>
      <c r="D1755">
        <v>53789</v>
      </c>
      <c r="E1755" s="2">
        <v>11603065.880000001</v>
      </c>
    </row>
    <row r="1756" spans="1:5" ht="15" x14ac:dyDescent="0.2">
      <c r="A1756" s="1" t="s">
        <v>79</v>
      </c>
      <c r="B1756" t="s">
        <v>21</v>
      </c>
      <c r="C1756" t="s">
        <v>55</v>
      </c>
      <c r="D1756">
        <v>53789</v>
      </c>
      <c r="E1756" s="2">
        <v>4862452.0199999996</v>
      </c>
    </row>
    <row r="1757" spans="1:5" ht="15" x14ac:dyDescent="0.2">
      <c r="A1757" s="1" t="s">
        <v>90</v>
      </c>
      <c r="B1757" t="s">
        <v>29</v>
      </c>
      <c r="C1757" t="s">
        <v>55</v>
      </c>
      <c r="D1757">
        <v>53789</v>
      </c>
      <c r="E1757" s="2">
        <v>15826409.32</v>
      </c>
    </row>
    <row r="1758" spans="1:5" ht="15" x14ac:dyDescent="0.2">
      <c r="A1758" s="1" t="s">
        <v>75</v>
      </c>
      <c r="B1758" t="s">
        <v>12</v>
      </c>
      <c r="C1758" t="s">
        <v>55</v>
      </c>
      <c r="D1758">
        <v>53789</v>
      </c>
      <c r="E1758" s="2">
        <v>401.7</v>
      </c>
    </row>
    <row r="1759" spans="1:5" ht="15" x14ac:dyDescent="0.2">
      <c r="A1759" s="1" t="s">
        <v>75</v>
      </c>
      <c r="B1759" t="s">
        <v>19</v>
      </c>
      <c r="C1759" t="s">
        <v>55</v>
      </c>
      <c r="D1759">
        <v>53789</v>
      </c>
      <c r="E1759" s="2">
        <v>6559444.1900000004</v>
      </c>
    </row>
    <row r="1760" spans="1:5" ht="15" x14ac:dyDescent="0.2">
      <c r="A1760" s="1" t="s">
        <v>69</v>
      </c>
      <c r="B1760" t="s">
        <v>7</v>
      </c>
      <c r="C1760" t="s">
        <v>55</v>
      </c>
      <c r="D1760">
        <v>53789</v>
      </c>
      <c r="E1760" s="2">
        <v>27381209.710000001</v>
      </c>
    </row>
    <row r="1761" spans="1:5" ht="15" x14ac:dyDescent="0.2">
      <c r="A1761" s="1" t="s">
        <v>82</v>
      </c>
      <c r="B1761" t="s">
        <v>15</v>
      </c>
      <c r="C1761" t="s">
        <v>55</v>
      </c>
      <c r="D1761">
        <v>53789</v>
      </c>
      <c r="E1761" s="2">
        <v>3996017.98</v>
      </c>
    </row>
    <row r="1762" spans="1:5" ht="15" x14ac:dyDescent="0.2">
      <c r="A1762" s="1" t="s">
        <v>79</v>
      </c>
      <c r="B1762" t="s">
        <v>21</v>
      </c>
      <c r="C1762" t="s">
        <v>55</v>
      </c>
      <c r="D1762">
        <v>56933</v>
      </c>
      <c r="E1762" s="2">
        <v>12088.94</v>
      </c>
    </row>
    <row r="1763" spans="1:5" ht="15" x14ac:dyDescent="0.2">
      <c r="A1763" s="1" t="s">
        <v>90</v>
      </c>
      <c r="B1763" t="s">
        <v>29</v>
      </c>
      <c r="C1763" t="s">
        <v>55</v>
      </c>
      <c r="D1763">
        <v>56933</v>
      </c>
      <c r="E1763" s="2">
        <v>17847351.699999999</v>
      </c>
    </row>
    <row r="1764" spans="1:5" ht="15" x14ac:dyDescent="0.2">
      <c r="A1764" s="1" t="s">
        <v>94</v>
      </c>
      <c r="B1764" t="s">
        <v>33</v>
      </c>
      <c r="C1764" t="s">
        <v>55</v>
      </c>
      <c r="D1764">
        <v>56933</v>
      </c>
      <c r="E1764" s="2">
        <v>7831447.7400000002</v>
      </c>
    </row>
    <row r="1765" spans="1:5" ht="15" x14ac:dyDescent="0.2">
      <c r="A1765" s="1" t="s">
        <v>68</v>
      </c>
      <c r="B1765" t="s">
        <v>6</v>
      </c>
      <c r="C1765" t="s">
        <v>55</v>
      </c>
      <c r="D1765">
        <v>56933</v>
      </c>
      <c r="E1765" s="2">
        <v>2139821.36</v>
      </c>
    </row>
    <row r="1766" spans="1:5" ht="15" x14ac:dyDescent="0.2">
      <c r="A1766" s="1" t="s">
        <v>75</v>
      </c>
      <c r="B1766" t="s">
        <v>19</v>
      </c>
      <c r="C1766" t="s">
        <v>55</v>
      </c>
      <c r="D1766">
        <v>56933</v>
      </c>
      <c r="E1766" s="2">
        <v>12895680.859999999</v>
      </c>
    </row>
    <row r="1767" spans="1:5" ht="15" x14ac:dyDescent="0.2">
      <c r="A1767" s="1" t="s">
        <v>67</v>
      </c>
      <c r="B1767" t="s">
        <v>5</v>
      </c>
      <c r="C1767" t="s">
        <v>55</v>
      </c>
      <c r="D1767">
        <v>57593</v>
      </c>
      <c r="E1767" s="2">
        <v>0.25</v>
      </c>
    </row>
    <row r="1768" spans="1:5" ht="15" x14ac:dyDescent="0.2">
      <c r="A1768" s="1" t="s">
        <v>93</v>
      </c>
      <c r="B1768" t="s">
        <v>32</v>
      </c>
      <c r="C1768" t="s">
        <v>55</v>
      </c>
      <c r="D1768">
        <v>57593</v>
      </c>
      <c r="E1768" s="2">
        <v>70845052.040000007</v>
      </c>
    </row>
    <row r="1769" spans="1:5" ht="15" x14ac:dyDescent="0.2">
      <c r="A1769" s="1" t="s">
        <v>80</v>
      </c>
      <c r="B1769" t="s">
        <v>22</v>
      </c>
      <c r="C1769" t="s">
        <v>55</v>
      </c>
      <c r="D1769">
        <v>57593</v>
      </c>
      <c r="E1769" s="2">
        <v>4152753.44</v>
      </c>
    </row>
    <row r="1770" spans="1:5" ht="15" x14ac:dyDescent="0.2">
      <c r="A1770" s="1" t="s">
        <v>74</v>
      </c>
      <c r="B1770" t="s">
        <v>11</v>
      </c>
      <c r="C1770" t="s">
        <v>55</v>
      </c>
      <c r="D1770">
        <v>57593</v>
      </c>
      <c r="E1770" s="2">
        <v>9623.18</v>
      </c>
    </row>
    <row r="1771" spans="1:5" ht="15" x14ac:dyDescent="0.2">
      <c r="A1771" s="1" t="s">
        <v>102</v>
      </c>
      <c r="B1771" t="s">
        <v>36</v>
      </c>
      <c r="C1771" t="s">
        <v>55</v>
      </c>
      <c r="D1771">
        <v>57593</v>
      </c>
      <c r="E1771" s="2">
        <v>3976277.03</v>
      </c>
    </row>
    <row r="1772" spans="1:5" ht="15" x14ac:dyDescent="0.2">
      <c r="A1772" s="1" t="s">
        <v>104</v>
      </c>
      <c r="B1772" t="s">
        <v>40</v>
      </c>
      <c r="C1772" t="s">
        <v>55</v>
      </c>
      <c r="D1772">
        <v>57593</v>
      </c>
      <c r="E1772" s="2">
        <v>16486472.32</v>
      </c>
    </row>
    <row r="1773" spans="1:5" ht="15" x14ac:dyDescent="0.2">
      <c r="A1773" s="1" t="s">
        <v>69</v>
      </c>
      <c r="B1773" t="s">
        <v>7</v>
      </c>
      <c r="C1773" t="s">
        <v>55</v>
      </c>
      <c r="D1773">
        <v>57593</v>
      </c>
      <c r="E1773" s="2">
        <v>14977422.67</v>
      </c>
    </row>
    <row r="1774" spans="1:5" ht="15" x14ac:dyDescent="0.2">
      <c r="A1774" s="1" t="s">
        <v>89</v>
      </c>
      <c r="B1774" t="s">
        <v>28</v>
      </c>
      <c r="C1774" t="s">
        <v>55</v>
      </c>
      <c r="D1774">
        <v>59738</v>
      </c>
      <c r="E1774" s="2">
        <v>2520547.7999999998</v>
      </c>
    </row>
    <row r="1775" spans="1:5" ht="15" x14ac:dyDescent="0.2">
      <c r="A1775" s="1" t="s">
        <v>94</v>
      </c>
      <c r="B1775" t="s">
        <v>33</v>
      </c>
      <c r="C1775" t="s">
        <v>55</v>
      </c>
      <c r="D1775">
        <v>59738</v>
      </c>
      <c r="E1775" s="2">
        <v>59870219.630000003</v>
      </c>
    </row>
    <row r="1776" spans="1:5" ht="15" x14ac:dyDescent="0.2">
      <c r="A1776" s="1" t="s">
        <v>85</v>
      </c>
      <c r="B1776" t="s">
        <v>24</v>
      </c>
      <c r="C1776" t="s">
        <v>55</v>
      </c>
      <c r="D1776">
        <v>59738</v>
      </c>
      <c r="E1776" s="2">
        <v>10342558.859999999</v>
      </c>
    </row>
    <row r="1777" spans="1:5" ht="15" x14ac:dyDescent="0.2">
      <c r="A1777" s="1" t="s">
        <v>84</v>
      </c>
      <c r="B1777" t="s">
        <v>16</v>
      </c>
      <c r="C1777" t="s">
        <v>55</v>
      </c>
      <c r="D1777">
        <v>59738</v>
      </c>
      <c r="E1777" s="2">
        <v>4007731.18</v>
      </c>
    </row>
    <row r="1778" spans="1:5" ht="15" x14ac:dyDescent="0.2">
      <c r="A1778" s="1" t="s">
        <v>75</v>
      </c>
      <c r="B1778" t="s">
        <v>12</v>
      </c>
      <c r="C1778" t="s">
        <v>55</v>
      </c>
      <c r="D1778">
        <v>59738</v>
      </c>
      <c r="E1778" s="2">
        <v>6043873.96</v>
      </c>
    </row>
    <row r="1779" spans="1:5" ht="15" x14ac:dyDescent="0.2">
      <c r="A1779" s="1" t="s">
        <v>80</v>
      </c>
      <c r="B1779" t="s">
        <v>22</v>
      </c>
      <c r="C1779" t="s">
        <v>55</v>
      </c>
      <c r="D1779">
        <v>59738</v>
      </c>
      <c r="E1779" s="2">
        <v>4650997.88</v>
      </c>
    </row>
    <row r="1780" spans="1:5" ht="15" x14ac:dyDescent="0.2">
      <c r="A1780" s="1" t="s">
        <v>77</v>
      </c>
      <c r="B1780" t="s">
        <v>18</v>
      </c>
      <c r="C1780" t="s">
        <v>55</v>
      </c>
      <c r="D1780">
        <v>59738</v>
      </c>
      <c r="E1780" s="2">
        <v>9119796.2899999991</v>
      </c>
    </row>
    <row r="1781" spans="1:5" ht="15" x14ac:dyDescent="0.2">
      <c r="A1781" s="1" t="s">
        <v>81</v>
      </c>
      <c r="B1781" t="s">
        <v>14</v>
      </c>
      <c r="C1781" t="s">
        <v>55</v>
      </c>
      <c r="D1781">
        <v>59738</v>
      </c>
      <c r="E1781" s="2">
        <v>15861271.93</v>
      </c>
    </row>
    <row r="1782" spans="1:5" ht="15" x14ac:dyDescent="0.2">
      <c r="A1782" s="1" t="s">
        <v>103</v>
      </c>
      <c r="B1782" t="s">
        <v>37</v>
      </c>
      <c r="C1782" t="s">
        <v>55</v>
      </c>
      <c r="D1782">
        <v>59738</v>
      </c>
      <c r="E1782" s="2">
        <v>210.17</v>
      </c>
    </row>
    <row r="1783" spans="1:5" ht="15" x14ac:dyDescent="0.2">
      <c r="A1783" s="1" t="s">
        <v>104</v>
      </c>
      <c r="B1783" t="s">
        <v>40</v>
      </c>
      <c r="C1783" t="s">
        <v>55</v>
      </c>
      <c r="D1783">
        <v>59738</v>
      </c>
      <c r="E1783" s="2">
        <v>17822997.43</v>
      </c>
    </row>
    <row r="1784" spans="1:5" ht="15" x14ac:dyDescent="0.2">
      <c r="A1784" s="1" t="s">
        <v>70</v>
      </c>
      <c r="B1784" t="s">
        <v>8</v>
      </c>
      <c r="C1784" t="s">
        <v>55</v>
      </c>
      <c r="D1784">
        <v>59738</v>
      </c>
      <c r="E1784" s="2">
        <v>7922.31</v>
      </c>
    </row>
    <row r="1785" spans="1:5" ht="15" x14ac:dyDescent="0.2">
      <c r="A1785" s="1" t="s">
        <v>82</v>
      </c>
      <c r="B1785" t="s">
        <v>15</v>
      </c>
      <c r="C1785" t="s">
        <v>55</v>
      </c>
      <c r="D1785">
        <v>59738</v>
      </c>
      <c r="E1785" s="2">
        <v>6389.62</v>
      </c>
    </row>
    <row r="1786" spans="1:5" ht="15" x14ac:dyDescent="0.2">
      <c r="A1786" s="1" t="s">
        <v>86</v>
      </c>
      <c r="B1786" t="s">
        <v>25</v>
      </c>
      <c r="C1786" t="s">
        <v>55</v>
      </c>
      <c r="D1786">
        <v>61232</v>
      </c>
      <c r="E1786" s="2">
        <v>1268.8599999999999</v>
      </c>
    </row>
    <row r="1787" spans="1:5" ht="15" x14ac:dyDescent="0.2">
      <c r="A1787" s="1" t="s">
        <v>83</v>
      </c>
      <c r="B1787" t="s">
        <v>23</v>
      </c>
      <c r="C1787" t="s">
        <v>55</v>
      </c>
      <c r="D1787">
        <v>61232</v>
      </c>
      <c r="E1787" s="2">
        <v>12469610.43</v>
      </c>
    </row>
    <row r="1788" spans="1:5" ht="15" x14ac:dyDescent="0.2">
      <c r="A1788" s="1" t="s">
        <v>98</v>
      </c>
      <c r="B1788" t="s">
        <v>34</v>
      </c>
      <c r="C1788" t="s">
        <v>55</v>
      </c>
      <c r="D1788">
        <v>61232</v>
      </c>
      <c r="E1788" s="2">
        <v>78932271.709999993</v>
      </c>
    </row>
    <row r="1789" spans="1:5" ht="15" x14ac:dyDescent="0.2">
      <c r="A1789" s="1" t="s">
        <v>105</v>
      </c>
      <c r="B1789" t="s">
        <v>41</v>
      </c>
      <c r="C1789" t="s">
        <v>55</v>
      </c>
      <c r="D1789">
        <v>61232</v>
      </c>
      <c r="E1789" s="2">
        <v>3287605.52</v>
      </c>
    </row>
    <row r="1790" spans="1:5" ht="15" x14ac:dyDescent="0.2">
      <c r="A1790" s="1" t="s">
        <v>86</v>
      </c>
      <c r="B1790" t="s">
        <v>25</v>
      </c>
      <c r="C1790" t="s">
        <v>55</v>
      </c>
      <c r="D1790">
        <v>65050</v>
      </c>
      <c r="E1790" s="2">
        <v>9185777.1099999994</v>
      </c>
    </row>
    <row r="1791" spans="1:5" ht="15" x14ac:dyDescent="0.2">
      <c r="A1791" s="1" t="s">
        <v>64</v>
      </c>
      <c r="B1791" t="s">
        <v>3</v>
      </c>
      <c r="C1791" t="s">
        <v>55</v>
      </c>
      <c r="D1791">
        <v>65050</v>
      </c>
      <c r="E1791" s="2">
        <v>9179427.4700000007</v>
      </c>
    </row>
    <row r="1792" spans="1:5" ht="15" x14ac:dyDescent="0.2">
      <c r="A1792" s="1" t="s">
        <v>85</v>
      </c>
      <c r="B1792" t="s">
        <v>24</v>
      </c>
      <c r="C1792" t="s">
        <v>55</v>
      </c>
      <c r="D1792">
        <v>65050</v>
      </c>
      <c r="E1792" s="2">
        <v>1341.29</v>
      </c>
    </row>
    <row r="1793" spans="1:5" ht="15" x14ac:dyDescent="0.2">
      <c r="A1793" s="1" t="s">
        <v>95</v>
      </c>
      <c r="B1793" t="s">
        <v>38</v>
      </c>
      <c r="C1793" t="s">
        <v>55</v>
      </c>
      <c r="D1793">
        <v>65050</v>
      </c>
      <c r="E1793" s="2">
        <v>528451193.01999998</v>
      </c>
    </row>
    <row r="1794" spans="1:5" ht="15" x14ac:dyDescent="0.2">
      <c r="A1794" s="1" t="s">
        <v>72</v>
      </c>
      <c r="B1794" t="s">
        <v>10</v>
      </c>
      <c r="C1794" t="s">
        <v>55</v>
      </c>
      <c r="D1794">
        <v>65050</v>
      </c>
      <c r="E1794" s="2">
        <v>14594741.939999999</v>
      </c>
    </row>
    <row r="1795" spans="1:5" ht="15" x14ac:dyDescent="0.2">
      <c r="A1795" s="1" t="s">
        <v>99</v>
      </c>
      <c r="B1795" t="s">
        <v>35</v>
      </c>
      <c r="C1795" t="s">
        <v>55</v>
      </c>
      <c r="D1795">
        <v>65050</v>
      </c>
      <c r="E1795" s="2">
        <v>9765381.25</v>
      </c>
    </row>
    <row r="1796" spans="1:5" ht="15" x14ac:dyDescent="0.2">
      <c r="A1796" s="1" t="s">
        <v>78</v>
      </c>
      <c r="B1796" t="s">
        <v>20</v>
      </c>
      <c r="C1796" t="s">
        <v>55</v>
      </c>
      <c r="D1796">
        <v>65050</v>
      </c>
      <c r="E1796" s="2">
        <v>1716113.31</v>
      </c>
    </row>
    <row r="1797" spans="1:5" ht="15" x14ac:dyDescent="0.2">
      <c r="A1797" s="1" t="s">
        <v>88</v>
      </c>
      <c r="B1797" t="s">
        <v>27</v>
      </c>
      <c r="C1797" t="s">
        <v>55</v>
      </c>
      <c r="D1797">
        <v>65050</v>
      </c>
      <c r="E1797" s="2">
        <v>5921138.0599999996</v>
      </c>
    </row>
    <row r="1798" spans="1:5" ht="15" x14ac:dyDescent="0.2">
      <c r="A1798" s="1" t="s">
        <v>65</v>
      </c>
      <c r="B1798" t="s">
        <v>4</v>
      </c>
      <c r="C1798" t="s">
        <v>55</v>
      </c>
      <c r="D1798">
        <v>65050</v>
      </c>
      <c r="E1798" s="2">
        <v>3745057.61</v>
      </c>
    </row>
    <row r="1799" spans="1:5" ht="15" x14ac:dyDescent="0.2">
      <c r="A1799" s="1" t="s">
        <v>71</v>
      </c>
      <c r="B1799" t="s">
        <v>9</v>
      </c>
      <c r="C1799" t="s">
        <v>55</v>
      </c>
      <c r="D1799">
        <v>65050</v>
      </c>
      <c r="E1799" s="2">
        <v>29081350.809999999</v>
      </c>
    </row>
    <row r="1800" spans="1:5" ht="15" x14ac:dyDescent="0.2">
      <c r="A1800" s="1" t="s">
        <v>86</v>
      </c>
      <c r="B1800" t="s">
        <v>25</v>
      </c>
      <c r="C1800" t="s">
        <v>55</v>
      </c>
      <c r="D1800">
        <v>68945</v>
      </c>
      <c r="E1800" s="2">
        <v>5169904.0599999996</v>
      </c>
    </row>
    <row r="1801" spans="1:5" ht="15" x14ac:dyDescent="0.2">
      <c r="A1801" s="1" t="s">
        <v>79</v>
      </c>
      <c r="B1801" t="s">
        <v>21</v>
      </c>
      <c r="C1801" t="s">
        <v>55</v>
      </c>
      <c r="D1801">
        <v>68945</v>
      </c>
      <c r="E1801" s="2">
        <v>3366623.42</v>
      </c>
    </row>
    <row r="1802" spans="1:5" ht="15" x14ac:dyDescent="0.2">
      <c r="A1802" s="1" t="s">
        <v>92</v>
      </c>
      <c r="B1802" t="s">
        <v>31</v>
      </c>
      <c r="C1802" t="s">
        <v>55</v>
      </c>
      <c r="D1802">
        <v>68945</v>
      </c>
      <c r="E1802" s="2">
        <v>1.36</v>
      </c>
    </row>
    <row r="1803" spans="1:5" ht="15" x14ac:dyDescent="0.2">
      <c r="A1803" s="1" t="s">
        <v>64</v>
      </c>
      <c r="B1803" t="s">
        <v>3</v>
      </c>
      <c r="C1803" t="s">
        <v>55</v>
      </c>
      <c r="D1803">
        <v>68945</v>
      </c>
      <c r="E1803" s="2">
        <v>15419891.01</v>
      </c>
    </row>
    <row r="1804" spans="1:5" ht="15" x14ac:dyDescent="0.2">
      <c r="A1804" s="1" t="s">
        <v>83</v>
      </c>
      <c r="B1804" t="s">
        <v>23</v>
      </c>
      <c r="C1804" t="s">
        <v>55</v>
      </c>
      <c r="D1804">
        <v>68945</v>
      </c>
      <c r="E1804" s="2">
        <v>22534916.140000001</v>
      </c>
    </row>
    <row r="1805" spans="1:5" ht="15" x14ac:dyDescent="0.2">
      <c r="A1805" s="1" t="s">
        <v>74</v>
      </c>
      <c r="B1805" t="s">
        <v>11</v>
      </c>
      <c r="C1805" t="s">
        <v>55</v>
      </c>
      <c r="D1805">
        <v>68945</v>
      </c>
      <c r="E1805" s="2">
        <v>1020068.76</v>
      </c>
    </row>
    <row r="1806" spans="1:5" ht="15" x14ac:dyDescent="0.2">
      <c r="A1806" s="1" t="s">
        <v>99</v>
      </c>
      <c r="B1806" t="s">
        <v>35</v>
      </c>
      <c r="C1806" t="s">
        <v>55</v>
      </c>
      <c r="D1806">
        <v>68945</v>
      </c>
      <c r="E1806" s="2">
        <v>45637724.229999997</v>
      </c>
    </row>
    <row r="1807" spans="1:5" ht="15" x14ac:dyDescent="0.2">
      <c r="A1807" s="1" t="s">
        <v>88</v>
      </c>
      <c r="B1807" t="s">
        <v>27</v>
      </c>
      <c r="C1807" t="s">
        <v>55</v>
      </c>
      <c r="D1807">
        <v>68945</v>
      </c>
      <c r="E1807" s="2">
        <v>2695568.95</v>
      </c>
    </row>
    <row r="1808" spans="1:5" ht="15" x14ac:dyDescent="0.2">
      <c r="A1808" s="1" t="s">
        <v>87</v>
      </c>
      <c r="B1808" t="s">
        <v>26</v>
      </c>
      <c r="C1808" t="s">
        <v>55</v>
      </c>
      <c r="D1808">
        <v>68945</v>
      </c>
      <c r="E1808" s="2">
        <v>3985866.92</v>
      </c>
    </row>
    <row r="1809" spans="1:5" ht="15" x14ac:dyDescent="0.2">
      <c r="A1809" s="1" t="s">
        <v>65</v>
      </c>
      <c r="B1809" t="s">
        <v>4</v>
      </c>
      <c r="C1809" t="s">
        <v>55</v>
      </c>
      <c r="D1809">
        <v>68945</v>
      </c>
      <c r="E1809" s="2">
        <v>932510.03</v>
      </c>
    </row>
    <row r="1810" spans="1:5" ht="15" x14ac:dyDescent="0.2">
      <c r="A1810" s="1" t="s">
        <v>105</v>
      </c>
      <c r="B1810" t="s">
        <v>41</v>
      </c>
      <c r="C1810" t="s">
        <v>55</v>
      </c>
      <c r="D1810">
        <v>68945</v>
      </c>
      <c r="E1810" s="2">
        <v>6835573.0800000001</v>
      </c>
    </row>
    <row r="1811" spans="1:5" ht="15" x14ac:dyDescent="0.2">
      <c r="A1811" s="1" t="s">
        <v>70</v>
      </c>
      <c r="B1811" t="s">
        <v>8</v>
      </c>
      <c r="C1811" t="s">
        <v>55</v>
      </c>
      <c r="D1811">
        <v>68945</v>
      </c>
      <c r="E1811" s="2">
        <v>74882723.799999997</v>
      </c>
    </row>
    <row r="1812" spans="1:5" ht="15" x14ac:dyDescent="0.2">
      <c r="A1812" s="1" t="s">
        <v>66</v>
      </c>
      <c r="B1812" t="s">
        <v>47</v>
      </c>
      <c r="C1812" t="s">
        <v>55</v>
      </c>
      <c r="D1812">
        <v>70981</v>
      </c>
      <c r="E1812" s="2">
        <v>2306205.4</v>
      </c>
    </row>
    <row r="1813" spans="1:5" ht="15" x14ac:dyDescent="0.2">
      <c r="A1813" s="1" t="s">
        <v>67</v>
      </c>
      <c r="B1813" t="s">
        <v>5</v>
      </c>
      <c r="C1813" t="s">
        <v>55</v>
      </c>
      <c r="D1813">
        <v>70981</v>
      </c>
      <c r="E1813" s="2">
        <v>-2893832.98</v>
      </c>
    </row>
    <row r="1814" spans="1:5" ht="15" x14ac:dyDescent="0.2">
      <c r="A1814" s="1" t="s">
        <v>89</v>
      </c>
      <c r="B1814" t="s">
        <v>28</v>
      </c>
      <c r="C1814" t="s">
        <v>55</v>
      </c>
      <c r="D1814">
        <v>70981</v>
      </c>
      <c r="E1814" s="2">
        <v>0.08</v>
      </c>
    </row>
    <row r="1815" spans="1:5" ht="15" x14ac:dyDescent="0.2">
      <c r="A1815" s="1" t="s">
        <v>90</v>
      </c>
      <c r="B1815" t="s">
        <v>29</v>
      </c>
      <c r="C1815" t="s">
        <v>55</v>
      </c>
      <c r="D1815">
        <v>70981</v>
      </c>
      <c r="E1815" s="2">
        <v>4939391.2</v>
      </c>
    </row>
    <row r="1816" spans="1:5" ht="15" x14ac:dyDescent="0.2">
      <c r="A1816" s="1" t="s">
        <v>84</v>
      </c>
      <c r="B1816" t="s">
        <v>16</v>
      </c>
      <c r="C1816" t="s">
        <v>55</v>
      </c>
      <c r="D1816">
        <v>70981</v>
      </c>
      <c r="E1816" s="2">
        <v>6297837.3200000003</v>
      </c>
    </row>
    <row r="1817" spans="1:5" ht="15" x14ac:dyDescent="0.2">
      <c r="A1817" s="1" t="s">
        <v>79</v>
      </c>
      <c r="B1817" t="s">
        <v>21</v>
      </c>
      <c r="C1817" t="s">
        <v>55</v>
      </c>
      <c r="D1817">
        <v>73889</v>
      </c>
      <c r="E1817" s="2">
        <v>9628758.6099999994</v>
      </c>
    </row>
    <row r="1818" spans="1:5" ht="15" x14ac:dyDescent="0.2">
      <c r="A1818" s="1" t="s">
        <v>89</v>
      </c>
      <c r="B1818" t="s">
        <v>28</v>
      </c>
      <c r="C1818" t="s">
        <v>55</v>
      </c>
      <c r="D1818">
        <v>73889</v>
      </c>
      <c r="E1818" s="2">
        <v>3740250.29</v>
      </c>
    </row>
    <row r="1819" spans="1:5" ht="15" x14ac:dyDescent="0.2">
      <c r="A1819" s="1" t="s">
        <v>90</v>
      </c>
      <c r="B1819" t="s">
        <v>29</v>
      </c>
      <c r="C1819" t="s">
        <v>55</v>
      </c>
      <c r="D1819">
        <v>73889</v>
      </c>
      <c r="E1819" s="2">
        <v>13981366.6</v>
      </c>
    </row>
    <row r="1820" spans="1:5" ht="15" x14ac:dyDescent="0.2">
      <c r="A1820" s="1" t="s">
        <v>75</v>
      </c>
      <c r="B1820" t="s">
        <v>12</v>
      </c>
      <c r="C1820" t="s">
        <v>55</v>
      </c>
      <c r="D1820">
        <v>73889</v>
      </c>
      <c r="E1820" s="2">
        <v>5607336.5599999996</v>
      </c>
    </row>
    <row r="1821" spans="1:5" ht="15" x14ac:dyDescent="0.2">
      <c r="A1821" s="1" t="s">
        <v>78</v>
      </c>
      <c r="B1821" t="s">
        <v>20</v>
      </c>
      <c r="C1821" t="s">
        <v>55</v>
      </c>
      <c r="D1821">
        <v>73889</v>
      </c>
      <c r="E1821" s="2">
        <v>13126.74</v>
      </c>
    </row>
    <row r="1822" spans="1:5" ht="15" x14ac:dyDescent="0.2">
      <c r="A1822" s="1" t="s">
        <v>82</v>
      </c>
      <c r="B1822" t="s">
        <v>15</v>
      </c>
      <c r="C1822" t="s">
        <v>55</v>
      </c>
      <c r="D1822">
        <v>73889</v>
      </c>
      <c r="E1822" s="2">
        <v>5743121.0700000003</v>
      </c>
    </row>
    <row r="1823" spans="1:5" ht="15" x14ac:dyDescent="0.2">
      <c r="A1823" s="1" t="s">
        <v>90</v>
      </c>
      <c r="B1823" t="s">
        <v>29</v>
      </c>
      <c r="C1823" t="s">
        <v>55</v>
      </c>
      <c r="D1823">
        <v>75257</v>
      </c>
      <c r="E1823" s="2">
        <v>8241762.9900000002</v>
      </c>
    </row>
    <row r="1824" spans="1:5" ht="15" x14ac:dyDescent="0.2">
      <c r="A1824" s="1" t="s">
        <v>94</v>
      </c>
      <c r="B1824" t="s">
        <v>33</v>
      </c>
      <c r="C1824" t="s">
        <v>55</v>
      </c>
      <c r="D1824">
        <v>75257</v>
      </c>
      <c r="E1824" s="2">
        <v>23294729.93</v>
      </c>
    </row>
    <row r="1825" spans="1:5" ht="15" x14ac:dyDescent="0.2">
      <c r="A1825" s="1" t="s">
        <v>85</v>
      </c>
      <c r="B1825" t="s">
        <v>24</v>
      </c>
      <c r="C1825" t="s">
        <v>55</v>
      </c>
      <c r="D1825">
        <v>75257</v>
      </c>
      <c r="E1825" s="2">
        <v>10007915.609999999</v>
      </c>
    </row>
    <row r="1826" spans="1:5" ht="15" x14ac:dyDescent="0.2">
      <c r="A1826" s="1" t="s">
        <v>75</v>
      </c>
      <c r="B1826" t="s">
        <v>12</v>
      </c>
      <c r="C1826" t="s">
        <v>55</v>
      </c>
      <c r="D1826">
        <v>75257</v>
      </c>
      <c r="E1826" s="2">
        <v>1.26</v>
      </c>
    </row>
    <row r="1827" spans="1:5" ht="15" x14ac:dyDescent="0.2">
      <c r="A1827" s="1" t="s">
        <v>83</v>
      </c>
      <c r="B1827" t="s">
        <v>23</v>
      </c>
      <c r="C1827" t="s">
        <v>55</v>
      </c>
      <c r="D1827">
        <v>75257</v>
      </c>
      <c r="E1827" s="2">
        <v>1166.03</v>
      </c>
    </row>
    <row r="1828" spans="1:5" ht="15" x14ac:dyDescent="0.2">
      <c r="A1828" s="1" t="s">
        <v>78</v>
      </c>
      <c r="B1828" t="s">
        <v>20</v>
      </c>
      <c r="C1828" t="s">
        <v>55</v>
      </c>
      <c r="D1828">
        <v>75257</v>
      </c>
      <c r="E1828" s="2">
        <v>1043792.09</v>
      </c>
    </row>
    <row r="1829" spans="1:5" ht="15" x14ac:dyDescent="0.2">
      <c r="A1829" s="1" t="s">
        <v>66</v>
      </c>
      <c r="B1829" t="s">
        <v>47</v>
      </c>
      <c r="C1829" t="s">
        <v>55</v>
      </c>
      <c r="D1829">
        <v>75884</v>
      </c>
      <c r="E1829" s="2">
        <v>2341535.5099999998</v>
      </c>
    </row>
    <row r="1830" spans="1:5" ht="15" x14ac:dyDescent="0.2">
      <c r="A1830" s="1" t="s">
        <v>92</v>
      </c>
      <c r="B1830" t="s">
        <v>31</v>
      </c>
      <c r="C1830" t="s">
        <v>55</v>
      </c>
      <c r="D1830">
        <v>75884</v>
      </c>
      <c r="E1830" s="2">
        <v>30388341</v>
      </c>
    </row>
    <row r="1831" spans="1:5" ht="15" x14ac:dyDescent="0.2">
      <c r="A1831" s="1" t="s">
        <v>64</v>
      </c>
      <c r="B1831" t="s">
        <v>3</v>
      </c>
      <c r="C1831" t="s">
        <v>55</v>
      </c>
      <c r="D1831">
        <v>75884</v>
      </c>
      <c r="E1831" s="2">
        <v>14689228.41</v>
      </c>
    </row>
    <row r="1832" spans="1:5" ht="15" x14ac:dyDescent="0.2">
      <c r="A1832" s="1" t="s">
        <v>75</v>
      </c>
      <c r="B1832" t="s">
        <v>12</v>
      </c>
      <c r="C1832" t="s">
        <v>55</v>
      </c>
      <c r="D1832">
        <v>75884</v>
      </c>
      <c r="E1832" s="2">
        <v>4578766.7</v>
      </c>
    </row>
    <row r="1833" spans="1:5" ht="15" x14ac:dyDescent="0.2">
      <c r="A1833" s="1" t="s">
        <v>97</v>
      </c>
      <c r="B1833" t="s">
        <v>42</v>
      </c>
      <c r="C1833" t="s">
        <v>55</v>
      </c>
      <c r="D1833">
        <v>75884</v>
      </c>
      <c r="E1833" s="2">
        <v>4588799.91</v>
      </c>
    </row>
    <row r="1834" spans="1:5" ht="15" x14ac:dyDescent="0.2">
      <c r="A1834" s="1" t="s">
        <v>88</v>
      </c>
      <c r="B1834" t="s">
        <v>27</v>
      </c>
      <c r="C1834" t="s">
        <v>55</v>
      </c>
      <c r="D1834">
        <v>75884</v>
      </c>
      <c r="E1834" s="2">
        <v>3227306.1</v>
      </c>
    </row>
    <row r="1835" spans="1:5" ht="15" x14ac:dyDescent="0.2">
      <c r="A1835" s="1" t="s">
        <v>87</v>
      </c>
      <c r="B1835" t="s">
        <v>26</v>
      </c>
      <c r="C1835" t="s">
        <v>55</v>
      </c>
      <c r="D1835">
        <v>75884</v>
      </c>
      <c r="E1835" s="2">
        <v>10698693.57</v>
      </c>
    </row>
    <row r="1836" spans="1:5" ht="15" x14ac:dyDescent="0.2">
      <c r="A1836" s="1" t="s">
        <v>70</v>
      </c>
      <c r="B1836" t="s">
        <v>8</v>
      </c>
      <c r="C1836" t="s">
        <v>55</v>
      </c>
      <c r="D1836">
        <v>75884</v>
      </c>
      <c r="E1836" s="2">
        <v>78032154.640000001</v>
      </c>
    </row>
    <row r="1837" spans="1:5" ht="15" x14ac:dyDescent="0.2">
      <c r="A1837" s="1" t="s">
        <v>94</v>
      </c>
      <c r="B1837" t="s">
        <v>33</v>
      </c>
      <c r="C1837" t="s">
        <v>55</v>
      </c>
      <c r="D1837">
        <v>78761</v>
      </c>
      <c r="E1837" s="2">
        <v>1319.22</v>
      </c>
    </row>
    <row r="1838" spans="1:5" ht="15" x14ac:dyDescent="0.2">
      <c r="A1838" s="1" t="s">
        <v>75</v>
      </c>
      <c r="B1838" t="s">
        <v>12</v>
      </c>
      <c r="C1838" t="s">
        <v>55</v>
      </c>
      <c r="D1838">
        <v>78761</v>
      </c>
      <c r="E1838" s="2">
        <v>4451368.76</v>
      </c>
    </row>
    <row r="1839" spans="1:5" ht="15" x14ac:dyDescent="0.2">
      <c r="A1839" s="1" t="s">
        <v>72</v>
      </c>
      <c r="B1839" t="s">
        <v>10</v>
      </c>
      <c r="C1839" t="s">
        <v>55</v>
      </c>
      <c r="D1839">
        <v>78761</v>
      </c>
      <c r="E1839" s="2">
        <v>12792884.720000001</v>
      </c>
    </row>
    <row r="1840" spans="1:5" ht="15" x14ac:dyDescent="0.2">
      <c r="A1840" s="1" t="s">
        <v>98</v>
      </c>
      <c r="B1840" t="s">
        <v>34</v>
      </c>
      <c r="C1840" t="s">
        <v>55</v>
      </c>
      <c r="D1840">
        <v>78761</v>
      </c>
      <c r="E1840" s="2">
        <v>41233365.039999999</v>
      </c>
    </row>
    <row r="1841" spans="1:5" ht="15" x14ac:dyDescent="0.2">
      <c r="A1841" s="1" t="s">
        <v>72</v>
      </c>
      <c r="B1841" t="s">
        <v>10</v>
      </c>
      <c r="C1841" t="s">
        <v>56</v>
      </c>
      <c r="D1841">
        <v>11546</v>
      </c>
      <c r="E1841" s="2">
        <v>3081879.68</v>
      </c>
    </row>
    <row r="1842" spans="1:5" ht="15" x14ac:dyDescent="0.2">
      <c r="A1842" s="1" t="s">
        <v>100</v>
      </c>
      <c r="B1842" t="s">
        <v>43</v>
      </c>
      <c r="C1842" t="s">
        <v>56</v>
      </c>
      <c r="D1842">
        <v>11546</v>
      </c>
      <c r="E1842" s="2">
        <v>6686090.9900000002</v>
      </c>
    </row>
    <row r="1843" spans="1:5" ht="15" x14ac:dyDescent="0.2">
      <c r="A1843" s="1" t="s">
        <v>81</v>
      </c>
      <c r="B1843" t="s">
        <v>14</v>
      </c>
      <c r="C1843" t="s">
        <v>56</v>
      </c>
      <c r="D1843">
        <v>11546</v>
      </c>
      <c r="E1843" s="2">
        <v>2995683.64</v>
      </c>
    </row>
    <row r="1844" spans="1:5" ht="15" x14ac:dyDescent="0.2">
      <c r="A1844" s="1" t="s">
        <v>101</v>
      </c>
      <c r="B1844" t="s">
        <v>39</v>
      </c>
      <c r="C1844" t="s">
        <v>56</v>
      </c>
      <c r="D1844">
        <v>11546</v>
      </c>
      <c r="E1844" s="2">
        <v>1681856.42</v>
      </c>
    </row>
    <row r="1845" spans="1:5" ht="15" x14ac:dyDescent="0.2">
      <c r="A1845" s="1" t="s">
        <v>70</v>
      </c>
      <c r="B1845" t="s">
        <v>8</v>
      </c>
      <c r="C1845" t="s">
        <v>56</v>
      </c>
      <c r="D1845">
        <v>11546</v>
      </c>
      <c r="E1845" s="2">
        <v>38578316.350000001</v>
      </c>
    </row>
    <row r="1846" spans="1:5" ht="15" x14ac:dyDescent="0.2">
      <c r="A1846" s="1" t="s">
        <v>91</v>
      </c>
      <c r="B1846" t="s">
        <v>30</v>
      </c>
      <c r="C1846" t="s">
        <v>56</v>
      </c>
      <c r="D1846">
        <v>20218</v>
      </c>
      <c r="E1846" s="2">
        <v>42172518.630000003</v>
      </c>
    </row>
    <row r="1847" spans="1:5" ht="15" x14ac:dyDescent="0.2">
      <c r="A1847" s="1" t="s">
        <v>85</v>
      </c>
      <c r="B1847" t="s">
        <v>24</v>
      </c>
      <c r="C1847" t="s">
        <v>56</v>
      </c>
      <c r="D1847">
        <v>20218</v>
      </c>
      <c r="E1847" s="2">
        <v>19036699.25</v>
      </c>
    </row>
    <row r="1848" spans="1:5" ht="15" x14ac:dyDescent="0.2">
      <c r="A1848" s="1" t="s">
        <v>72</v>
      </c>
      <c r="B1848" t="s">
        <v>10</v>
      </c>
      <c r="C1848" t="s">
        <v>56</v>
      </c>
      <c r="D1848">
        <v>20218</v>
      </c>
      <c r="E1848" s="2">
        <v>4336761.7699999996</v>
      </c>
    </row>
    <row r="1849" spans="1:5" ht="15" x14ac:dyDescent="0.2">
      <c r="A1849" s="1" t="s">
        <v>81</v>
      </c>
      <c r="B1849" t="s">
        <v>14</v>
      </c>
      <c r="C1849" t="s">
        <v>56</v>
      </c>
      <c r="D1849">
        <v>20218</v>
      </c>
      <c r="E1849" s="2">
        <v>7514279.8399999999</v>
      </c>
    </row>
    <row r="1850" spans="1:5" ht="15" x14ac:dyDescent="0.2">
      <c r="A1850" s="1" t="s">
        <v>102</v>
      </c>
      <c r="B1850" t="s">
        <v>36</v>
      </c>
      <c r="C1850" t="s">
        <v>56</v>
      </c>
      <c r="D1850">
        <v>20218</v>
      </c>
      <c r="E1850" s="2">
        <v>2508073.83</v>
      </c>
    </row>
    <row r="1851" spans="1:5" ht="15" x14ac:dyDescent="0.2">
      <c r="A1851" s="1" t="s">
        <v>104</v>
      </c>
      <c r="B1851" t="s">
        <v>40</v>
      </c>
      <c r="C1851" t="s">
        <v>56</v>
      </c>
      <c r="D1851">
        <v>20218</v>
      </c>
      <c r="E1851" s="2">
        <v>26408865.07</v>
      </c>
    </row>
    <row r="1852" spans="1:5" ht="15" x14ac:dyDescent="0.2">
      <c r="A1852" s="1" t="s">
        <v>69</v>
      </c>
      <c r="B1852" t="s">
        <v>7</v>
      </c>
      <c r="C1852" t="s">
        <v>56</v>
      </c>
      <c r="D1852">
        <v>20218</v>
      </c>
      <c r="E1852" s="2">
        <v>19838583.809999999</v>
      </c>
    </row>
    <row r="1853" spans="1:5" ht="15" x14ac:dyDescent="0.2">
      <c r="A1853" s="1" t="s">
        <v>70</v>
      </c>
      <c r="B1853" t="s">
        <v>8</v>
      </c>
      <c r="C1853" t="s">
        <v>56</v>
      </c>
      <c r="D1853">
        <v>20218</v>
      </c>
      <c r="E1853" s="2">
        <v>178.21</v>
      </c>
    </row>
    <row r="1854" spans="1:5" ht="15" x14ac:dyDescent="0.2">
      <c r="A1854" s="1" t="s">
        <v>82</v>
      </c>
      <c r="B1854" t="s">
        <v>15</v>
      </c>
      <c r="C1854" t="s">
        <v>56</v>
      </c>
      <c r="D1854">
        <v>20218</v>
      </c>
      <c r="E1854" s="2">
        <v>12616451.57</v>
      </c>
    </row>
    <row r="1855" spans="1:5" ht="15" x14ac:dyDescent="0.2">
      <c r="A1855" s="1" t="s">
        <v>90</v>
      </c>
      <c r="B1855" t="s">
        <v>29</v>
      </c>
      <c r="C1855" t="s">
        <v>56</v>
      </c>
      <c r="D1855">
        <v>24003</v>
      </c>
      <c r="E1855" s="2">
        <v>12858631.220000001</v>
      </c>
    </row>
    <row r="1856" spans="1:5" ht="15" x14ac:dyDescent="0.2">
      <c r="A1856" s="1" t="s">
        <v>91</v>
      </c>
      <c r="B1856" t="s">
        <v>30</v>
      </c>
      <c r="C1856" t="s">
        <v>56</v>
      </c>
      <c r="D1856">
        <v>24003</v>
      </c>
      <c r="E1856" s="2">
        <v>27547016.02</v>
      </c>
    </row>
    <row r="1857" spans="1:5" ht="15" x14ac:dyDescent="0.2">
      <c r="A1857" s="1" t="s">
        <v>93</v>
      </c>
      <c r="B1857" t="s">
        <v>32</v>
      </c>
      <c r="C1857" t="s">
        <v>56</v>
      </c>
      <c r="D1857">
        <v>24003</v>
      </c>
      <c r="E1857" s="2">
        <v>28476108.59</v>
      </c>
    </row>
    <row r="1858" spans="1:5" ht="15" x14ac:dyDescent="0.2">
      <c r="A1858" s="1" t="s">
        <v>85</v>
      </c>
      <c r="B1858" t="s">
        <v>24</v>
      </c>
      <c r="C1858" t="s">
        <v>56</v>
      </c>
      <c r="D1858">
        <v>24003</v>
      </c>
      <c r="E1858" s="2">
        <v>8855106.0199999996</v>
      </c>
    </row>
    <row r="1859" spans="1:5" ht="15" x14ac:dyDescent="0.2">
      <c r="A1859" s="1" t="s">
        <v>80</v>
      </c>
      <c r="B1859" t="s">
        <v>22</v>
      </c>
      <c r="C1859" t="s">
        <v>56</v>
      </c>
      <c r="D1859">
        <v>24003</v>
      </c>
      <c r="E1859" s="2">
        <v>1519787.35</v>
      </c>
    </row>
    <row r="1860" spans="1:5" ht="15" x14ac:dyDescent="0.2">
      <c r="A1860" s="1" t="s">
        <v>77</v>
      </c>
      <c r="B1860" t="s">
        <v>18</v>
      </c>
      <c r="C1860" t="s">
        <v>56</v>
      </c>
      <c r="D1860">
        <v>24003</v>
      </c>
      <c r="E1860" s="2">
        <v>3093631.15</v>
      </c>
    </row>
    <row r="1861" spans="1:5" ht="15" x14ac:dyDescent="0.2">
      <c r="A1861" s="1" t="s">
        <v>100</v>
      </c>
      <c r="B1861" t="s">
        <v>43</v>
      </c>
      <c r="C1861" t="s">
        <v>56</v>
      </c>
      <c r="D1861">
        <v>24003</v>
      </c>
      <c r="E1861" s="2">
        <v>1852133.03</v>
      </c>
    </row>
    <row r="1862" spans="1:5" ht="15" x14ac:dyDescent="0.2">
      <c r="A1862" s="1" t="s">
        <v>81</v>
      </c>
      <c r="B1862" t="s">
        <v>14</v>
      </c>
      <c r="C1862" t="s">
        <v>56</v>
      </c>
      <c r="D1862">
        <v>24003</v>
      </c>
      <c r="E1862" s="2">
        <v>12296697.9</v>
      </c>
    </row>
    <row r="1863" spans="1:5" ht="15" x14ac:dyDescent="0.2">
      <c r="A1863" s="1" t="s">
        <v>73</v>
      </c>
      <c r="B1863" t="s">
        <v>17</v>
      </c>
      <c r="C1863" t="s">
        <v>56</v>
      </c>
      <c r="D1863">
        <v>24003</v>
      </c>
      <c r="E1863" s="2">
        <v>1072725.75</v>
      </c>
    </row>
    <row r="1864" spans="1:5" ht="15" x14ac:dyDescent="0.2">
      <c r="A1864" s="1" t="s">
        <v>70</v>
      </c>
      <c r="B1864" t="s">
        <v>8</v>
      </c>
      <c r="C1864" t="s">
        <v>56</v>
      </c>
      <c r="D1864">
        <v>24003</v>
      </c>
      <c r="E1864" s="2">
        <v>26907473.809999999</v>
      </c>
    </row>
    <row r="1865" spans="1:5" ht="15" x14ac:dyDescent="0.2">
      <c r="A1865" s="1" t="s">
        <v>90</v>
      </c>
      <c r="B1865" t="s">
        <v>29</v>
      </c>
      <c r="C1865" t="s">
        <v>56</v>
      </c>
      <c r="D1865">
        <v>24588</v>
      </c>
      <c r="E1865" s="2">
        <v>16742172.310000001</v>
      </c>
    </row>
    <row r="1866" spans="1:5" ht="15" x14ac:dyDescent="0.2">
      <c r="A1866" s="1" t="s">
        <v>91</v>
      </c>
      <c r="B1866" t="s">
        <v>30</v>
      </c>
      <c r="C1866" t="s">
        <v>56</v>
      </c>
      <c r="D1866">
        <v>24588</v>
      </c>
      <c r="E1866" s="2">
        <v>22605295.550000001</v>
      </c>
    </row>
    <row r="1867" spans="1:5" ht="15" x14ac:dyDescent="0.2">
      <c r="A1867" s="1" t="s">
        <v>72</v>
      </c>
      <c r="B1867" t="s">
        <v>10</v>
      </c>
      <c r="C1867" t="s">
        <v>56</v>
      </c>
      <c r="D1867">
        <v>24588</v>
      </c>
      <c r="E1867" s="2">
        <v>3457531.56</v>
      </c>
    </row>
    <row r="1868" spans="1:5" ht="15" x14ac:dyDescent="0.2">
      <c r="A1868" s="1" t="s">
        <v>97</v>
      </c>
      <c r="B1868" t="s">
        <v>42</v>
      </c>
      <c r="C1868" t="s">
        <v>56</v>
      </c>
      <c r="D1868">
        <v>24588</v>
      </c>
      <c r="E1868" s="2">
        <v>3513214.51</v>
      </c>
    </row>
    <row r="1869" spans="1:5" ht="15" x14ac:dyDescent="0.2">
      <c r="A1869" s="1" t="s">
        <v>77</v>
      </c>
      <c r="B1869" t="s">
        <v>18</v>
      </c>
      <c r="C1869" t="s">
        <v>56</v>
      </c>
      <c r="D1869">
        <v>24588</v>
      </c>
      <c r="E1869" s="2">
        <v>4390034.33</v>
      </c>
    </row>
    <row r="1870" spans="1:5" ht="15" x14ac:dyDescent="0.2">
      <c r="A1870" s="1" t="s">
        <v>100</v>
      </c>
      <c r="B1870" t="s">
        <v>43</v>
      </c>
      <c r="C1870" t="s">
        <v>56</v>
      </c>
      <c r="D1870">
        <v>24588</v>
      </c>
      <c r="E1870" s="2">
        <v>2120801.8199999998</v>
      </c>
    </row>
    <row r="1871" spans="1:5" ht="15" x14ac:dyDescent="0.2">
      <c r="A1871" s="1" t="s">
        <v>103</v>
      </c>
      <c r="B1871" t="s">
        <v>37</v>
      </c>
      <c r="C1871" t="s">
        <v>56</v>
      </c>
      <c r="D1871">
        <v>24588</v>
      </c>
      <c r="E1871" s="2">
        <v>1866515.94</v>
      </c>
    </row>
    <row r="1872" spans="1:5" ht="15" x14ac:dyDescent="0.2">
      <c r="A1872" s="1" t="s">
        <v>70</v>
      </c>
      <c r="B1872" t="s">
        <v>8</v>
      </c>
      <c r="C1872" t="s">
        <v>56</v>
      </c>
      <c r="D1872">
        <v>24588</v>
      </c>
      <c r="E1872" s="2">
        <v>23597527.16</v>
      </c>
    </row>
    <row r="1873" spans="1:5" ht="15" x14ac:dyDescent="0.2">
      <c r="A1873" s="1" t="s">
        <v>64</v>
      </c>
      <c r="B1873" t="s">
        <v>3</v>
      </c>
      <c r="C1873" t="s">
        <v>56</v>
      </c>
      <c r="D1873">
        <v>24627</v>
      </c>
      <c r="E1873" s="2">
        <v>17023037.84</v>
      </c>
    </row>
    <row r="1874" spans="1:5" ht="15" x14ac:dyDescent="0.2">
      <c r="A1874" s="1" t="s">
        <v>72</v>
      </c>
      <c r="B1874" t="s">
        <v>10</v>
      </c>
      <c r="C1874" t="s">
        <v>56</v>
      </c>
      <c r="D1874">
        <v>24627</v>
      </c>
      <c r="E1874" s="2">
        <v>4855048.74</v>
      </c>
    </row>
    <row r="1875" spans="1:5" ht="15" x14ac:dyDescent="0.2">
      <c r="A1875" s="1" t="s">
        <v>102</v>
      </c>
      <c r="B1875" t="s">
        <v>36</v>
      </c>
      <c r="C1875" t="s">
        <v>56</v>
      </c>
      <c r="D1875">
        <v>24627</v>
      </c>
      <c r="E1875" s="2">
        <v>499674.07</v>
      </c>
    </row>
    <row r="1876" spans="1:5" ht="15" x14ac:dyDescent="0.2">
      <c r="A1876" s="1" t="s">
        <v>65</v>
      </c>
      <c r="B1876" t="s">
        <v>4</v>
      </c>
      <c r="C1876" t="s">
        <v>56</v>
      </c>
      <c r="D1876">
        <v>24627</v>
      </c>
      <c r="E1876" s="2">
        <v>9539.32</v>
      </c>
    </row>
    <row r="1877" spans="1:5" ht="15" x14ac:dyDescent="0.2">
      <c r="A1877" s="1" t="s">
        <v>70</v>
      </c>
      <c r="B1877" t="s">
        <v>8</v>
      </c>
      <c r="C1877" t="s">
        <v>56</v>
      </c>
      <c r="D1877">
        <v>24627</v>
      </c>
      <c r="E1877" s="2">
        <v>25262014.030000001</v>
      </c>
    </row>
    <row r="1878" spans="1:5" ht="15" x14ac:dyDescent="0.2">
      <c r="A1878" s="1" t="s">
        <v>80</v>
      </c>
      <c r="B1878" t="s">
        <v>22</v>
      </c>
      <c r="C1878" t="s">
        <v>56</v>
      </c>
      <c r="D1878">
        <v>35207</v>
      </c>
      <c r="E1878" s="2">
        <v>1100482.31</v>
      </c>
    </row>
    <row r="1879" spans="1:5" ht="15" x14ac:dyDescent="0.2">
      <c r="A1879" s="1" t="s">
        <v>72</v>
      </c>
      <c r="B1879" t="s">
        <v>10</v>
      </c>
      <c r="C1879" t="s">
        <v>56</v>
      </c>
      <c r="D1879">
        <v>35207</v>
      </c>
      <c r="E1879" s="2">
        <v>4802141.08</v>
      </c>
    </row>
    <row r="1880" spans="1:5" ht="15" x14ac:dyDescent="0.2">
      <c r="A1880" s="1" t="s">
        <v>96</v>
      </c>
      <c r="B1880" t="s">
        <v>44</v>
      </c>
      <c r="C1880" t="s">
        <v>56</v>
      </c>
      <c r="D1880">
        <v>35207</v>
      </c>
      <c r="E1880" s="2">
        <v>2008527.14</v>
      </c>
    </row>
    <row r="1881" spans="1:5" ht="15" x14ac:dyDescent="0.2">
      <c r="A1881" s="1" t="s">
        <v>100</v>
      </c>
      <c r="B1881" t="s">
        <v>43</v>
      </c>
      <c r="C1881" t="s">
        <v>56</v>
      </c>
      <c r="D1881">
        <v>35207</v>
      </c>
      <c r="E1881" s="2">
        <v>1020138.05</v>
      </c>
    </row>
    <row r="1882" spans="1:5" ht="15" x14ac:dyDescent="0.2">
      <c r="A1882" s="1" t="s">
        <v>103</v>
      </c>
      <c r="B1882" t="s">
        <v>37</v>
      </c>
      <c r="C1882" t="s">
        <v>56</v>
      </c>
      <c r="D1882">
        <v>35207</v>
      </c>
      <c r="E1882" s="2">
        <v>5249817.1399999997</v>
      </c>
    </row>
    <row r="1883" spans="1:5" ht="15" x14ac:dyDescent="0.2">
      <c r="A1883" s="1" t="s">
        <v>69</v>
      </c>
      <c r="B1883" t="s">
        <v>7</v>
      </c>
      <c r="C1883" t="s">
        <v>56</v>
      </c>
      <c r="D1883">
        <v>35207</v>
      </c>
      <c r="E1883" s="2">
        <v>4853394.7</v>
      </c>
    </row>
    <row r="1884" spans="1:5" ht="15" x14ac:dyDescent="0.2">
      <c r="A1884" s="1" t="s">
        <v>82</v>
      </c>
      <c r="B1884" t="s">
        <v>15</v>
      </c>
      <c r="C1884" t="s">
        <v>56</v>
      </c>
      <c r="D1884">
        <v>35207</v>
      </c>
      <c r="E1884" s="2">
        <v>2357791.4900000002</v>
      </c>
    </row>
    <row r="1885" spans="1:5" ht="15" x14ac:dyDescent="0.2">
      <c r="A1885" s="1" t="s">
        <v>64</v>
      </c>
      <c r="B1885" t="s">
        <v>3</v>
      </c>
      <c r="C1885" t="s">
        <v>56</v>
      </c>
      <c r="D1885">
        <v>36055</v>
      </c>
      <c r="E1885" s="2">
        <v>5793272.0700000003</v>
      </c>
    </row>
    <row r="1886" spans="1:5" ht="15" x14ac:dyDescent="0.2">
      <c r="A1886" s="1" t="s">
        <v>95</v>
      </c>
      <c r="B1886" t="s">
        <v>38</v>
      </c>
      <c r="C1886" t="s">
        <v>56</v>
      </c>
      <c r="D1886">
        <v>36055</v>
      </c>
      <c r="E1886" s="2">
        <v>206145613.06</v>
      </c>
    </row>
    <row r="1887" spans="1:5" ht="15" x14ac:dyDescent="0.2">
      <c r="A1887" s="1" t="s">
        <v>76</v>
      </c>
      <c r="B1887" t="s">
        <v>13</v>
      </c>
      <c r="C1887" t="s">
        <v>56</v>
      </c>
      <c r="D1887">
        <v>36055</v>
      </c>
      <c r="E1887" s="2">
        <v>1756.47</v>
      </c>
    </row>
    <row r="1888" spans="1:5" ht="15" x14ac:dyDescent="0.2">
      <c r="A1888" s="1" t="s">
        <v>80</v>
      </c>
      <c r="B1888" t="s">
        <v>22</v>
      </c>
      <c r="C1888" t="s">
        <v>56</v>
      </c>
      <c r="D1888">
        <v>36055</v>
      </c>
      <c r="E1888" s="2">
        <v>731919.15</v>
      </c>
    </row>
    <row r="1889" spans="1:5" ht="15" x14ac:dyDescent="0.2">
      <c r="A1889" s="1" t="s">
        <v>72</v>
      </c>
      <c r="B1889" t="s">
        <v>10</v>
      </c>
      <c r="C1889" t="s">
        <v>56</v>
      </c>
      <c r="D1889">
        <v>36055</v>
      </c>
      <c r="E1889" s="2">
        <v>5607446.4299999997</v>
      </c>
    </row>
    <row r="1890" spans="1:5" ht="15" x14ac:dyDescent="0.2">
      <c r="A1890" s="1" t="s">
        <v>101</v>
      </c>
      <c r="B1890" t="s">
        <v>39</v>
      </c>
      <c r="C1890" t="s">
        <v>56</v>
      </c>
      <c r="D1890">
        <v>36055</v>
      </c>
      <c r="E1890" s="2">
        <v>2613488.23</v>
      </c>
    </row>
    <row r="1891" spans="1:5" ht="15" x14ac:dyDescent="0.2">
      <c r="A1891" s="1" t="s">
        <v>105</v>
      </c>
      <c r="B1891" t="s">
        <v>41</v>
      </c>
      <c r="C1891" t="s">
        <v>56</v>
      </c>
      <c r="D1891">
        <v>36055</v>
      </c>
      <c r="E1891" s="2">
        <v>0.99</v>
      </c>
    </row>
    <row r="1892" spans="1:5" ht="15" x14ac:dyDescent="0.2">
      <c r="A1892" s="1" t="s">
        <v>82</v>
      </c>
      <c r="B1892" t="s">
        <v>15</v>
      </c>
      <c r="C1892" t="s">
        <v>56</v>
      </c>
      <c r="D1892">
        <v>36055</v>
      </c>
      <c r="E1892" s="2">
        <v>6110692.7999999998</v>
      </c>
    </row>
    <row r="1893" spans="1:5" ht="15" x14ac:dyDescent="0.2">
      <c r="A1893" s="1" t="s">
        <v>67</v>
      </c>
      <c r="B1893" t="s">
        <v>5</v>
      </c>
      <c r="C1893" t="s">
        <v>56</v>
      </c>
      <c r="D1893">
        <v>42461</v>
      </c>
      <c r="E1893" s="2">
        <v>-1226996.75</v>
      </c>
    </row>
    <row r="1894" spans="1:5" ht="15" x14ac:dyDescent="0.2">
      <c r="A1894" s="1" t="s">
        <v>94</v>
      </c>
      <c r="B1894" t="s">
        <v>33</v>
      </c>
      <c r="C1894" t="s">
        <v>56</v>
      </c>
      <c r="D1894">
        <v>42461</v>
      </c>
      <c r="E1894" s="2">
        <v>30097423.75</v>
      </c>
    </row>
    <row r="1895" spans="1:5" ht="15" x14ac:dyDescent="0.2">
      <c r="A1895" s="1" t="s">
        <v>64</v>
      </c>
      <c r="B1895" t="s">
        <v>3</v>
      </c>
      <c r="C1895" t="s">
        <v>56</v>
      </c>
      <c r="D1895">
        <v>42461</v>
      </c>
      <c r="E1895" s="2">
        <v>14330442.890000001</v>
      </c>
    </row>
    <row r="1896" spans="1:5" ht="15" x14ac:dyDescent="0.2">
      <c r="A1896" s="1" t="s">
        <v>77</v>
      </c>
      <c r="B1896" t="s">
        <v>18</v>
      </c>
      <c r="C1896" t="s">
        <v>56</v>
      </c>
      <c r="D1896">
        <v>42461</v>
      </c>
      <c r="E1896" s="2">
        <v>17901006.91</v>
      </c>
    </row>
    <row r="1897" spans="1:5" ht="15" x14ac:dyDescent="0.2">
      <c r="A1897" s="1" t="s">
        <v>81</v>
      </c>
      <c r="B1897" t="s">
        <v>14</v>
      </c>
      <c r="C1897" t="s">
        <v>56</v>
      </c>
      <c r="D1897">
        <v>42461</v>
      </c>
      <c r="E1897" s="2">
        <v>3971946.46</v>
      </c>
    </row>
    <row r="1898" spans="1:5" ht="15" x14ac:dyDescent="0.2">
      <c r="A1898" s="1" t="s">
        <v>73</v>
      </c>
      <c r="B1898" t="s">
        <v>17</v>
      </c>
      <c r="C1898" t="s">
        <v>56</v>
      </c>
      <c r="D1898">
        <v>42461</v>
      </c>
      <c r="E1898" s="2">
        <v>3498951.91</v>
      </c>
    </row>
    <row r="1899" spans="1:5" ht="15" x14ac:dyDescent="0.2">
      <c r="A1899" s="1" t="s">
        <v>104</v>
      </c>
      <c r="B1899" t="s">
        <v>40</v>
      </c>
      <c r="C1899" t="s">
        <v>56</v>
      </c>
      <c r="D1899">
        <v>42461</v>
      </c>
      <c r="E1899" s="2">
        <v>17778519.550000001</v>
      </c>
    </row>
    <row r="1900" spans="1:5" ht="15" x14ac:dyDescent="0.2">
      <c r="A1900" s="1" t="s">
        <v>92</v>
      </c>
      <c r="B1900" t="s">
        <v>31</v>
      </c>
      <c r="C1900" t="s">
        <v>56</v>
      </c>
      <c r="D1900">
        <v>43566</v>
      </c>
      <c r="E1900" s="2">
        <v>12301599.32</v>
      </c>
    </row>
    <row r="1901" spans="1:5" ht="15" x14ac:dyDescent="0.2">
      <c r="A1901" s="1" t="s">
        <v>94</v>
      </c>
      <c r="B1901" t="s">
        <v>33</v>
      </c>
      <c r="C1901" t="s">
        <v>56</v>
      </c>
      <c r="D1901">
        <v>43566</v>
      </c>
      <c r="E1901" s="2">
        <v>39692016.32</v>
      </c>
    </row>
    <row r="1902" spans="1:5" ht="15" x14ac:dyDescent="0.2">
      <c r="A1902" s="1" t="s">
        <v>85</v>
      </c>
      <c r="B1902" t="s">
        <v>24</v>
      </c>
      <c r="C1902" t="s">
        <v>56</v>
      </c>
      <c r="D1902">
        <v>43566</v>
      </c>
      <c r="E1902" s="2">
        <v>10126832.98</v>
      </c>
    </row>
    <row r="1903" spans="1:5" ht="15" x14ac:dyDescent="0.2">
      <c r="A1903" s="1" t="s">
        <v>80</v>
      </c>
      <c r="B1903" t="s">
        <v>22</v>
      </c>
      <c r="C1903" t="s">
        <v>56</v>
      </c>
      <c r="D1903">
        <v>43566</v>
      </c>
      <c r="E1903" s="2">
        <v>1311440.69</v>
      </c>
    </row>
    <row r="1904" spans="1:5" ht="15" x14ac:dyDescent="0.2">
      <c r="A1904" s="1" t="s">
        <v>100</v>
      </c>
      <c r="B1904" t="s">
        <v>43</v>
      </c>
      <c r="C1904" t="s">
        <v>56</v>
      </c>
      <c r="D1904">
        <v>43566</v>
      </c>
      <c r="E1904" s="2">
        <v>3391266.08</v>
      </c>
    </row>
    <row r="1905" spans="1:5" ht="15" x14ac:dyDescent="0.2">
      <c r="A1905" s="1" t="s">
        <v>75</v>
      </c>
      <c r="B1905" t="s">
        <v>19</v>
      </c>
      <c r="C1905" t="s">
        <v>56</v>
      </c>
      <c r="D1905">
        <v>43566</v>
      </c>
      <c r="E1905" s="2">
        <v>2444944.31</v>
      </c>
    </row>
    <row r="1906" spans="1:5" ht="15" x14ac:dyDescent="0.2">
      <c r="A1906" s="1" t="s">
        <v>69</v>
      </c>
      <c r="B1906" t="s">
        <v>7</v>
      </c>
      <c r="C1906" t="s">
        <v>56</v>
      </c>
      <c r="D1906">
        <v>43566</v>
      </c>
      <c r="E1906" s="2">
        <v>5497.79</v>
      </c>
    </row>
    <row r="1907" spans="1:5" ht="15" x14ac:dyDescent="0.2">
      <c r="A1907" s="1" t="s">
        <v>91</v>
      </c>
      <c r="B1907" t="s">
        <v>30</v>
      </c>
      <c r="C1907" t="s">
        <v>56</v>
      </c>
      <c r="D1907">
        <v>47097</v>
      </c>
      <c r="E1907" s="2">
        <v>12011256.43</v>
      </c>
    </row>
    <row r="1908" spans="1:5" ht="15" x14ac:dyDescent="0.2">
      <c r="A1908" s="1" t="s">
        <v>94</v>
      </c>
      <c r="B1908" t="s">
        <v>33</v>
      </c>
      <c r="C1908" t="s">
        <v>56</v>
      </c>
      <c r="D1908">
        <v>47097</v>
      </c>
      <c r="E1908" s="2">
        <v>43816045.539999999</v>
      </c>
    </row>
    <row r="1909" spans="1:5" ht="15" x14ac:dyDescent="0.2">
      <c r="A1909" s="1" t="s">
        <v>75</v>
      </c>
      <c r="B1909" t="s">
        <v>12</v>
      </c>
      <c r="C1909" t="s">
        <v>56</v>
      </c>
      <c r="D1909">
        <v>47097</v>
      </c>
      <c r="E1909" s="2">
        <v>2125877.71</v>
      </c>
    </row>
    <row r="1910" spans="1:5" ht="15" x14ac:dyDescent="0.2">
      <c r="A1910" s="1" t="s">
        <v>95</v>
      </c>
      <c r="B1910" t="s">
        <v>38</v>
      </c>
      <c r="C1910" t="s">
        <v>56</v>
      </c>
      <c r="D1910">
        <v>47097</v>
      </c>
      <c r="E1910" s="2">
        <v>99661763.870000005</v>
      </c>
    </row>
    <row r="1911" spans="1:5" ht="15" x14ac:dyDescent="0.2">
      <c r="A1911" s="1" t="s">
        <v>98</v>
      </c>
      <c r="B1911" t="s">
        <v>34</v>
      </c>
      <c r="C1911" t="s">
        <v>56</v>
      </c>
      <c r="D1911">
        <v>47097</v>
      </c>
      <c r="E1911" s="2">
        <v>20676617.640000001</v>
      </c>
    </row>
    <row r="1912" spans="1:5" ht="15" x14ac:dyDescent="0.2">
      <c r="A1912" s="1" t="s">
        <v>105</v>
      </c>
      <c r="B1912" t="s">
        <v>41</v>
      </c>
      <c r="C1912" t="s">
        <v>56</v>
      </c>
      <c r="D1912">
        <v>47097</v>
      </c>
      <c r="E1912" s="2">
        <v>8394309.1899999995</v>
      </c>
    </row>
    <row r="1913" spans="1:5" ht="15" x14ac:dyDescent="0.2">
      <c r="A1913" s="1" t="s">
        <v>69</v>
      </c>
      <c r="B1913" t="s">
        <v>7</v>
      </c>
      <c r="C1913" t="s">
        <v>56</v>
      </c>
      <c r="D1913">
        <v>47097</v>
      </c>
      <c r="E1913" s="2">
        <v>12922550.84</v>
      </c>
    </row>
    <row r="1914" spans="1:5" ht="15" x14ac:dyDescent="0.2">
      <c r="A1914" s="1" t="s">
        <v>79</v>
      </c>
      <c r="B1914" t="s">
        <v>21</v>
      </c>
      <c r="C1914" t="s">
        <v>56</v>
      </c>
      <c r="D1914">
        <v>49282</v>
      </c>
      <c r="E1914" s="2">
        <v>2922394.45</v>
      </c>
    </row>
    <row r="1915" spans="1:5" ht="15" x14ac:dyDescent="0.2">
      <c r="A1915" s="1" t="s">
        <v>93</v>
      </c>
      <c r="B1915" t="s">
        <v>32</v>
      </c>
      <c r="C1915" t="s">
        <v>56</v>
      </c>
      <c r="D1915">
        <v>49282</v>
      </c>
      <c r="E1915" s="2">
        <v>38655669.420000002</v>
      </c>
    </row>
    <row r="1916" spans="1:5" ht="15" x14ac:dyDescent="0.2">
      <c r="A1916" s="1" t="s">
        <v>85</v>
      </c>
      <c r="B1916" t="s">
        <v>24</v>
      </c>
      <c r="C1916" t="s">
        <v>56</v>
      </c>
      <c r="D1916">
        <v>49282</v>
      </c>
      <c r="E1916" s="2">
        <v>9454327.1199999992</v>
      </c>
    </row>
    <row r="1917" spans="1:5" ht="15" x14ac:dyDescent="0.2">
      <c r="A1917" s="1" t="s">
        <v>75</v>
      </c>
      <c r="B1917" t="s">
        <v>12</v>
      </c>
      <c r="C1917" t="s">
        <v>56</v>
      </c>
      <c r="D1917">
        <v>49282</v>
      </c>
      <c r="E1917" s="2">
        <v>2303132.91</v>
      </c>
    </row>
    <row r="1918" spans="1:5" ht="15" x14ac:dyDescent="0.2">
      <c r="A1918" s="1" t="s">
        <v>80</v>
      </c>
      <c r="B1918" t="s">
        <v>22</v>
      </c>
      <c r="C1918" t="s">
        <v>56</v>
      </c>
      <c r="D1918">
        <v>49282</v>
      </c>
      <c r="E1918" s="2">
        <v>1999923.85</v>
      </c>
    </row>
    <row r="1919" spans="1:5" ht="15" x14ac:dyDescent="0.2">
      <c r="A1919" s="1" t="s">
        <v>97</v>
      </c>
      <c r="B1919" t="s">
        <v>42</v>
      </c>
      <c r="C1919" t="s">
        <v>56</v>
      </c>
      <c r="D1919">
        <v>49282</v>
      </c>
      <c r="E1919" s="2">
        <v>1394496.33</v>
      </c>
    </row>
    <row r="1920" spans="1:5" ht="15" x14ac:dyDescent="0.2">
      <c r="A1920" s="1" t="s">
        <v>98</v>
      </c>
      <c r="B1920" t="s">
        <v>34</v>
      </c>
      <c r="C1920" t="s">
        <v>56</v>
      </c>
      <c r="D1920">
        <v>49282</v>
      </c>
      <c r="E1920" s="2">
        <v>32713558.239999998</v>
      </c>
    </row>
    <row r="1921" spans="1:5" ht="15" x14ac:dyDescent="0.2">
      <c r="A1921" s="1" t="s">
        <v>77</v>
      </c>
      <c r="B1921" t="s">
        <v>18</v>
      </c>
      <c r="C1921" t="s">
        <v>56</v>
      </c>
      <c r="D1921">
        <v>49282</v>
      </c>
      <c r="E1921" s="2">
        <v>10304794.59</v>
      </c>
    </row>
    <row r="1922" spans="1:5" ht="15" x14ac:dyDescent="0.2">
      <c r="A1922" s="1" t="s">
        <v>103</v>
      </c>
      <c r="B1922" t="s">
        <v>37</v>
      </c>
      <c r="C1922" t="s">
        <v>56</v>
      </c>
      <c r="D1922">
        <v>49282</v>
      </c>
      <c r="E1922" s="2">
        <v>3988857.82</v>
      </c>
    </row>
    <row r="1923" spans="1:5" ht="15" x14ac:dyDescent="0.2">
      <c r="A1923" s="1" t="s">
        <v>73</v>
      </c>
      <c r="B1923" t="s">
        <v>17</v>
      </c>
      <c r="C1923" t="s">
        <v>56</v>
      </c>
      <c r="D1923">
        <v>49282</v>
      </c>
      <c r="E1923" s="2">
        <v>1159984.82</v>
      </c>
    </row>
    <row r="1924" spans="1:5" ht="15" x14ac:dyDescent="0.2">
      <c r="A1924" s="1" t="s">
        <v>75</v>
      </c>
      <c r="B1924" t="s">
        <v>19</v>
      </c>
      <c r="C1924" t="s">
        <v>56</v>
      </c>
      <c r="D1924">
        <v>49282</v>
      </c>
      <c r="E1924" s="2">
        <v>1682511.58</v>
      </c>
    </row>
    <row r="1925" spans="1:5" ht="15" x14ac:dyDescent="0.2">
      <c r="A1925" s="1" t="s">
        <v>86</v>
      </c>
      <c r="B1925" t="s">
        <v>25</v>
      </c>
      <c r="C1925" t="s">
        <v>56</v>
      </c>
      <c r="D1925">
        <v>49899</v>
      </c>
      <c r="E1925" s="2">
        <v>9395000.6500000004</v>
      </c>
    </row>
    <row r="1926" spans="1:5" ht="15" x14ac:dyDescent="0.2">
      <c r="A1926" s="1" t="s">
        <v>85</v>
      </c>
      <c r="B1926" t="s">
        <v>24</v>
      </c>
      <c r="C1926" t="s">
        <v>56</v>
      </c>
      <c r="D1926">
        <v>49899</v>
      </c>
      <c r="E1926" s="2">
        <v>10011375.279999999</v>
      </c>
    </row>
    <row r="1927" spans="1:5" ht="15" x14ac:dyDescent="0.2">
      <c r="A1927" s="1" t="s">
        <v>95</v>
      </c>
      <c r="B1927" t="s">
        <v>38</v>
      </c>
      <c r="C1927" t="s">
        <v>56</v>
      </c>
      <c r="D1927">
        <v>49899</v>
      </c>
      <c r="E1927" s="2">
        <v>92105985.420000002</v>
      </c>
    </row>
    <row r="1928" spans="1:5" ht="15" x14ac:dyDescent="0.2">
      <c r="A1928" s="1" t="s">
        <v>76</v>
      </c>
      <c r="B1928" t="s">
        <v>13</v>
      </c>
      <c r="C1928" t="s">
        <v>56</v>
      </c>
      <c r="D1928">
        <v>49899</v>
      </c>
      <c r="E1928" s="2">
        <v>9317307.9600000009</v>
      </c>
    </row>
    <row r="1929" spans="1:5" ht="15" x14ac:dyDescent="0.2">
      <c r="A1929" s="1" t="s">
        <v>96</v>
      </c>
      <c r="B1929" t="s">
        <v>44</v>
      </c>
      <c r="C1929" t="s">
        <v>56</v>
      </c>
      <c r="D1929">
        <v>49899</v>
      </c>
      <c r="E1929" s="2">
        <v>7881.6</v>
      </c>
    </row>
    <row r="1930" spans="1:5" ht="15" x14ac:dyDescent="0.2">
      <c r="A1930" s="1" t="s">
        <v>100</v>
      </c>
      <c r="B1930" t="s">
        <v>43</v>
      </c>
      <c r="C1930" t="s">
        <v>56</v>
      </c>
      <c r="D1930">
        <v>49899</v>
      </c>
      <c r="E1930" s="2">
        <v>2474427.17</v>
      </c>
    </row>
    <row r="1931" spans="1:5" ht="15" x14ac:dyDescent="0.2">
      <c r="A1931" s="1" t="s">
        <v>75</v>
      </c>
      <c r="B1931" t="s">
        <v>19</v>
      </c>
      <c r="C1931" t="s">
        <v>56</v>
      </c>
      <c r="D1931">
        <v>49899</v>
      </c>
      <c r="E1931" s="2">
        <v>1927318.23</v>
      </c>
    </row>
    <row r="1932" spans="1:5" ht="15" x14ac:dyDescent="0.2">
      <c r="A1932" s="1" t="s">
        <v>65</v>
      </c>
      <c r="B1932" t="s">
        <v>4</v>
      </c>
      <c r="C1932" t="s">
        <v>56</v>
      </c>
      <c r="D1932">
        <v>49899</v>
      </c>
      <c r="E1932" s="2">
        <v>2147004.8199999998</v>
      </c>
    </row>
    <row r="1933" spans="1:5" ht="15" x14ac:dyDescent="0.2">
      <c r="A1933" s="1" t="s">
        <v>86</v>
      </c>
      <c r="B1933" t="s">
        <v>25</v>
      </c>
      <c r="C1933" t="s">
        <v>56</v>
      </c>
      <c r="D1933">
        <v>58876</v>
      </c>
      <c r="E1933" s="2">
        <v>12452284.18</v>
      </c>
    </row>
    <row r="1934" spans="1:5" ht="15" x14ac:dyDescent="0.2">
      <c r="A1934" s="1" t="s">
        <v>79</v>
      </c>
      <c r="B1934" t="s">
        <v>21</v>
      </c>
      <c r="C1934" t="s">
        <v>56</v>
      </c>
      <c r="D1934">
        <v>58876</v>
      </c>
      <c r="E1934" s="2">
        <v>2195784.54</v>
      </c>
    </row>
    <row r="1935" spans="1:5" ht="15" x14ac:dyDescent="0.2">
      <c r="A1935" s="1" t="s">
        <v>64</v>
      </c>
      <c r="B1935" t="s">
        <v>3</v>
      </c>
      <c r="C1935" t="s">
        <v>56</v>
      </c>
      <c r="D1935">
        <v>58876</v>
      </c>
      <c r="E1935" s="2">
        <v>1897866.48</v>
      </c>
    </row>
    <row r="1936" spans="1:5" ht="15" x14ac:dyDescent="0.2">
      <c r="A1936" s="1" t="s">
        <v>80</v>
      </c>
      <c r="B1936" t="s">
        <v>22</v>
      </c>
      <c r="C1936" t="s">
        <v>56</v>
      </c>
      <c r="D1936">
        <v>58876</v>
      </c>
      <c r="E1936" s="2">
        <v>2338613.7200000002</v>
      </c>
    </row>
    <row r="1937" spans="1:5" ht="15" x14ac:dyDescent="0.2">
      <c r="A1937" s="1" t="s">
        <v>97</v>
      </c>
      <c r="B1937" t="s">
        <v>42</v>
      </c>
      <c r="C1937" t="s">
        <v>56</v>
      </c>
      <c r="D1937">
        <v>58876</v>
      </c>
      <c r="E1937" s="2">
        <v>3607432.93</v>
      </c>
    </row>
    <row r="1938" spans="1:5" ht="15" x14ac:dyDescent="0.2">
      <c r="A1938" s="1" t="s">
        <v>98</v>
      </c>
      <c r="B1938" t="s">
        <v>34</v>
      </c>
      <c r="C1938" t="s">
        <v>56</v>
      </c>
      <c r="D1938">
        <v>58876</v>
      </c>
      <c r="E1938" s="2">
        <v>6941788.5</v>
      </c>
    </row>
    <row r="1939" spans="1:5" ht="15" x14ac:dyDescent="0.2">
      <c r="A1939" s="1" t="s">
        <v>67</v>
      </c>
      <c r="B1939" t="s">
        <v>5</v>
      </c>
      <c r="C1939" t="s">
        <v>56</v>
      </c>
      <c r="D1939">
        <v>63403</v>
      </c>
      <c r="E1939" s="2">
        <v>-2117420.38</v>
      </c>
    </row>
    <row r="1940" spans="1:5" ht="15" x14ac:dyDescent="0.2">
      <c r="A1940" s="1" t="s">
        <v>103</v>
      </c>
      <c r="B1940" t="s">
        <v>37</v>
      </c>
      <c r="C1940" t="s">
        <v>56</v>
      </c>
      <c r="D1940">
        <v>63403</v>
      </c>
      <c r="E1940" s="2">
        <v>3582737.95</v>
      </c>
    </row>
    <row r="1941" spans="1:5" ht="15" x14ac:dyDescent="0.2">
      <c r="A1941" s="1" t="s">
        <v>73</v>
      </c>
      <c r="B1941" t="s">
        <v>17</v>
      </c>
      <c r="C1941" t="s">
        <v>56</v>
      </c>
      <c r="D1941">
        <v>63403</v>
      </c>
      <c r="E1941" s="2">
        <v>889199.76</v>
      </c>
    </row>
    <row r="1942" spans="1:5" ht="15" x14ac:dyDescent="0.2">
      <c r="A1942" s="1" t="s">
        <v>101</v>
      </c>
      <c r="B1942" t="s">
        <v>39</v>
      </c>
      <c r="C1942" t="s">
        <v>56</v>
      </c>
      <c r="D1942">
        <v>63403</v>
      </c>
      <c r="E1942" s="2">
        <v>1.03</v>
      </c>
    </row>
    <row r="1943" spans="1:5" ht="15" x14ac:dyDescent="0.2">
      <c r="A1943" s="1" t="s">
        <v>66</v>
      </c>
      <c r="B1943" t="s">
        <v>47</v>
      </c>
      <c r="C1943" t="s">
        <v>56</v>
      </c>
      <c r="D1943">
        <v>63405</v>
      </c>
      <c r="E1943" s="2">
        <v>11062964.470000001</v>
      </c>
    </row>
    <row r="1944" spans="1:5" ht="15" x14ac:dyDescent="0.2">
      <c r="A1944" s="1" t="s">
        <v>90</v>
      </c>
      <c r="B1944" t="s">
        <v>29</v>
      </c>
      <c r="C1944" t="s">
        <v>56</v>
      </c>
      <c r="D1944">
        <v>63405</v>
      </c>
      <c r="E1944" s="2">
        <v>10712889.4</v>
      </c>
    </row>
    <row r="1945" spans="1:5" ht="15" x14ac:dyDescent="0.2">
      <c r="A1945" s="1" t="s">
        <v>91</v>
      </c>
      <c r="B1945" t="s">
        <v>30</v>
      </c>
      <c r="C1945" t="s">
        <v>56</v>
      </c>
      <c r="D1945">
        <v>63405</v>
      </c>
      <c r="E1945" s="2">
        <v>27316243.68</v>
      </c>
    </row>
    <row r="1946" spans="1:5" ht="15" x14ac:dyDescent="0.2">
      <c r="A1946" s="1" t="s">
        <v>102</v>
      </c>
      <c r="B1946" t="s">
        <v>36</v>
      </c>
      <c r="C1946" t="s">
        <v>56</v>
      </c>
      <c r="D1946">
        <v>63405</v>
      </c>
      <c r="E1946" s="2">
        <v>839384.29</v>
      </c>
    </row>
    <row r="1947" spans="1:5" ht="15" x14ac:dyDescent="0.2">
      <c r="A1947" s="1" t="s">
        <v>73</v>
      </c>
      <c r="B1947" t="s">
        <v>17</v>
      </c>
      <c r="C1947" t="s">
        <v>56</v>
      </c>
      <c r="D1947">
        <v>63405</v>
      </c>
      <c r="E1947" s="2">
        <v>1760818.07</v>
      </c>
    </row>
    <row r="1948" spans="1:5" ht="15" x14ac:dyDescent="0.2">
      <c r="A1948" s="1" t="s">
        <v>101</v>
      </c>
      <c r="B1948" t="s">
        <v>39</v>
      </c>
      <c r="C1948" t="s">
        <v>56</v>
      </c>
      <c r="D1948">
        <v>63405</v>
      </c>
      <c r="E1948" s="2">
        <v>5986597.8799999999</v>
      </c>
    </row>
    <row r="1949" spans="1:5" ht="15" x14ac:dyDescent="0.2">
      <c r="A1949" s="1" t="s">
        <v>75</v>
      </c>
      <c r="B1949" t="s">
        <v>19</v>
      </c>
      <c r="C1949" t="s">
        <v>56</v>
      </c>
      <c r="D1949">
        <v>63405</v>
      </c>
      <c r="E1949" s="2">
        <v>0.89</v>
      </c>
    </row>
    <row r="1950" spans="1:5" ht="15" x14ac:dyDescent="0.2">
      <c r="A1950" s="1" t="s">
        <v>104</v>
      </c>
      <c r="B1950" t="s">
        <v>40</v>
      </c>
      <c r="C1950" t="s">
        <v>56</v>
      </c>
      <c r="D1950">
        <v>63405</v>
      </c>
      <c r="E1950" s="2">
        <v>540.59</v>
      </c>
    </row>
    <row r="1951" spans="1:5" ht="15" x14ac:dyDescent="0.2">
      <c r="A1951" s="1" t="s">
        <v>105</v>
      </c>
      <c r="B1951" t="s">
        <v>41</v>
      </c>
      <c r="C1951" t="s">
        <v>56</v>
      </c>
      <c r="D1951">
        <v>63405</v>
      </c>
      <c r="E1951" s="2">
        <v>0.43</v>
      </c>
    </row>
    <row r="1952" spans="1:5" ht="15" x14ac:dyDescent="0.2">
      <c r="A1952" s="1" t="s">
        <v>69</v>
      </c>
      <c r="B1952" t="s">
        <v>7</v>
      </c>
      <c r="C1952" t="s">
        <v>56</v>
      </c>
      <c r="D1952">
        <v>63405</v>
      </c>
      <c r="E1952" s="2">
        <v>7917365.29</v>
      </c>
    </row>
    <row r="1953" spans="1:5" ht="15" x14ac:dyDescent="0.2">
      <c r="A1953" s="1" t="s">
        <v>66</v>
      </c>
      <c r="B1953" t="s">
        <v>47</v>
      </c>
      <c r="C1953" t="s">
        <v>56</v>
      </c>
      <c r="D1953">
        <v>67941</v>
      </c>
      <c r="E1953" s="2">
        <v>1544.12</v>
      </c>
    </row>
    <row r="1954" spans="1:5" ht="15" x14ac:dyDescent="0.2">
      <c r="A1954" s="1" t="s">
        <v>86</v>
      </c>
      <c r="B1954" t="s">
        <v>25</v>
      </c>
      <c r="C1954" t="s">
        <v>56</v>
      </c>
      <c r="D1954">
        <v>67941</v>
      </c>
      <c r="E1954" s="2">
        <v>8340795.8899999997</v>
      </c>
    </row>
    <row r="1955" spans="1:5" ht="15" x14ac:dyDescent="0.2">
      <c r="A1955" s="1" t="s">
        <v>90</v>
      </c>
      <c r="B1955" t="s">
        <v>29</v>
      </c>
      <c r="C1955" t="s">
        <v>56</v>
      </c>
      <c r="D1955">
        <v>67941</v>
      </c>
      <c r="E1955" s="2">
        <v>6707623.3899999997</v>
      </c>
    </row>
    <row r="1956" spans="1:5" ht="15" x14ac:dyDescent="0.2">
      <c r="A1956" s="1" t="s">
        <v>91</v>
      </c>
      <c r="B1956" t="s">
        <v>30</v>
      </c>
      <c r="C1956" t="s">
        <v>56</v>
      </c>
      <c r="D1956">
        <v>67941</v>
      </c>
      <c r="E1956" s="2">
        <v>14088207.800000001</v>
      </c>
    </row>
    <row r="1957" spans="1:5" ht="15" x14ac:dyDescent="0.2">
      <c r="A1957" s="1" t="s">
        <v>95</v>
      </c>
      <c r="B1957" t="s">
        <v>38</v>
      </c>
      <c r="C1957" t="s">
        <v>56</v>
      </c>
      <c r="D1957">
        <v>67941</v>
      </c>
      <c r="E1957" s="2">
        <v>99917674.629999995</v>
      </c>
    </row>
    <row r="1958" spans="1:5" ht="15" x14ac:dyDescent="0.2">
      <c r="A1958" s="1" t="s">
        <v>96</v>
      </c>
      <c r="B1958" t="s">
        <v>44</v>
      </c>
      <c r="C1958" t="s">
        <v>56</v>
      </c>
      <c r="D1958">
        <v>67941</v>
      </c>
      <c r="E1958" s="2">
        <v>1946789.9</v>
      </c>
    </row>
    <row r="1959" spans="1:5" ht="15" x14ac:dyDescent="0.2">
      <c r="A1959" s="1" t="s">
        <v>98</v>
      </c>
      <c r="B1959" t="s">
        <v>34</v>
      </c>
      <c r="C1959" t="s">
        <v>56</v>
      </c>
      <c r="D1959">
        <v>67941</v>
      </c>
      <c r="E1959" s="2">
        <v>21851170.43</v>
      </c>
    </row>
    <row r="1960" spans="1:5" ht="15" x14ac:dyDescent="0.2">
      <c r="A1960" s="1" t="s">
        <v>101</v>
      </c>
      <c r="B1960" t="s">
        <v>39</v>
      </c>
      <c r="C1960" t="s">
        <v>56</v>
      </c>
      <c r="D1960">
        <v>67941</v>
      </c>
      <c r="E1960" s="2">
        <v>8518613.4600000009</v>
      </c>
    </row>
    <row r="1961" spans="1:5" ht="15" x14ac:dyDescent="0.2">
      <c r="A1961" s="1" t="s">
        <v>104</v>
      </c>
      <c r="B1961" t="s">
        <v>40</v>
      </c>
      <c r="C1961" t="s">
        <v>56</v>
      </c>
      <c r="D1961">
        <v>67941</v>
      </c>
      <c r="E1961" s="2">
        <v>12321474.91</v>
      </c>
    </row>
    <row r="1962" spans="1:5" ht="15" x14ac:dyDescent="0.2">
      <c r="A1962" s="1" t="s">
        <v>70</v>
      </c>
      <c r="B1962" t="s">
        <v>8</v>
      </c>
      <c r="C1962" t="s">
        <v>56</v>
      </c>
      <c r="D1962">
        <v>67941</v>
      </c>
      <c r="E1962" s="2">
        <v>15782118.369999999</v>
      </c>
    </row>
    <row r="1963" spans="1:5" ht="15" x14ac:dyDescent="0.2">
      <c r="A1963" s="1" t="s">
        <v>82</v>
      </c>
      <c r="B1963" t="s">
        <v>15</v>
      </c>
      <c r="C1963" t="s">
        <v>56</v>
      </c>
      <c r="D1963">
        <v>67941</v>
      </c>
      <c r="E1963" s="2">
        <v>5591836.5499999998</v>
      </c>
    </row>
    <row r="1964" spans="1:5" ht="15" x14ac:dyDescent="0.2">
      <c r="A1964" s="1" t="s">
        <v>93</v>
      </c>
      <c r="B1964" t="s">
        <v>32</v>
      </c>
      <c r="C1964" t="s">
        <v>56</v>
      </c>
      <c r="D1964">
        <v>70981</v>
      </c>
      <c r="E1964" s="2">
        <v>88295418.219999999</v>
      </c>
    </row>
    <row r="1965" spans="1:5" ht="15" x14ac:dyDescent="0.2">
      <c r="A1965" s="1" t="s">
        <v>85</v>
      </c>
      <c r="B1965" t="s">
        <v>24</v>
      </c>
      <c r="C1965" t="s">
        <v>56</v>
      </c>
      <c r="D1965">
        <v>70981</v>
      </c>
      <c r="E1965" s="2">
        <v>6538831.3700000001</v>
      </c>
    </row>
    <row r="1966" spans="1:5" ht="15" x14ac:dyDescent="0.2">
      <c r="A1966" s="1" t="s">
        <v>75</v>
      </c>
      <c r="B1966" t="s">
        <v>12</v>
      </c>
      <c r="C1966" t="s">
        <v>56</v>
      </c>
      <c r="D1966">
        <v>70981</v>
      </c>
      <c r="E1966" s="2">
        <v>5620164.25</v>
      </c>
    </row>
    <row r="1967" spans="1:5" ht="15" x14ac:dyDescent="0.2">
      <c r="A1967" s="1" t="s">
        <v>76</v>
      </c>
      <c r="B1967" t="s">
        <v>13</v>
      </c>
      <c r="C1967" t="s">
        <v>56</v>
      </c>
      <c r="D1967">
        <v>70981</v>
      </c>
      <c r="E1967" s="2">
        <v>6071861.29</v>
      </c>
    </row>
    <row r="1968" spans="1:5" ht="15" x14ac:dyDescent="0.2">
      <c r="A1968" s="1" t="s">
        <v>80</v>
      </c>
      <c r="B1968" t="s">
        <v>22</v>
      </c>
      <c r="C1968" t="s">
        <v>56</v>
      </c>
      <c r="D1968">
        <v>70981</v>
      </c>
      <c r="E1968" s="2">
        <v>923183.83</v>
      </c>
    </row>
    <row r="1969" spans="1:5" ht="15" x14ac:dyDescent="0.2">
      <c r="A1969" s="1" t="s">
        <v>100</v>
      </c>
      <c r="B1969" t="s">
        <v>43</v>
      </c>
      <c r="C1969" t="s">
        <v>56</v>
      </c>
      <c r="D1969">
        <v>70981</v>
      </c>
      <c r="E1969" s="2">
        <v>1674191.63</v>
      </c>
    </row>
    <row r="1970" spans="1:5" ht="15" x14ac:dyDescent="0.2">
      <c r="A1970" s="1" t="s">
        <v>81</v>
      </c>
      <c r="B1970" t="s">
        <v>14</v>
      </c>
      <c r="C1970" t="s">
        <v>56</v>
      </c>
      <c r="D1970">
        <v>70981</v>
      </c>
      <c r="E1970" s="2">
        <v>6418998.2400000002</v>
      </c>
    </row>
    <row r="1971" spans="1:5" ht="15" x14ac:dyDescent="0.2">
      <c r="A1971" s="1" t="s">
        <v>79</v>
      </c>
      <c r="B1971" t="s">
        <v>21</v>
      </c>
      <c r="C1971" t="s">
        <v>56</v>
      </c>
      <c r="D1971">
        <v>73889</v>
      </c>
      <c r="E1971" s="2">
        <v>1337622.02</v>
      </c>
    </row>
    <row r="1972" spans="1:5" ht="15" x14ac:dyDescent="0.2">
      <c r="A1972" s="1" t="s">
        <v>98</v>
      </c>
      <c r="B1972" t="s">
        <v>34</v>
      </c>
      <c r="C1972" t="s">
        <v>56</v>
      </c>
      <c r="D1972">
        <v>73889</v>
      </c>
      <c r="E1972" s="2">
        <v>34152164.719999999</v>
      </c>
    </row>
    <row r="1973" spans="1:5" ht="15" x14ac:dyDescent="0.2">
      <c r="A1973" s="1" t="s">
        <v>75</v>
      </c>
      <c r="B1973" t="s">
        <v>19</v>
      </c>
      <c r="C1973" t="s">
        <v>56</v>
      </c>
      <c r="D1973">
        <v>73889</v>
      </c>
      <c r="E1973" s="2">
        <v>3277953.44</v>
      </c>
    </row>
    <row r="1974" spans="1:5" ht="15" x14ac:dyDescent="0.2">
      <c r="A1974" s="1" t="s">
        <v>65</v>
      </c>
      <c r="B1974" t="s">
        <v>4</v>
      </c>
      <c r="C1974" t="s">
        <v>56</v>
      </c>
      <c r="D1974">
        <v>73889</v>
      </c>
      <c r="E1974" s="2">
        <v>3825077.21</v>
      </c>
    </row>
    <row r="1975" spans="1:5" ht="15" x14ac:dyDescent="0.2">
      <c r="A1975" s="1" t="s">
        <v>79</v>
      </c>
      <c r="B1975" t="s">
        <v>21</v>
      </c>
      <c r="C1975" t="s">
        <v>56</v>
      </c>
      <c r="D1975">
        <v>82602</v>
      </c>
      <c r="E1975" s="2">
        <v>1102622.03</v>
      </c>
    </row>
    <row r="1976" spans="1:5" ht="15" x14ac:dyDescent="0.2">
      <c r="A1976" s="1" t="s">
        <v>92</v>
      </c>
      <c r="B1976" t="s">
        <v>31</v>
      </c>
      <c r="C1976" t="s">
        <v>56</v>
      </c>
      <c r="D1976">
        <v>82602</v>
      </c>
      <c r="E1976" s="2">
        <v>24397450.359999999</v>
      </c>
    </row>
    <row r="1977" spans="1:5" ht="15" x14ac:dyDescent="0.2">
      <c r="A1977" s="1" t="s">
        <v>97</v>
      </c>
      <c r="B1977" t="s">
        <v>42</v>
      </c>
      <c r="C1977" t="s">
        <v>56</v>
      </c>
      <c r="D1977">
        <v>82602</v>
      </c>
      <c r="E1977" s="2">
        <v>3034538.5</v>
      </c>
    </row>
    <row r="1978" spans="1:5" ht="15" x14ac:dyDescent="0.2">
      <c r="A1978" s="1" t="s">
        <v>98</v>
      </c>
      <c r="B1978" t="s">
        <v>34</v>
      </c>
      <c r="C1978" t="s">
        <v>56</v>
      </c>
      <c r="D1978">
        <v>82602</v>
      </c>
      <c r="E1978" s="2">
        <v>17898421.23</v>
      </c>
    </row>
    <row r="1979" spans="1:5" ht="15" x14ac:dyDescent="0.2">
      <c r="A1979" s="1" t="s">
        <v>73</v>
      </c>
      <c r="B1979" t="s">
        <v>17</v>
      </c>
      <c r="C1979" t="s">
        <v>56</v>
      </c>
      <c r="D1979">
        <v>82602</v>
      </c>
      <c r="E1979" s="2">
        <v>920747.68</v>
      </c>
    </row>
    <row r="1980" spans="1:5" ht="15" x14ac:dyDescent="0.2">
      <c r="A1980" s="1" t="s">
        <v>104</v>
      </c>
      <c r="B1980" t="s">
        <v>40</v>
      </c>
      <c r="C1980" t="s">
        <v>56</v>
      </c>
      <c r="D1980">
        <v>82602</v>
      </c>
      <c r="E1980" s="2">
        <v>16514896.92</v>
      </c>
    </row>
    <row r="1981" spans="1:5" ht="15" x14ac:dyDescent="0.2">
      <c r="A1981" s="1" t="s">
        <v>70</v>
      </c>
      <c r="B1981" t="s">
        <v>8</v>
      </c>
      <c r="C1981" t="s">
        <v>56</v>
      </c>
      <c r="D1981">
        <v>82602</v>
      </c>
      <c r="E1981" s="2">
        <v>49776818.600000001</v>
      </c>
    </row>
    <row r="1982" spans="1:5" ht="15" x14ac:dyDescent="0.2">
      <c r="A1982" s="1" t="s">
        <v>82</v>
      </c>
      <c r="B1982" t="s">
        <v>15</v>
      </c>
      <c r="C1982" t="s">
        <v>56</v>
      </c>
      <c r="D1982">
        <v>82602</v>
      </c>
      <c r="E1982" s="2">
        <v>5819.22</v>
      </c>
    </row>
    <row r="1983" spans="1:5" ht="15" x14ac:dyDescent="0.2">
      <c r="A1983" s="1" t="s">
        <v>94</v>
      </c>
      <c r="B1983" t="s">
        <v>33</v>
      </c>
      <c r="C1983" t="s">
        <v>56</v>
      </c>
      <c r="D1983">
        <v>86385</v>
      </c>
      <c r="E1983" s="2">
        <v>31762497.859999999</v>
      </c>
    </row>
    <row r="1984" spans="1:5" ht="15" x14ac:dyDescent="0.2">
      <c r="A1984" s="1" t="s">
        <v>75</v>
      </c>
      <c r="B1984" t="s">
        <v>12</v>
      </c>
      <c r="C1984" t="s">
        <v>56</v>
      </c>
      <c r="D1984">
        <v>86385</v>
      </c>
      <c r="E1984" s="2">
        <v>7616258.2599999998</v>
      </c>
    </row>
    <row r="1985" spans="1:5" ht="15" x14ac:dyDescent="0.2">
      <c r="A1985" s="1" t="s">
        <v>76</v>
      </c>
      <c r="B1985" t="s">
        <v>13</v>
      </c>
      <c r="C1985" t="s">
        <v>56</v>
      </c>
      <c r="D1985">
        <v>86385</v>
      </c>
      <c r="E1985" s="2">
        <v>16434890.68</v>
      </c>
    </row>
    <row r="1986" spans="1:5" ht="15" x14ac:dyDescent="0.2">
      <c r="A1986" s="1" t="s">
        <v>72</v>
      </c>
      <c r="B1986" t="s">
        <v>10</v>
      </c>
      <c r="C1986" t="s">
        <v>56</v>
      </c>
      <c r="D1986">
        <v>86385</v>
      </c>
      <c r="E1986" s="2">
        <v>4875652.67</v>
      </c>
    </row>
    <row r="1987" spans="1:5" ht="15" x14ac:dyDescent="0.2">
      <c r="A1987" s="1" t="s">
        <v>102</v>
      </c>
      <c r="B1987" t="s">
        <v>36</v>
      </c>
      <c r="C1987" t="s">
        <v>56</v>
      </c>
      <c r="D1987">
        <v>86385</v>
      </c>
      <c r="E1987" s="2">
        <v>5223389.07</v>
      </c>
    </row>
    <row r="1988" spans="1:5" ht="15" x14ac:dyDescent="0.2">
      <c r="A1988" s="1" t="s">
        <v>67</v>
      </c>
      <c r="B1988" t="s">
        <v>5</v>
      </c>
      <c r="C1988" t="s">
        <v>56</v>
      </c>
      <c r="D1988">
        <v>87696</v>
      </c>
      <c r="E1988" s="2">
        <v>-3890607</v>
      </c>
    </row>
    <row r="1989" spans="1:5" ht="15" x14ac:dyDescent="0.2">
      <c r="A1989" s="1" t="s">
        <v>91</v>
      </c>
      <c r="B1989" t="s">
        <v>30</v>
      </c>
      <c r="C1989" t="s">
        <v>56</v>
      </c>
      <c r="D1989">
        <v>87696</v>
      </c>
      <c r="E1989" s="2">
        <v>53118031.549999997</v>
      </c>
    </row>
    <row r="1990" spans="1:5" ht="15" x14ac:dyDescent="0.2">
      <c r="A1990" s="1" t="s">
        <v>76</v>
      </c>
      <c r="B1990" t="s">
        <v>13</v>
      </c>
      <c r="C1990" t="s">
        <v>56</v>
      </c>
      <c r="D1990">
        <v>87696</v>
      </c>
      <c r="E1990" s="2">
        <v>1.88</v>
      </c>
    </row>
    <row r="1991" spans="1:5" ht="15" x14ac:dyDescent="0.2">
      <c r="A1991" s="1" t="s">
        <v>80</v>
      </c>
      <c r="B1991" t="s">
        <v>22</v>
      </c>
      <c r="C1991" t="s">
        <v>56</v>
      </c>
      <c r="D1991">
        <v>87696</v>
      </c>
      <c r="E1991" s="2">
        <v>1808118.09</v>
      </c>
    </row>
    <row r="1992" spans="1:5" ht="15" x14ac:dyDescent="0.2">
      <c r="A1992" s="1" t="s">
        <v>72</v>
      </c>
      <c r="B1992" t="s">
        <v>10</v>
      </c>
      <c r="C1992" t="s">
        <v>56</v>
      </c>
      <c r="D1992">
        <v>87696</v>
      </c>
      <c r="E1992" s="2">
        <v>3956408.13</v>
      </c>
    </row>
    <row r="1993" spans="1:5" ht="15" x14ac:dyDescent="0.2">
      <c r="A1993" s="1" t="s">
        <v>96</v>
      </c>
      <c r="B1993" t="s">
        <v>44</v>
      </c>
      <c r="C1993" t="s">
        <v>56</v>
      </c>
      <c r="D1993">
        <v>87696</v>
      </c>
      <c r="E1993" s="2">
        <v>9578580.8900000006</v>
      </c>
    </row>
    <row r="1994" spans="1:5" ht="15" x14ac:dyDescent="0.2">
      <c r="A1994" s="1" t="s">
        <v>98</v>
      </c>
      <c r="B1994" t="s">
        <v>34</v>
      </c>
      <c r="C1994" t="s">
        <v>56</v>
      </c>
      <c r="D1994">
        <v>87696</v>
      </c>
      <c r="E1994" s="2">
        <v>8027.83</v>
      </c>
    </row>
    <row r="1995" spans="1:5" ht="15" x14ac:dyDescent="0.2">
      <c r="A1995" s="1" t="s">
        <v>75</v>
      </c>
      <c r="B1995" t="s">
        <v>19</v>
      </c>
      <c r="C1995" t="s">
        <v>56</v>
      </c>
      <c r="D1995">
        <v>87696</v>
      </c>
      <c r="E1995" s="2">
        <v>7024711.0599999996</v>
      </c>
    </row>
    <row r="1996" spans="1:5" ht="15" x14ac:dyDescent="0.2">
      <c r="A1996" s="1" t="s">
        <v>64</v>
      </c>
      <c r="B1996" t="s">
        <v>3</v>
      </c>
      <c r="C1996" t="s">
        <v>56</v>
      </c>
      <c r="D1996">
        <v>87778</v>
      </c>
      <c r="E1996" s="2">
        <v>19916837.23</v>
      </c>
    </row>
    <row r="1997" spans="1:5" ht="15" x14ac:dyDescent="0.2">
      <c r="A1997" s="1" t="s">
        <v>75</v>
      </c>
      <c r="B1997" t="s">
        <v>12</v>
      </c>
      <c r="C1997" t="s">
        <v>56</v>
      </c>
      <c r="D1997">
        <v>87778</v>
      </c>
      <c r="E1997" s="2">
        <v>1175928.18</v>
      </c>
    </row>
    <row r="1998" spans="1:5" ht="15" x14ac:dyDescent="0.2">
      <c r="A1998" s="1" t="s">
        <v>95</v>
      </c>
      <c r="B1998" t="s">
        <v>38</v>
      </c>
      <c r="C1998" t="s">
        <v>56</v>
      </c>
      <c r="D1998">
        <v>87778</v>
      </c>
      <c r="E1998" s="2">
        <v>179948005.96000001</v>
      </c>
    </row>
    <row r="1999" spans="1:5" ht="15" x14ac:dyDescent="0.2">
      <c r="A1999" s="1" t="s">
        <v>76</v>
      </c>
      <c r="B1999" t="s">
        <v>13</v>
      </c>
      <c r="C1999" t="s">
        <v>56</v>
      </c>
      <c r="D1999">
        <v>87778</v>
      </c>
      <c r="E1999" s="2">
        <v>14432.47</v>
      </c>
    </row>
    <row r="2000" spans="1:5" ht="15" x14ac:dyDescent="0.2">
      <c r="A2000" s="1" t="s">
        <v>100</v>
      </c>
      <c r="B2000" t="s">
        <v>43</v>
      </c>
      <c r="C2000" t="s">
        <v>56</v>
      </c>
      <c r="D2000">
        <v>87778</v>
      </c>
      <c r="E2000" s="2">
        <v>2308488.59</v>
      </c>
    </row>
    <row r="2001" spans="1:5" ht="15" x14ac:dyDescent="0.2">
      <c r="A2001" s="1" t="s">
        <v>70</v>
      </c>
      <c r="B2001" t="s">
        <v>8</v>
      </c>
      <c r="C2001" t="s">
        <v>56</v>
      </c>
      <c r="D2001">
        <v>87778</v>
      </c>
      <c r="E2001" s="2">
        <v>22734879.559999999</v>
      </c>
    </row>
    <row r="2002" spans="1:5" ht="15" x14ac:dyDescent="0.2">
      <c r="A2002" s="1" t="s">
        <v>66</v>
      </c>
      <c r="B2002" t="s">
        <v>47</v>
      </c>
      <c r="C2002" t="s">
        <v>56</v>
      </c>
      <c r="D2002">
        <v>89486</v>
      </c>
      <c r="E2002" s="2">
        <v>16039548.210000001</v>
      </c>
    </row>
    <row r="2003" spans="1:5" ht="15" x14ac:dyDescent="0.2">
      <c r="A2003" s="1" t="s">
        <v>92</v>
      </c>
      <c r="B2003" t="s">
        <v>31</v>
      </c>
      <c r="C2003" t="s">
        <v>56</v>
      </c>
      <c r="D2003">
        <v>89486</v>
      </c>
      <c r="E2003" s="2">
        <v>28838527.079999998</v>
      </c>
    </row>
    <row r="2004" spans="1:5" ht="15" x14ac:dyDescent="0.2">
      <c r="A2004" s="1" t="s">
        <v>95</v>
      </c>
      <c r="B2004" t="s">
        <v>38</v>
      </c>
      <c r="C2004" t="s">
        <v>56</v>
      </c>
      <c r="D2004">
        <v>89486</v>
      </c>
      <c r="E2004" s="2">
        <v>1145.49</v>
      </c>
    </row>
    <row r="2005" spans="1:5" ht="15" x14ac:dyDescent="0.2">
      <c r="A2005" s="1" t="s">
        <v>103</v>
      </c>
      <c r="B2005" t="s">
        <v>37</v>
      </c>
      <c r="C2005" t="s">
        <v>56</v>
      </c>
      <c r="D2005">
        <v>89486</v>
      </c>
      <c r="E2005" s="2">
        <v>2273238.98</v>
      </c>
    </row>
    <row r="2006" spans="1:5" ht="15" x14ac:dyDescent="0.2">
      <c r="A2006" s="1" t="s">
        <v>75</v>
      </c>
      <c r="B2006" t="s">
        <v>19</v>
      </c>
      <c r="C2006" t="s">
        <v>56</v>
      </c>
      <c r="D2006">
        <v>89486</v>
      </c>
      <c r="E2006" s="2">
        <v>1011704.08</v>
      </c>
    </row>
    <row r="2007" spans="1:5" ht="15" x14ac:dyDescent="0.2">
      <c r="A2007" s="1" t="s">
        <v>105</v>
      </c>
      <c r="B2007" t="s">
        <v>41</v>
      </c>
      <c r="C2007" t="s">
        <v>56</v>
      </c>
      <c r="D2007">
        <v>89486</v>
      </c>
      <c r="E2007" s="2">
        <v>8245335.7599999998</v>
      </c>
    </row>
    <row r="2008" spans="1:5" ht="15" x14ac:dyDescent="0.2">
      <c r="A2008" s="1" t="s">
        <v>82</v>
      </c>
      <c r="B2008" t="s">
        <v>15</v>
      </c>
      <c r="C2008" t="s">
        <v>56</v>
      </c>
      <c r="D2008">
        <v>89486</v>
      </c>
      <c r="E2008" s="2">
        <v>8612199.5700000003</v>
      </c>
    </row>
    <row r="2009" spans="1:5" ht="15" x14ac:dyDescent="0.2">
      <c r="A2009" s="1" t="s">
        <v>89</v>
      </c>
      <c r="B2009" t="s">
        <v>28</v>
      </c>
      <c r="C2009" t="s">
        <v>57</v>
      </c>
      <c r="D2009">
        <v>14275</v>
      </c>
      <c r="E2009" s="2">
        <v>507.15</v>
      </c>
    </row>
    <row r="2010" spans="1:5" ht="15" x14ac:dyDescent="0.2">
      <c r="A2010" s="1" t="s">
        <v>94</v>
      </c>
      <c r="B2010" t="s">
        <v>33</v>
      </c>
      <c r="C2010" t="s">
        <v>57</v>
      </c>
      <c r="D2010">
        <v>14275</v>
      </c>
      <c r="E2010" s="2">
        <v>13351863.17</v>
      </c>
    </row>
    <row r="2011" spans="1:5" ht="15" x14ac:dyDescent="0.2">
      <c r="A2011" s="1" t="s">
        <v>64</v>
      </c>
      <c r="B2011" t="s">
        <v>3</v>
      </c>
      <c r="C2011" t="s">
        <v>57</v>
      </c>
      <c r="D2011">
        <v>14275</v>
      </c>
      <c r="E2011" s="2">
        <v>8556290.9700000007</v>
      </c>
    </row>
    <row r="2012" spans="1:5" ht="15" x14ac:dyDescent="0.2">
      <c r="A2012" s="1" t="s">
        <v>95</v>
      </c>
      <c r="B2012" t="s">
        <v>38</v>
      </c>
      <c r="C2012" t="s">
        <v>57</v>
      </c>
      <c r="D2012">
        <v>14275</v>
      </c>
      <c r="E2012" s="2">
        <v>147341383.78999999</v>
      </c>
    </row>
    <row r="2013" spans="1:5" ht="15" x14ac:dyDescent="0.2">
      <c r="A2013" s="1" t="s">
        <v>81</v>
      </c>
      <c r="B2013" t="s">
        <v>14</v>
      </c>
      <c r="C2013" t="s">
        <v>57</v>
      </c>
      <c r="D2013">
        <v>14275</v>
      </c>
      <c r="E2013" s="2">
        <v>3268658.81</v>
      </c>
    </row>
    <row r="2014" spans="1:5" ht="15" x14ac:dyDescent="0.2">
      <c r="A2014" s="1" t="s">
        <v>87</v>
      </c>
      <c r="B2014" t="s">
        <v>26</v>
      </c>
      <c r="C2014" t="s">
        <v>57</v>
      </c>
      <c r="D2014">
        <v>14275</v>
      </c>
      <c r="E2014" s="2">
        <v>2785115.86</v>
      </c>
    </row>
    <row r="2015" spans="1:5" ht="15" x14ac:dyDescent="0.2">
      <c r="A2015" s="1" t="s">
        <v>102</v>
      </c>
      <c r="B2015" t="s">
        <v>36</v>
      </c>
      <c r="C2015" t="s">
        <v>57</v>
      </c>
      <c r="D2015">
        <v>14275</v>
      </c>
      <c r="E2015" s="2">
        <v>652105.18999999994</v>
      </c>
    </row>
    <row r="2016" spans="1:5" ht="15" x14ac:dyDescent="0.2">
      <c r="A2016" s="1" t="s">
        <v>82</v>
      </c>
      <c r="B2016" t="s">
        <v>15</v>
      </c>
      <c r="C2016" t="s">
        <v>57</v>
      </c>
      <c r="D2016">
        <v>14275</v>
      </c>
      <c r="E2016" s="2">
        <v>1650779.18</v>
      </c>
    </row>
    <row r="2017" spans="1:5" ht="15" x14ac:dyDescent="0.2">
      <c r="A2017" s="1" t="s">
        <v>66</v>
      </c>
      <c r="B2017" t="s">
        <v>47</v>
      </c>
      <c r="C2017" t="s">
        <v>57</v>
      </c>
      <c r="D2017">
        <v>15777</v>
      </c>
      <c r="E2017" s="2">
        <v>10635088.359999999</v>
      </c>
    </row>
    <row r="2018" spans="1:5" ht="15" x14ac:dyDescent="0.2">
      <c r="A2018" s="1" t="s">
        <v>86</v>
      </c>
      <c r="B2018" t="s">
        <v>25</v>
      </c>
      <c r="C2018" t="s">
        <v>57</v>
      </c>
      <c r="D2018">
        <v>15777</v>
      </c>
      <c r="E2018" s="2">
        <v>8108087.9400000004</v>
      </c>
    </row>
    <row r="2019" spans="1:5" ht="15" x14ac:dyDescent="0.2">
      <c r="A2019" s="1" t="s">
        <v>85</v>
      </c>
      <c r="B2019" t="s">
        <v>24</v>
      </c>
      <c r="C2019" t="s">
        <v>57</v>
      </c>
      <c r="D2019">
        <v>15777</v>
      </c>
      <c r="E2019" s="2">
        <v>13277425.91</v>
      </c>
    </row>
    <row r="2020" spans="1:5" ht="15" x14ac:dyDescent="0.2">
      <c r="A2020" s="1" t="s">
        <v>84</v>
      </c>
      <c r="B2020" t="s">
        <v>16</v>
      </c>
      <c r="C2020" t="s">
        <v>57</v>
      </c>
      <c r="D2020">
        <v>15777</v>
      </c>
      <c r="E2020" s="2">
        <v>1931999.79</v>
      </c>
    </row>
    <row r="2021" spans="1:5" ht="15" x14ac:dyDescent="0.2">
      <c r="A2021" s="1" t="s">
        <v>76</v>
      </c>
      <c r="B2021" t="s">
        <v>13</v>
      </c>
      <c r="C2021" t="s">
        <v>57</v>
      </c>
      <c r="D2021">
        <v>15777</v>
      </c>
      <c r="E2021" s="2">
        <v>5884731.3200000003</v>
      </c>
    </row>
    <row r="2022" spans="1:5" ht="15" x14ac:dyDescent="0.2">
      <c r="A2022" s="1" t="s">
        <v>80</v>
      </c>
      <c r="B2022" t="s">
        <v>22</v>
      </c>
      <c r="C2022" t="s">
        <v>57</v>
      </c>
      <c r="D2022">
        <v>15777</v>
      </c>
      <c r="E2022" s="2">
        <v>4469.12</v>
      </c>
    </row>
    <row r="2023" spans="1:5" ht="15" x14ac:dyDescent="0.2">
      <c r="A2023" s="1" t="s">
        <v>74</v>
      </c>
      <c r="B2023" t="s">
        <v>11</v>
      </c>
      <c r="C2023" t="s">
        <v>57</v>
      </c>
      <c r="D2023">
        <v>15777</v>
      </c>
      <c r="E2023" s="2">
        <v>652705.80000000005</v>
      </c>
    </row>
    <row r="2024" spans="1:5" ht="15" x14ac:dyDescent="0.2">
      <c r="A2024" s="1" t="s">
        <v>97</v>
      </c>
      <c r="B2024" t="s">
        <v>42</v>
      </c>
      <c r="C2024" t="s">
        <v>57</v>
      </c>
      <c r="D2024">
        <v>15777</v>
      </c>
      <c r="E2024" s="2">
        <v>2413504.61</v>
      </c>
    </row>
    <row r="2025" spans="1:5" ht="15" x14ac:dyDescent="0.2">
      <c r="A2025" s="1" t="s">
        <v>81</v>
      </c>
      <c r="B2025" t="s">
        <v>14</v>
      </c>
      <c r="C2025" t="s">
        <v>57</v>
      </c>
      <c r="D2025">
        <v>15777</v>
      </c>
      <c r="E2025" s="2">
        <v>3849337.29</v>
      </c>
    </row>
    <row r="2026" spans="1:5" ht="15" x14ac:dyDescent="0.2">
      <c r="A2026" s="1" t="s">
        <v>87</v>
      </c>
      <c r="B2026" t="s">
        <v>26</v>
      </c>
      <c r="C2026" t="s">
        <v>57</v>
      </c>
      <c r="D2026">
        <v>15777</v>
      </c>
      <c r="E2026" s="2">
        <v>4686300.97</v>
      </c>
    </row>
    <row r="2027" spans="1:5" ht="15" x14ac:dyDescent="0.2">
      <c r="A2027" s="1" t="s">
        <v>102</v>
      </c>
      <c r="B2027" t="s">
        <v>36</v>
      </c>
      <c r="C2027" t="s">
        <v>57</v>
      </c>
      <c r="D2027">
        <v>15777</v>
      </c>
      <c r="E2027" s="2">
        <v>794593.99</v>
      </c>
    </row>
    <row r="2028" spans="1:5" ht="15" x14ac:dyDescent="0.2">
      <c r="A2028" s="1" t="s">
        <v>101</v>
      </c>
      <c r="B2028" t="s">
        <v>39</v>
      </c>
      <c r="C2028" t="s">
        <v>57</v>
      </c>
      <c r="D2028">
        <v>15777</v>
      </c>
      <c r="E2028" s="2">
        <v>2088269.21</v>
      </c>
    </row>
    <row r="2029" spans="1:5" ht="15" x14ac:dyDescent="0.2">
      <c r="A2029" s="1" t="s">
        <v>75</v>
      </c>
      <c r="B2029" t="s">
        <v>19</v>
      </c>
      <c r="C2029" t="s">
        <v>57</v>
      </c>
      <c r="D2029">
        <v>15777</v>
      </c>
      <c r="E2029" s="2">
        <v>1110.93</v>
      </c>
    </row>
    <row r="2030" spans="1:5" ht="15" x14ac:dyDescent="0.2">
      <c r="A2030" s="1" t="s">
        <v>105</v>
      </c>
      <c r="B2030" t="s">
        <v>41</v>
      </c>
      <c r="C2030" t="s">
        <v>57</v>
      </c>
      <c r="D2030">
        <v>15777</v>
      </c>
      <c r="E2030" s="2">
        <v>4576583.07</v>
      </c>
    </row>
    <row r="2031" spans="1:5" ht="15" x14ac:dyDescent="0.2">
      <c r="A2031" s="1" t="s">
        <v>79</v>
      </c>
      <c r="B2031" t="s">
        <v>21</v>
      </c>
      <c r="C2031" t="s">
        <v>57</v>
      </c>
      <c r="D2031">
        <v>21575</v>
      </c>
      <c r="E2031" s="2">
        <v>618450.13</v>
      </c>
    </row>
    <row r="2032" spans="1:5" ht="15" x14ac:dyDescent="0.2">
      <c r="A2032" s="1" t="s">
        <v>95</v>
      </c>
      <c r="B2032" t="s">
        <v>38</v>
      </c>
      <c r="C2032" t="s">
        <v>57</v>
      </c>
      <c r="D2032">
        <v>21575</v>
      </c>
      <c r="E2032" s="2">
        <v>73812859.390000001</v>
      </c>
    </row>
    <row r="2033" spans="1:5" ht="15" x14ac:dyDescent="0.2">
      <c r="A2033" s="1" t="s">
        <v>76</v>
      </c>
      <c r="B2033" t="s">
        <v>13</v>
      </c>
      <c r="C2033" t="s">
        <v>57</v>
      </c>
      <c r="D2033">
        <v>21575</v>
      </c>
      <c r="E2033" s="2">
        <v>2894268.07</v>
      </c>
    </row>
    <row r="2034" spans="1:5" ht="15" x14ac:dyDescent="0.2">
      <c r="A2034" s="1" t="s">
        <v>83</v>
      </c>
      <c r="B2034" t="s">
        <v>23</v>
      </c>
      <c r="C2034" t="s">
        <v>57</v>
      </c>
      <c r="D2034">
        <v>21575</v>
      </c>
      <c r="E2034" s="2">
        <v>4051313.41</v>
      </c>
    </row>
    <row r="2035" spans="1:5" ht="15" x14ac:dyDescent="0.2">
      <c r="A2035" s="1" t="s">
        <v>97</v>
      </c>
      <c r="B2035" t="s">
        <v>42</v>
      </c>
      <c r="C2035" t="s">
        <v>57</v>
      </c>
      <c r="D2035">
        <v>21575</v>
      </c>
      <c r="E2035" s="2">
        <v>6850097.3499999996</v>
      </c>
    </row>
    <row r="2036" spans="1:5" ht="15" x14ac:dyDescent="0.2">
      <c r="A2036" s="1" t="s">
        <v>77</v>
      </c>
      <c r="B2036" t="s">
        <v>18</v>
      </c>
      <c r="C2036" t="s">
        <v>57</v>
      </c>
      <c r="D2036">
        <v>21575</v>
      </c>
      <c r="E2036" s="2">
        <v>9899.59</v>
      </c>
    </row>
    <row r="2037" spans="1:5" ht="15" x14ac:dyDescent="0.2">
      <c r="A2037" s="1" t="s">
        <v>101</v>
      </c>
      <c r="B2037" t="s">
        <v>39</v>
      </c>
      <c r="C2037" t="s">
        <v>57</v>
      </c>
      <c r="D2037">
        <v>21575</v>
      </c>
      <c r="E2037" s="2">
        <v>4319813.3099999996</v>
      </c>
    </row>
    <row r="2038" spans="1:5" ht="15" x14ac:dyDescent="0.2">
      <c r="A2038" s="1" t="s">
        <v>66</v>
      </c>
      <c r="B2038" t="s">
        <v>47</v>
      </c>
      <c r="C2038" t="s">
        <v>57</v>
      </c>
      <c r="D2038">
        <v>27528</v>
      </c>
      <c r="E2038" s="2">
        <v>4473385.79</v>
      </c>
    </row>
    <row r="2039" spans="1:5" ht="15" x14ac:dyDescent="0.2">
      <c r="A2039" s="1" t="s">
        <v>94</v>
      </c>
      <c r="B2039" t="s">
        <v>33</v>
      </c>
      <c r="C2039" t="s">
        <v>57</v>
      </c>
      <c r="D2039">
        <v>27528</v>
      </c>
      <c r="E2039" s="2">
        <v>24358312.579999998</v>
      </c>
    </row>
    <row r="2040" spans="1:5" ht="15" x14ac:dyDescent="0.2">
      <c r="A2040" s="1" t="s">
        <v>74</v>
      </c>
      <c r="B2040" t="s">
        <v>11</v>
      </c>
      <c r="C2040" t="s">
        <v>57</v>
      </c>
      <c r="D2040">
        <v>27528</v>
      </c>
      <c r="E2040" s="2">
        <v>410515.32</v>
      </c>
    </row>
    <row r="2041" spans="1:5" ht="15" x14ac:dyDescent="0.2">
      <c r="A2041" s="1" t="s">
        <v>88</v>
      </c>
      <c r="B2041" t="s">
        <v>27</v>
      </c>
      <c r="C2041" t="s">
        <v>57</v>
      </c>
      <c r="D2041">
        <v>27528</v>
      </c>
      <c r="E2041" s="2">
        <v>4625668.4400000004</v>
      </c>
    </row>
    <row r="2042" spans="1:5" ht="15" x14ac:dyDescent="0.2">
      <c r="A2042" s="1" t="s">
        <v>87</v>
      </c>
      <c r="B2042" t="s">
        <v>26</v>
      </c>
      <c r="C2042" t="s">
        <v>57</v>
      </c>
      <c r="D2042">
        <v>27528</v>
      </c>
      <c r="E2042" s="2">
        <v>1372.92</v>
      </c>
    </row>
    <row r="2043" spans="1:5" ht="15" x14ac:dyDescent="0.2">
      <c r="A2043" s="1" t="s">
        <v>102</v>
      </c>
      <c r="B2043" t="s">
        <v>36</v>
      </c>
      <c r="C2043" t="s">
        <v>57</v>
      </c>
      <c r="D2043">
        <v>27528</v>
      </c>
      <c r="E2043" s="2">
        <v>812626.46</v>
      </c>
    </row>
    <row r="2044" spans="1:5" ht="15" x14ac:dyDescent="0.2">
      <c r="A2044" s="1" t="s">
        <v>105</v>
      </c>
      <c r="B2044" t="s">
        <v>41</v>
      </c>
      <c r="C2044" t="s">
        <v>57</v>
      </c>
      <c r="D2044">
        <v>27528</v>
      </c>
      <c r="E2044" s="2">
        <v>2057636.41</v>
      </c>
    </row>
    <row r="2045" spans="1:5" ht="15" x14ac:dyDescent="0.2">
      <c r="A2045" s="1" t="s">
        <v>70</v>
      </c>
      <c r="B2045" t="s">
        <v>8</v>
      </c>
      <c r="C2045" t="s">
        <v>57</v>
      </c>
      <c r="D2045">
        <v>27528</v>
      </c>
      <c r="E2045" s="2">
        <v>21130974.649999999</v>
      </c>
    </row>
    <row r="2046" spans="1:5" ht="15" x14ac:dyDescent="0.2">
      <c r="A2046" s="1" t="s">
        <v>82</v>
      </c>
      <c r="B2046" t="s">
        <v>15</v>
      </c>
      <c r="C2046" t="s">
        <v>57</v>
      </c>
      <c r="D2046">
        <v>27528</v>
      </c>
      <c r="E2046" s="2">
        <v>6856217.3399999999</v>
      </c>
    </row>
    <row r="2047" spans="1:5" ht="15" x14ac:dyDescent="0.2">
      <c r="A2047" s="1" t="s">
        <v>67</v>
      </c>
      <c r="B2047" t="s">
        <v>5</v>
      </c>
      <c r="C2047" t="s">
        <v>57</v>
      </c>
      <c r="D2047">
        <v>27896</v>
      </c>
      <c r="E2047" s="2">
        <v>9840.51</v>
      </c>
    </row>
    <row r="2048" spans="1:5" ht="15" x14ac:dyDescent="0.2">
      <c r="A2048" s="1" t="s">
        <v>90</v>
      </c>
      <c r="B2048" t="s">
        <v>29</v>
      </c>
      <c r="C2048" t="s">
        <v>57</v>
      </c>
      <c r="D2048">
        <v>27896</v>
      </c>
      <c r="E2048" s="2">
        <v>6216405.6900000004</v>
      </c>
    </row>
    <row r="2049" spans="1:5" ht="15" x14ac:dyDescent="0.2">
      <c r="A2049" s="1" t="s">
        <v>72</v>
      </c>
      <c r="B2049" t="s">
        <v>10</v>
      </c>
      <c r="C2049" t="s">
        <v>57</v>
      </c>
      <c r="D2049">
        <v>27896</v>
      </c>
      <c r="E2049" s="2">
        <v>775121.98</v>
      </c>
    </row>
    <row r="2050" spans="1:5" ht="15" x14ac:dyDescent="0.2">
      <c r="A2050" s="1" t="s">
        <v>96</v>
      </c>
      <c r="B2050" t="s">
        <v>44</v>
      </c>
      <c r="C2050" t="s">
        <v>57</v>
      </c>
      <c r="D2050">
        <v>27896</v>
      </c>
      <c r="E2050" s="2">
        <v>3063674.24</v>
      </c>
    </row>
    <row r="2051" spans="1:5" ht="15" x14ac:dyDescent="0.2">
      <c r="A2051" s="1" t="s">
        <v>99</v>
      </c>
      <c r="B2051" t="s">
        <v>35</v>
      </c>
      <c r="C2051" t="s">
        <v>57</v>
      </c>
      <c r="D2051">
        <v>27896</v>
      </c>
      <c r="E2051" s="2">
        <v>1281.32</v>
      </c>
    </row>
    <row r="2052" spans="1:5" ht="15" x14ac:dyDescent="0.2">
      <c r="A2052" s="1" t="s">
        <v>100</v>
      </c>
      <c r="B2052" t="s">
        <v>43</v>
      </c>
      <c r="C2052" t="s">
        <v>57</v>
      </c>
      <c r="D2052">
        <v>27896</v>
      </c>
      <c r="E2052" s="2">
        <v>453238.19</v>
      </c>
    </row>
    <row r="2053" spans="1:5" ht="15" x14ac:dyDescent="0.2">
      <c r="A2053" s="1" t="s">
        <v>104</v>
      </c>
      <c r="B2053" t="s">
        <v>40</v>
      </c>
      <c r="C2053" t="s">
        <v>57</v>
      </c>
      <c r="D2053">
        <v>27896</v>
      </c>
      <c r="E2053" s="2">
        <v>7296292.8899999997</v>
      </c>
    </row>
    <row r="2054" spans="1:5" ht="15" x14ac:dyDescent="0.2">
      <c r="A2054" s="1" t="s">
        <v>89</v>
      </c>
      <c r="B2054" t="s">
        <v>28</v>
      </c>
      <c r="C2054" t="s">
        <v>57</v>
      </c>
      <c r="D2054">
        <v>38696</v>
      </c>
      <c r="E2054" s="2">
        <v>5294007.05</v>
      </c>
    </row>
    <row r="2055" spans="1:5" ht="15" x14ac:dyDescent="0.2">
      <c r="A2055" s="1" t="s">
        <v>94</v>
      </c>
      <c r="B2055" t="s">
        <v>33</v>
      </c>
      <c r="C2055" t="s">
        <v>57</v>
      </c>
      <c r="D2055">
        <v>38696</v>
      </c>
      <c r="E2055" s="2">
        <v>32896517.379999999</v>
      </c>
    </row>
    <row r="2056" spans="1:5" ht="15" x14ac:dyDescent="0.2">
      <c r="A2056" s="1" t="s">
        <v>75</v>
      </c>
      <c r="B2056" t="s">
        <v>12</v>
      </c>
      <c r="C2056" t="s">
        <v>57</v>
      </c>
      <c r="D2056">
        <v>38696</v>
      </c>
      <c r="E2056" s="2">
        <v>14686.87</v>
      </c>
    </row>
    <row r="2057" spans="1:5" ht="15" x14ac:dyDescent="0.2">
      <c r="A2057" s="1" t="s">
        <v>76</v>
      </c>
      <c r="B2057" t="s">
        <v>13</v>
      </c>
      <c r="C2057" t="s">
        <v>57</v>
      </c>
      <c r="D2057">
        <v>38696</v>
      </c>
      <c r="E2057" s="2">
        <v>2524168.2799999998</v>
      </c>
    </row>
    <row r="2058" spans="1:5" ht="15" x14ac:dyDescent="0.2">
      <c r="A2058" s="1" t="s">
        <v>96</v>
      </c>
      <c r="B2058" t="s">
        <v>44</v>
      </c>
      <c r="C2058" t="s">
        <v>57</v>
      </c>
      <c r="D2058">
        <v>38696</v>
      </c>
      <c r="E2058" s="2">
        <v>3076197.53</v>
      </c>
    </row>
    <row r="2059" spans="1:5" ht="15" x14ac:dyDescent="0.2">
      <c r="A2059" s="1" t="s">
        <v>77</v>
      </c>
      <c r="B2059" t="s">
        <v>18</v>
      </c>
      <c r="C2059" t="s">
        <v>57</v>
      </c>
      <c r="D2059">
        <v>38696</v>
      </c>
      <c r="E2059" s="2">
        <v>3854.28</v>
      </c>
    </row>
    <row r="2060" spans="1:5" ht="15" x14ac:dyDescent="0.2">
      <c r="A2060" s="1" t="s">
        <v>81</v>
      </c>
      <c r="B2060" t="s">
        <v>14</v>
      </c>
      <c r="C2060" t="s">
        <v>57</v>
      </c>
      <c r="D2060">
        <v>38696</v>
      </c>
      <c r="E2060" s="2">
        <v>3628999.53</v>
      </c>
    </row>
    <row r="2061" spans="1:5" ht="15" x14ac:dyDescent="0.2">
      <c r="A2061" s="1" t="s">
        <v>102</v>
      </c>
      <c r="B2061" t="s">
        <v>36</v>
      </c>
      <c r="C2061" t="s">
        <v>57</v>
      </c>
      <c r="D2061">
        <v>38696</v>
      </c>
      <c r="E2061" s="2">
        <v>1072565.05</v>
      </c>
    </row>
    <row r="2062" spans="1:5" ht="15" x14ac:dyDescent="0.2">
      <c r="A2062" s="1" t="s">
        <v>75</v>
      </c>
      <c r="B2062" t="s">
        <v>19</v>
      </c>
      <c r="C2062" t="s">
        <v>57</v>
      </c>
      <c r="D2062">
        <v>38696</v>
      </c>
      <c r="E2062" s="2">
        <v>4507857.53</v>
      </c>
    </row>
    <row r="2063" spans="1:5" ht="15" x14ac:dyDescent="0.2">
      <c r="A2063" s="1" t="s">
        <v>104</v>
      </c>
      <c r="B2063" t="s">
        <v>40</v>
      </c>
      <c r="C2063" t="s">
        <v>57</v>
      </c>
      <c r="D2063">
        <v>38696</v>
      </c>
      <c r="E2063" s="2">
        <v>10760337.26</v>
      </c>
    </row>
    <row r="2064" spans="1:5" ht="15" x14ac:dyDescent="0.2">
      <c r="A2064" s="1" t="s">
        <v>67</v>
      </c>
      <c r="B2064" t="s">
        <v>5</v>
      </c>
      <c r="C2064" t="s">
        <v>57</v>
      </c>
      <c r="D2064">
        <v>46187</v>
      </c>
      <c r="E2064" s="2">
        <v>-1900992.07</v>
      </c>
    </row>
    <row r="2065" spans="1:5" ht="15" x14ac:dyDescent="0.2">
      <c r="A2065" s="1" t="s">
        <v>79</v>
      </c>
      <c r="B2065" t="s">
        <v>21</v>
      </c>
      <c r="C2065" t="s">
        <v>57</v>
      </c>
      <c r="D2065">
        <v>46187</v>
      </c>
      <c r="E2065" s="2">
        <v>870322.62</v>
      </c>
    </row>
    <row r="2066" spans="1:5" ht="15" x14ac:dyDescent="0.2">
      <c r="A2066" s="1" t="s">
        <v>89</v>
      </c>
      <c r="B2066" t="s">
        <v>28</v>
      </c>
      <c r="C2066" t="s">
        <v>57</v>
      </c>
      <c r="D2066">
        <v>46187</v>
      </c>
      <c r="E2066" s="2">
        <v>0.16</v>
      </c>
    </row>
    <row r="2067" spans="1:5" ht="15" x14ac:dyDescent="0.2">
      <c r="A2067" s="1" t="s">
        <v>74</v>
      </c>
      <c r="B2067" t="s">
        <v>11</v>
      </c>
      <c r="C2067" t="s">
        <v>57</v>
      </c>
      <c r="D2067">
        <v>46187</v>
      </c>
      <c r="E2067" s="2">
        <v>471428.11</v>
      </c>
    </row>
    <row r="2068" spans="1:5" ht="15" x14ac:dyDescent="0.2">
      <c r="A2068" s="1" t="s">
        <v>72</v>
      </c>
      <c r="B2068" t="s">
        <v>10</v>
      </c>
      <c r="C2068" t="s">
        <v>57</v>
      </c>
      <c r="D2068">
        <v>46187</v>
      </c>
      <c r="E2068" s="2">
        <v>278930.93</v>
      </c>
    </row>
    <row r="2069" spans="1:5" ht="15" x14ac:dyDescent="0.2">
      <c r="A2069" s="1" t="s">
        <v>96</v>
      </c>
      <c r="B2069" t="s">
        <v>44</v>
      </c>
      <c r="C2069" t="s">
        <v>57</v>
      </c>
      <c r="D2069">
        <v>46187</v>
      </c>
      <c r="E2069" s="2">
        <v>1312757.69</v>
      </c>
    </row>
    <row r="2070" spans="1:5" ht="15" x14ac:dyDescent="0.2">
      <c r="A2070" s="1" t="s">
        <v>77</v>
      </c>
      <c r="B2070" t="s">
        <v>18</v>
      </c>
      <c r="C2070" t="s">
        <v>57</v>
      </c>
      <c r="D2070">
        <v>46187</v>
      </c>
      <c r="E2070" s="2">
        <v>5948281.7300000004</v>
      </c>
    </row>
    <row r="2071" spans="1:5" ht="15" x14ac:dyDescent="0.2">
      <c r="A2071" s="1" t="s">
        <v>100</v>
      </c>
      <c r="B2071" t="s">
        <v>43</v>
      </c>
      <c r="C2071" t="s">
        <v>57</v>
      </c>
      <c r="D2071">
        <v>46187</v>
      </c>
      <c r="E2071" s="2">
        <v>797978.45</v>
      </c>
    </row>
    <row r="2072" spans="1:5" ht="15" x14ac:dyDescent="0.2">
      <c r="A2072" s="1" t="s">
        <v>103</v>
      </c>
      <c r="B2072" t="s">
        <v>37</v>
      </c>
      <c r="C2072" t="s">
        <v>57</v>
      </c>
      <c r="D2072">
        <v>46187</v>
      </c>
      <c r="E2072" s="2">
        <v>3987595.82</v>
      </c>
    </row>
    <row r="2073" spans="1:5" ht="15" x14ac:dyDescent="0.2">
      <c r="A2073" s="1" t="s">
        <v>73</v>
      </c>
      <c r="B2073" t="s">
        <v>17</v>
      </c>
      <c r="C2073" t="s">
        <v>57</v>
      </c>
      <c r="D2073">
        <v>46187</v>
      </c>
      <c r="E2073" s="2">
        <v>2088471.35</v>
      </c>
    </row>
    <row r="2074" spans="1:5" ht="15" x14ac:dyDescent="0.2">
      <c r="A2074" s="1" t="s">
        <v>101</v>
      </c>
      <c r="B2074" t="s">
        <v>39</v>
      </c>
      <c r="C2074" t="s">
        <v>57</v>
      </c>
      <c r="D2074">
        <v>46187</v>
      </c>
      <c r="E2074" s="2">
        <v>575.48</v>
      </c>
    </row>
    <row r="2075" spans="1:5" ht="15" x14ac:dyDescent="0.2">
      <c r="A2075" s="1" t="s">
        <v>70</v>
      </c>
      <c r="B2075" t="s">
        <v>8</v>
      </c>
      <c r="C2075" t="s">
        <v>57</v>
      </c>
      <c r="D2075">
        <v>46187</v>
      </c>
      <c r="E2075" s="2">
        <v>26340957.84</v>
      </c>
    </row>
    <row r="2076" spans="1:5" ht="15" x14ac:dyDescent="0.2">
      <c r="A2076" s="1" t="s">
        <v>67</v>
      </c>
      <c r="B2076" t="s">
        <v>5</v>
      </c>
      <c r="C2076" t="s">
        <v>57</v>
      </c>
      <c r="D2076">
        <v>50410</v>
      </c>
      <c r="E2076" s="2">
        <v>-693537.35</v>
      </c>
    </row>
    <row r="2077" spans="1:5" ht="15" x14ac:dyDescent="0.2">
      <c r="A2077" s="1" t="s">
        <v>79</v>
      </c>
      <c r="B2077" t="s">
        <v>21</v>
      </c>
      <c r="C2077" t="s">
        <v>57</v>
      </c>
      <c r="D2077">
        <v>50410</v>
      </c>
      <c r="E2077" s="2">
        <v>973809.33</v>
      </c>
    </row>
    <row r="2078" spans="1:5" ht="15" x14ac:dyDescent="0.2">
      <c r="A2078" s="1" t="s">
        <v>90</v>
      </c>
      <c r="B2078" t="s">
        <v>29</v>
      </c>
      <c r="C2078" t="s">
        <v>57</v>
      </c>
      <c r="D2078">
        <v>50410</v>
      </c>
      <c r="E2078" s="2">
        <v>8653896.75</v>
      </c>
    </row>
    <row r="2079" spans="1:5" ht="15" x14ac:dyDescent="0.2">
      <c r="A2079" s="1" t="s">
        <v>91</v>
      </c>
      <c r="B2079" t="s">
        <v>30</v>
      </c>
      <c r="C2079" t="s">
        <v>57</v>
      </c>
      <c r="D2079">
        <v>50410</v>
      </c>
      <c r="E2079" s="2">
        <v>62278071.990000002</v>
      </c>
    </row>
    <row r="2080" spans="1:5" ht="15" x14ac:dyDescent="0.2">
      <c r="A2080" s="1" t="s">
        <v>84</v>
      </c>
      <c r="B2080" t="s">
        <v>16</v>
      </c>
      <c r="C2080" t="s">
        <v>57</v>
      </c>
      <c r="D2080">
        <v>50410</v>
      </c>
      <c r="E2080" s="2">
        <v>1039.79</v>
      </c>
    </row>
    <row r="2081" spans="1:5" ht="15" x14ac:dyDescent="0.2">
      <c r="A2081" s="1" t="s">
        <v>80</v>
      </c>
      <c r="B2081" t="s">
        <v>22</v>
      </c>
      <c r="C2081" t="s">
        <v>57</v>
      </c>
      <c r="D2081">
        <v>50410</v>
      </c>
      <c r="E2081" s="2">
        <v>2208328.19</v>
      </c>
    </row>
    <row r="2082" spans="1:5" ht="15" x14ac:dyDescent="0.2">
      <c r="A2082" s="1" t="s">
        <v>81</v>
      </c>
      <c r="B2082" t="s">
        <v>14</v>
      </c>
      <c r="C2082" t="s">
        <v>57</v>
      </c>
      <c r="D2082">
        <v>50410</v>
      </c>
      <c r="E2082" s="2">
        <v>4513015.71</v>
      </c>
    </row>
    <row r="2083" spans="1:5" ht="15" x14ac:dyDescent="0.2">
      <c r="A2083" s="1" t="s">
        <v>103</v>
      </c>
      <c r="B2083" t="s">
        <v>37</v>
      </c>
      <c r="C2083" t="s">
        <v>57</v>
      </c>
      <c r="D2083">
        <v>50410</v>
      </c>
      <c r="E2083" s="2">
        <v>3472223.16</v>
      </c>
    </row>
    <row r="2084" spans="1:5" ht="15" x14ac:dyDescent="0.2">
      <c r="A2084" s="1" t="s">
        <v>101</v>
      </c>
      <c r="B2084" t="s">
        <v>39</v>
      </c>
      <c r="C2084" t="s">
        <v>57</v>
      </c>
      <c r="D2084">
        <v>50410</v>
      </c>
      <c r="E2084" s="2">
        <v>1882275.49</v>
      </c>
    </row>
    <row r="2085" spans="1:5" ht="15" x14ac:dyDescent="0.2">
      <c r="A2085" s="1" t="s">
        <v>75</v>
      </c>
      <c r="B2085" t="s">
        <v>19</v>
      </c>
      <c r="C2085" t="s">
        <v>57</v>
      </c>
      <c r="D2085">
        <v>50410</v>
      </c>
      <c r="E2085" s="2">
        <v>5197878.5999999996</v>
      </c>
    </row>
    <row r="2086" spans="1:5" ht="15" x14ac:dyDescent="0.2">
      <c r="A2086" s="1" t="s">
        <v>105</v>
      </c>
      <c r="B2086" t="s">
        <v>41</v>
      </c>
      <c r="C2086" t="s">
        <v>57</v>
      </c>
      <c r="D2086">
        <v>50410</v>
      </c>
      <c r="E2086" s="2">
        <v>2464266.4500000002</v>
      </c>
    </row>
    <row r="2087" spans="1:5" ht="15" x14ac:dyDescent="0.2">
      <c r="A2087" s="1" t="s">
        <v>71</v>
      </c>
      <c r="B2087" t="s">
        <v>9</v>
      </c>
      <c r="C2087" t="s">
        <v>57</v>
      </c>
      <c r="D2087">
        <v>50410</v>
      </c>
      <c r="E2087" s="2">
        <v>7746487.9900000002</v>
      </c>
    </row>
    <row r="2088" spans="1:5" ht="15" x14ac:dyDescent="0.2">
      <c r="A2088" s="1" t="s">
        <v>79</v>
      </c>
      <c r="B2088" t="s">
        <v>21</v>
      </c>
      <c r="C2088" t="s">
        <v>57</v>
      </c>
      <c r="D2088">
        <v>51198</v>
      </c>
      <c r="E2088" s="2">
        <v>530762.37</v>
      </c>
    </row>
    <row r="2089" spans="1:5" ht="15" x14ac:dyDescent="0.2">
      <c r="A2089" s="1" t="s">
        <v>84</v>
      </c>
      <c r="B2089" t="s">
        <v>16</v>
      </c>
      <c r="C2089" t="s">
        <v>57</v>
      </c>
      <c r="D2089">
        <v>51198</v>
      </c>
      <c r="E2089" s="2">
        <v>1499450.64</v>
      </c>
    </row>
    <row r="2090" spans="1:5" ht="15" x14ac:dyDescent="0.2">
      <c r="A2090" s="1" t="s">
        <v>80</v>
      </c>
      <c r="B2090" t="s">
        <v>22</v>
      </c>
      <c r="C2090" t="s">
        <v>57</v>
      </c>
      <c r="D2090">
        <v>51198</v>
      </c>
      <c r="E2090" s="2">
        <v>2183063.2799999998</v>
      </c>
    </row>
    <row r="2091" spans="1:5" ht="15" x14ac:dyDescent="0.2">
      <c r="A2091" s="1" t="s">
        <v>96</v>
      </c>
      <c r="B2091" t="s">
        <v>44</v>
      </c>
      <c r="C2091" t="s">
        <v>57</v>
      </c>
      <c r="D2091">
        <v>51198</v>
      </c>
      <c r="E2091" s="2">
        <v>731627.01</v>
      </c>
    </row>
    <row r="2092" spans="1:5" ht="15" x14ac:dyDescent="0.2">
      <c r="A2092" s="1" t="s">
        <v>77</v>
      </c>
      <c r="B2092" t="s">
        <v>18</v>
      </c>
      <c r="C2092" t="s">
        <v>57</v>
      </c>
      <c r="D2092">
        <v>51198</v>
      </c>
      <c r="E2092" s="2">
        <v>4929157.13</v>
      </c>
    </row>
    <row r="2093" spans="1:5" ht="15" x14ac:dyDescent="0.2">
      <c r="A2093" s="1" t="s">
        <v>81</v>
      </c>
      <c r="B2093" t="s">
        <v>14</v>
      </c>
      <c r="C2093" t="s">
        <v>57</v>
      </c>
      <c r="D2093">
        <v>51198</v>
      </c>
      <c r="E2093" s="2">
        <v>2293027.69</v>
      </c>
    </row>
    <row r="2094" spans="1:5" ht="15" x14ac:dyDescent="0.2">
      <c r="A2094" s="1" t="s">
        <v>101</v>
      </c>
      <c r="B2094" t="s">
        <v>39</v>
      </c>
      <c r="C2094" t="s">
        <v>57</v>
      </c>
      <c r="D2094">
        <v>51198</v>
      </c>
      <c r="E2094" s="2">
        <v>0.82</v>
      </c>
    </row>
    <row r="2095" spans="1:5" ht="15" x14ac:dyDescent="0.2">
      <c r="A2095" s="1" t="s">
        <v>105</v>
      </c>
      <c r="B2095" t="s">
        <v>41</v>
      </c>
      <c r="C2095" t="s">
        <v>57</v>
      </c>
      <c r="D2095">
        <v>51198</v>
      </c>
      <c r="E2095" s="2">
        <v>2039235.84</v>
      </c>
    </row>
    <row r="2096" spans="1:5" ht="15" x14ac:dyDescent="0.2">
      <c r="A2096" s="1" t="s">
        <v>86</v>
      </c>
      <c r="B2096" t="s">
        <v>25</v>
      </c>
      <c r="C2096" t="s">
        <v>57</v>
      </c>
      <c r="D2096">
        <v>57593</v>
      </c>
      <c r="E2096" s="2">
        <v>4314620.99</v>
      </c>
    </row>
    <row r="2097" spans="1:5" ht="15" x14ac:dyDescent="0.2">
      <c r="A2097" s="1" t="s">
        <v>90</v>
      </c>
      <c r="B2097" t="s">
        <v>29</v>
      </c>
      <c r="C2097" t="s">
        <v>57</v>
      </c>
      <c r="D2097">
        <v>57593</v>
      </c>
      <c r="E2097" s="2">
        <v>12036051.9</v>
      </c>
    </row>
    <row r="2098" spans="1:5" ht="15" x14ac:dyDescent="0.2">
      <c r="A2098" s="1" t="s">
        <v>93</v>
      </c>
      <c r="B2098" t="s">
        <v>32</v>
      </c>
      <c r="C2098" t="s">
        <v>57</v>
      </c>
      <c r="D2098">
        <v>57593</v>
      </c>
      <c r="E2098" s="2">
        <v>0.03</v>
      </c>
    </row>
    <row r="2099" spans="1:5" ht="15" x14ac:dyDescent="0.2">
      <c r="A2099" s="1" t="s">
        <v>94</v>
      </c>
      <c r="B2099" t="s">
        <v>33</v>
      </c>
      <c r="C2099" t="s">
        <v>57</v>
      </c>
      <c r="D2099">
        <v>57593</v>
      </c>
      <c r="E2099" s="2">
        <v>27756195.350000001</v>
      </c>
    </row>
    <row r="2100" spans="1:5" ht="15" x14ac:dyDescent="0.2">
      <c r="A2100" s="1" t="s">
        <v>84</v>
      </c>
      <c r="B2100" t="s">
        <v>16</v>
      </c>
      <c r="C2100" t="s">
        <v>57</v>
      </c>
      <c r="D2100">
        <v>57593</v>
      </c>
      <c r="E2100" s="2">
        <v>3419272.62</v>
      </c>
    </row>
    <row r="2101" spans="1:5" ht="15" x14ac:dyDescent="0.2">
      <c r="A2101" s="1" t="s">
        <v>95</v>
      </c>
      <c r="B2101" t="s">
        <v>38</v>
      </c>
      <c r="C2101" t="s">
        <v>57</v>
      </c>
      <c r="D2101">
        <v>57593</v>
      </c>
      <c r="E2101" s="2">
        <v>0.48</v>
      </c>
    </row>
    <row r="2102" spans="1:5" ht="15" x14ac:dyDescent="0.2">
      <c r="A2102" s="1" t="s">
        <v>83</v>
      </c>
      <c r="B2102" t="s">
        <v>23</v>
      </c>
      <c r="C2102" t="s">
        <v>57</v>
      </c>
      <c r="D2102">
        <v>57593</v>
      </c>
      <c r="E2102" s="2">
        <v>4142193.9</v>
      </c>
    </row>
    <row r="2103" spans="1:5" ht="15" x14ac:dyDescent="0.2">
      <c r="A2103" s="1" t="s">
        <v>80</v>
      </c>
      <c r="B2103" t="s">
        <v>22</v>
      </c>
      <c r="C2103" t="s">
        <v>57</v>
      </c>
      <c r="D2103">
        <v>57593</v>
      </c>
      <c r="E2103" s="2">
        <v>3766569</v>
      </c>
    </row>
    <row r="2104" spans="1:5" ht="15" x14ac:dyDescent="0.2">
      <c r="A2104" s="1" t="s">
        <v>97</v>
      </c>
      <c r="B2104" t="s">
        <v>42</v>
      </c>
      <c r="C2104" t="s">
        <v>57</v>
      </c>
      <c r="D2104">
        <v>57593</v>
      </c>
      <c r="E2104" s="2">
        <v>1884750.28</v>
      </c>
    </row>
    <row r="2105" spans="1:5" ht="15" x14ac:dyDescent="0.2">
      <c r="A2105" s="1" t="s">
        <v>77</v>
      </c>
      <c r="B2105" t="s">
        <v>18</v>
      </c>
      <c r="C2105" t="s">
        <v>57</v>
      </c>
      <c r="D2105">
        <v>57593</v>
      </c>
      <c r="E2105" s="2">
        <v>5205543.79</v>
      </c>
    </row>
    <row r="2106" spans="1:5" ht="15" x14ac:dyDescent="0.2">
      <c r="A2106" s="1" t="s">
        <v>87</v>
      </c>
      <c r="B2106" t="s">
        <v>26</v>
      </c>
      <c r="C2106" t="s">
        <v>57</v>
      </c>
      <c r="D2106">
        <v>57593</v>
      </c>
      <c r="E2106" s="2">
        <v>1673304.73</v>
      </c>
    </row>
    <row r="2107" spans="1:5" ht="15" x14ac:dyDescent="0.2">
      <c r="A2107" s="1" t="s">
        <v>82</v>
      </c>
      <c r="B2107" t="s">
        <v>15</v>
      </c>
      <c r="C2107" t="s">
        <v>57</v>
      </c>
      <c r="D2107">
        <v>57593</v>
      </c>
      <c r="E2107" s="2">
        <v>912.41</v>
      </c>
    </row>
    <row r="2108" spans="1:5" ht="15" x14ac:dyDescent="0.2">
      <c r="A2108" s="1" t="s">
        <v>90</v>
      </c>
      <c r="B2108" t="s">
        <v>29</v>
      </c>
      <c r="C2108" t="s">
        <v>57</v>
      </c>
      <c r="D2108">
        <v>61551</v>
      </c>
      <c r="E2108" s="2">
        <v>8966152.9100000001</v>
      </c>
    </row>
    <row r="2109" spans="1:5" ht="15" x14ac:dyDescent="0.2">
      <c r="A2109" s="1" t="s">
        <v>100</v>
      </c>
      <c r="B2109" t="s">
        <v>43</v>
      </c>
      <c r="C2109" t="s">
        <v>57</v>
      </c>
      <c r="D2109">
        <v>61551</v>
      </c>
      <c r="E2109" s="2">
        <v>916047.84</v>
      </c>
    </row>
    <row r="2110" spans="1:5" ht="15" x14ac:dyDescent="0.2">
      <c r="A2110" s="1" t="s">
        <v>103</v>
      </c>
      <c r="B2110" t="s">
        <v>37</v>
      </c>
      <c r="C2110" t="s">
        <v>57</v>
      </c>
      <c r="D2110">
        <v>61551</v>
      </c>
      <c r="E2110" s="2">
        <v>1771188.72</v>
      </c>
    </row>
    <row r="2111" spans="1:5" ht="15" x14ac:dyDescent="0.2">
      <c r="A2111" s="1" t="s">
        <v>71</v>
      </c>
      <c r="B2111" t="s">
        <v>9</v>
      </c>
      <c r="C2111" t="s">
        <v>57</v>
      </c>
      <c r="D2111">
        <v>61551</v>
      </c>
      <c r="E2111" s="2">
        <v>11387984.65</v>
      </c>
    </row>
    <row r="2112" spans="1:5" ht="15" x14ac:dyDescent="0.2">
      <c r="A2112" s="1" t="s">
        <v>85</v>
      </c>
      <c r="B2112" t="s">
        <v>24</v>
      </c>
      <c r="C2112" t="s">
        <v>57</v>
      </c>
      <c r="D2112">
        <v>64705</v>
      </c>
      <c r="E2112" s="2">
        <v>670.9</v>
      </c>
    </row>
    <row r="2113" spans="1:5" ht="15" x14ac:dyDescent="0.2">
      <c r="A2113" s="1" t="s">
        <v>76</v>
      </c>
      <c r="B2113" t="s">
        <v>13</v>
      </c>
      <c r="C2113" t="s">
        <v>57</v>
      </c>
      <c r="D2113">
        <v>64705</v>
      </c>
      <c r="E2113" s="2">
        <v>2141745.69</v>
      </c>
    </row>
    <row r="2114" spans="1:5" ht="15" x14ac:dyDescent="0.2">
      <c r="A2114" s="1" t="s">
        <v>80</v>
      </c>
      <c r="B2114" t="s">
        <v>22</v>
      </c>
      <c r="C2114" t="s">
        <v>57</v>
      </c>
      <c r="D2114">
        <v>64705</v>
      </c>
      <c r="E2114" s="2">
        <v>2378449.38</v>
      </c>
    </row>
    <row r="2115" spans="1:5" ht="15" x14ac:dyDescent="0.2">
      <c r="A2115" s="1" t="s">
        <v>72</v>
      </c>
      <c r="B2115" t="s">
        <v>10</v>
      </c>
      <c r="C2115" t="s">
        <v>57</v>
      </c>
      <c r="D2115">
        <v>64705</v>
      </c>
      <c r="E2115" s="2">
        <v>1303717.6299999999</v>
      </c>
    </row>
    <row r="2116" spans="1:5" ht="15" x14ac:dyDescent="0.2">
      <c r="A2116" s="1" t="s">
        <v>100</v>
      </c>
      <c r="B2116" t="s">
        <v>43</v>
      </c>
      <c r="C2116" t="s">
        <v>57</v>
      </c>
      <c r="D2116">
        <v>64705</v>
      </c>
      <c r="E2116" s="2">
        <v>690234.71</v>
      </c>
    </row>
    <row r="2117" spans="1:5" ht="15" x14ac:dyDescent="0.2">
      <c r="A2117" s="1" t="s">
        <v>79</v>
      </c>
      <c r="B2117" t="s">
        <v>21</v>
      </c>
      <c r="C2117" t="s">
        <v>57</v>
      </c>
      <c r="D2117">
        <v>66384</v>
      </c>
      <c r="E2117" s="2">
        <v>1183102.29</v>
      </c>
    </row>
    <row r="2118" spans="1:5" ht="15" x14ac:dyDescent="0.2">
      <c r="A2118" s="1" t="s">
        <v>64</v>
      </c>
      <c r="B2118" t="s">
        <v>3</v>
      </c>
      <c r="C2118" t="s">
        <v>57</v>
      </c>
      <c r="D2118">
        <v>66384</v>
      </c>
      <c r="E2118" s="2">
        <v>11634664.720000001</v>
      </c>
    </row>
    <row r="2119" spans="1:5" ht="15" x14ac:dyDescent="0.2">
      <c r="A2119" s="1" t="s">
        <v>95</v>
      </c>
      <c r="B2119" t="s">
        <v>38</v>
      </c>
      <c r="C2119" t="s">
        <v>57</v>
      </c>
      <c r="D2119">
        <v>66384</v>
      </c>
      <c r="E2119" s="2">
        <v>87885131.040000007</v>
      </c>
    </row>
    <row r="2120" spans="1:5" ht="15" x14ac:dyDescent="0.2">
      <c r="A2120" s="1" t="s">
        <v>72</v>
      </c>
      <c r="B2120" t="s">
        <v>10</v>
      </c>
      <c r="C2120" t="s">
        <v>57</v>
      </c>
      <c r="D2120">
        <v>66384</v>
      </c>
      <c r="E2120" s="2">
        <v>2470873.13</v>
      </c>
    </row>
    <row r="2121" spans="1:5" ht="15" x14ac:dyDescent="0.2">
      <c r="A2121" s="1" t="s">
        <v>77</v>
      </c>
      <c r="B2121" t="s">
        <v>18</v>
      </c>
      <c r="C2121" t="s">
        <v>57</v>
      </c>
      <c r="D2121">
        <v>66384</v>
      </c>
      <c r="E2121" s="2">
        <v>8394892.6699999999</v>
      </c>
    </row>
    <row r="2122" spans="1:5" ht="15" x14ac:dyDescent="0.2">
      <c r="A2122" s="1" t="s">
        <v>100</v>
      </c>
      <c r="B2122" t="s">
        <v>43</v>
      </c>
      <c r="C2122" t="s">
        <v>57</v>
      </c>
      <c r="D2122">
        <v>66384</v>
      </c>
      <c r="E2122" s="2">
        <v>465310.65</v>
      </c>
    </row>
    <row r="2123" spans="1:5" ht="15" x14ac:dyDescent="0.2">
      <c r="A2123" s="1" t="s">
        <v>87</v>
      </c>
      <c r="B2123" t="s">
        <v>26</v>
      </c>
      <c r="C2123" t="s">
        <v>57</v>
      </c>
      <c r="D2123">
        <v>66384</v>
      </c>
      <c r="E2123" s="2">
        <v>1970423.33</v>
      </c>
    </row>
    <row r="2124" spans="1:5" ht="15" x14ac:dyDescent="0.2">
      <c r="A2124" s="1" t="s">
        <v>102</v>
      </c>
      <c r="B2124" t="s">
        <v>36</v>
      </c>
      <c r="C2124" t="s">
        <v>57</v>
      </c>
      <c r="D2124">
        <v>66384</v>
      </c>
      <c r="E2124" s="2">
        <v>1489259.7</v>
      </c>
    </row>
    <row r="2125" spans="1:5" ht="15" x14ac:dyDescent="0.2">
      <c r="A2125" s="1" t="s">
        <v>103</v>
      </c>
      <c r="B2125" t="s">
        <v>37</v>
      </c>
      <c r="C2125" t="s">
        <v>57</v>
      </c>
      <c r="D2125">
        <v>66384</v>
      </c>
      <c r="E2125" s="2">
        <v>1670573.19</v>
      </c>
    </row>
    <row r="2126" spans="1:5" ht="15" x14ac:dyDescent="0.2">
      <c r="A2126" s="1" t="s">
        <v>73</v>
      </c>
      <c r="B2126" t="s">
        <v>17</v>
      </c>
      <c r="C2126" t="s">
        <v>57</v>
      </c>
      <c r="D2126">
        <v>66384</v>
      </c>
      <c r="E2126" s="2">
        <v>3991722.3</v>
      </c>
    </row>
    <row r="2127" spans="1:5" ht="15" x14ac:dyDescent="0.2">
      <c r="A2127" s="1" t="s">
        <v>101</v>
      </c>
      <c r="B2127" t="s">
        <v>39</v>
      </c>
      <c r="C2127" t="s">
        <v>57</v>
      </c>
      <c r="D2127">
        <v>66384</v>
      </c>
      <c r="E2127" s="2">
        <v>5543581.2199999997</v>
      </c>
    </row>
    <row r="2128" spans="1:5" ht="15" x14ac:dyDescent="0.2">
      <c r="A2128" s="1" t="s">
        <v>105</v>
      </c>
      <c r="B2128" t="s">
        <v>41</v>
      </c>
      <c r="C2128" t="s">
        <v>57</v>
      </c>
      <c r="D2128">
        <v>66384</v>
      </c>
      <c r="E2128" s="2">
        <v>1622450.97</v>
      </c>
    </row>
    <row r="2129" spans="1:5" ht="15" x14ac:dyDescent="0.2">
      <c r="A2129" s="1" t="s">
        <v>70</v>
      </c>
      <c r="B2129" t="s">
        <v>8</v>
      </c>
      <c r="C2129" t="s">
        <v>57</v>
      </c>
      <c r="D2129">
        <v>66384</v>
      </c>
      <c r="E2129" s="2">
        <v>25910827.73</v>
      </c>
    </row>
    <row r="2130" spans="1:5" ht="15" x14ac:dyDescent="0.2">
      <c r="A2130" s="1" t="s">
        <v>71</v>
      </c>
      <c r="B2130" t="s">
        <v>9</v>
      </c>
      <c r="C2130" t="s">
        <v>57</v>
      </c>
      <c r="D2130">
        <v>66384</v>
      </c>
      <c r="E2130" s="2">
        <v>10771909.34</v>
      </c>
    </row>
    <row r="2131" spans="1:5" ht="15" x14ac:dyDescent="0.2">
      <c r="A2131" s="1" t="s">
        <v>85</v>
      </c>
      <c r="B2131" t="s">
        <v>24</v>
      </c>
      <c r="C2131" t="s">
        <v>57</v>
      </c>
      <c r="D2131">
        <v>68945</v>
      </c>
      <c r="E2131" s="2">
        <v>11022404.050000001</v>
      </c>
    </row>
    <row r="2132" spans="1:5" ht="15" x14ac:dyDescent="0.2">
      <c r="A2132" s="1" t="s">
        <v>83</v>
      </c>
      <c r="B2132" t="s">
        <v>23</v>
      </c>
      <c r="C2132" t="s">
        <v>57</v>
      </c>
      <c r="D2132">
        <v>68945</v>
      </c>
      <c r="E2132" s="2">
        <v>2568964.4300000002</v>
      </c>
    </row>
    <row r="2133" spans="1:5" ht="15" x14ac:dyDescent="0.2">
      <c r="A2133" s="1" t="s">
        <v>80</v>
      </c>
      <c r="B2133" t="s">
        <v>22</v>
      </c>
      <c r="C2133" t="s">
        <v>57</v>
      </c>
      <c r="D2133">
        <v>68945</v>
      </c>
      <c r="E2133" s="2">
        <v>6808736.8200000003</v>
      </c>
    </row>
    <row r="2134" spans="1:5" ht="15" x14ac:dyDescent="0.2">
      <c r="A2134" s="1" t="s">
        <v>74</v>
      </c>
      <c r="B2134" t="s">
        <v>11</v>
      </c>
      <c r="C2134" t="s">
        <v>57</v>
      </c>
      <c r="D2134">
        <v>68945</v>
      </c>
      <c r="E2134" s="2">
        <v>369090.02</v>
      </c>
    </row>
    <row r="2135" spans="1:5" ht="15" x14ac:dyDescent="0.2">
      <c r="A2135" s="1" t="s">
        <v>102</v>
      </c>
      <c r="B2135" t="s">
        <v>36</v>
      </c>
      <c r="C2135" t="s">
        <v>57</v>
      </c>
      <c r="D2135">
        <v>68945</v>
      </c>
      <c r="E2135" s="2">
        <v>1787258.65</v>
      </c>
    </row>
    <row r="2136" spans="1:5" ht="15" x14ac:dyDescent="0.2">
      <c r="A2136" s="1" t="s">
        <v>73</v>
      </c>
      <c r="B2136" t="s">
        <v>17</v>
      </c>
      <c r="C2136" t="s">
        <v>57</v>
      </c>
      <c r="D2136">
        <v>68945</v>
      </c>
      <c r="E2136" s="2">
        <v>1221136.27</v>
      </c>
    </row>
    <row r="2137" spans="1:5" ht="15" x14ac:dyDescent="0.2">
      <c r="A2137" s="1" t="s">
        <v>104</v>
      </c>
      <c r="B2137" t="s">
        <v>40</v>
      </c>
      <c r="C2137" t="s">
        <v>57</v>
      </c>
      <c r="D2137">
        <v>68945</v>
      </c>
      <c r="E2137" s="2">
        <v>4022893.76</v>
      </c>
    </row>
    <row r="2138" spans="1:5" ht="15" x14ac:dyDescent="0.2">
      <c r="A2138" s="1" t="s">
        <v>70</v>
      </c>
      <c r="B2138" t="s">
        <v>8</v>
      </c>
      <c r="C2138" t="s">
        <v>57</v>
      </c>
      <c r="D2138">
        <v>68945</v>
      </c>
      <c r="E2138" s="2">
        <v>36049172.5</v>
      </c>
    </row>
    <row r="2139" spans="1:5" ht="15" x14ac:dyDescent="0.2">
      <c r="A2139" s="1" t="s">
        <v>86</v>
      </c>
      <c r="B2139" t="s">
        <v>25</v>
      </c>
      <c r="C2139" t="s">
        <v>57</v>
      </c>
      <c r="D2139">
        <v>69407</v>
      </c>
      <c r="E2139" s="2">
        <v>4661781.0599999996</v>
      </c>
    </row>
    <row r="2140" spans="1:5" ht="15" x14ac:dyDescent="0.2">
      <c r="A2140" s="1" t="s">
        <v>85</v>
      </c>
      <c r="B2140" t="s">
        <v>24</v>
      </c>
      <c r="C2140" t="s">
        <v>57</v>
      </c>
      <c r="D2140">
        <v>69407</v>
      </c>
      <c r="E2140" s="2">
        <v>12889.47</v>
      </c>
    </row>
    <row r="2141" spans="1:5" ht="15" x14ac:dyDescent="0.2">
      <c r="A2141" s="1" t="s">
        <v>84</v>
      </c>
      <c r="B2141" t="s">
        <v>16</v>
      </c>
      <c r="C2141" t="s">
        <v>57</v>
      </c>
      <c r="D2141">
        <v>69407</v>
      </c>
      <c r="E2141" s="2">
        <v>1053515.48</v>
      </c>
    </row>
    <row r="2142" spans="1:5" ht="15" x14ac:dyDescent="0.2">
      <c r="A2142" s="1" t="s">
        <v>83</v>
      </c>
      <c r="B2142" t="s">
        <v>23</v>
      </c>
      <c r="C2142" t="s">
        <v>57</v>
      </c>
      <c r="D2142">
        <v>69407</v>
      </c>
      <c r="E2142" s="2">
        <v>1158.49</v>
      </c>
    </row>
    <row r="2143" spans="1:5" ht="15" x14ac:dyDescent="0.2">
      <c r="A2143" s="1" t="s">
        <v>103</v>
      </c>
      <c r="B2143" t="s">
        <v>37</v>
      </c>
      <c r="C2143" t="s">
        <v>57</v>
      </c>
      <c r="D2143">
        <v>69407</v>
      </c>
      <c r="E2143" s="2">
        <v>1290202.53</v>
      </c>
    </row>
    <row r="2144" spans="1:5" ht="15" x14ac:dyDescent="0.2">
      <c r="A2144" s="1" t="s">
        <v>73</v>
      </c>
      <c r="B2144" t="s">
        <v>17</v>
      </c>
      <c r="C2144" t="s">
        <v>57</v>
      </c>
      <c r="D2144">
        <v>69407</v>
      </c>
      <c r="E2144" s="2">
        <v>1326.96</v>
      </c>
    </row>
    <row r="2145" spans="1:5" ht="15" x14ac:dyDescent="0.2">
      <c r="A2145" s="1" t="s">
        <v>105</v>
      </c>
      <c r="B2145" t="s">
        <v>41</v>
      </c>
      <c r="C2145" t="s">
        <v>57</v>
      </c>
      <c r="D2145">
        <v>69407</v>
      </c>
      <c r="E2145" s="2">
        <v>2158753.2000000002</v>
      </c>
    </row>
    <row r="2146" spans="1:5" ht="15" x14ac:dyDescent="0.2">
      <c r="A2146" s="1" t="s">
        <v>66</v>
      </c>
      <c r="B2146" t="s">
        <v>47</v>
      </c>
      <c r="C2146" t="s">
        <v>57</v>
      </c>
      <c r="D2146">
        <v>74838</v>
      </c>
      <c r="E2146" s="2">
        <v>4478332.71</v>
      </c>
    </row>
    <row r="2147" spans="1:5" ht="15" x14ac:dyDescent="0.2">
      <c r="A2147" s="1" t="s">
        <v>79</v>
      </c>
      <c r="B2147" t="s">
        <v>21</v>
      </c>
      <c r="C2147" t="s">
        <v>57</v>
      </c>
      <c r="D2147">
        <v>74838</v>
      </c>
      <c r="E2147" s="2">
        <v>981523.42</v>
      </c>
    </row>
    <row r="2148" spans="1:5" ht="15" x14ac:dyDescent="0.2">
      <c r="A2148" s="1" t="s">
        <v>91</v>
      </c>
      <c r="B2148" t="s">
        <v>30</v>
      </c>
      <c r="C2148" t="s">
        <v>57</v>
      </c>
      <c r="D2148">
        <v>74838</v>
      </c>
      <c r="E2148" s="2">
        <v>792.8</v>
      </c>
    </row>
    <row r="2149" spans="1:5" ht="15" x14ac:dyDescent="0.2">
      <c r="A2149" s="1" t="s">
        <v>93</v>
      </c>
      <c r="B2149" t="s">
        <v>32</v>
      </c>
      <c r="C2149" t="s">
        <v>57</v>
      </c>
      <c r="D2149">
        <v>74838</v>
      </c>
      <c r="E2149" s="2">
        <v>52730045.770000003</v>
      </c>
    </row>
    <row r="2150" spans="1:5" ht="15" x14ac:dyDescent="0.2">
      <c r="A2150" s="1" t="s">
        <v>94</v>
      </c>
      <c r="B2150" t="s">
        <v>33</v>
      </c>
      <c r="C2150" t="s">
        <v>57</v>
      </c>
      <c r="D2150">
        <v>74838</v>
      </c>
      <c r="E2150" s="2">
        <v>20538601.920000002</v>
      </c>
    </row>
    <row r="2151" spans="1:5" ht="15" x14ac:dyDescent="0.2">
      <c r="A2151" s="1" t="s">
        <v>85</v>
      </c>
      <c r="B2151" t="s">
        <v>24</v>
      </c>
      <c r="C2151" t="s">
        <v>57</v>
      </c>
      <c r="D2151">
        <v>74838</v>
      </c>
      <c r="E2151" s="2">
        <v>23260426.190000001</v>
      </c>
    </row>
    <row r="2152" spans="1:5" ht="15" x14ac:dyDescent="0.2">
      <c r="A2152" s="1" t="s">
        <v>84</v>
      </c>
      <c r="B2152" t="s">
        <v>16</v>
      </c>
      <c r="C2152" t="s">
        <v>57</v>
      </c>
      <c r="D2152">
        <v>74838</v>
      </c>
      <c r="E2152" s="2">
        <v>2531368.23</v>
      </c>
    </row>
    <row r="2153" spans="1:5" ht="15" x14ac:dyDescent="0.2">
      <c r="A2153" s="1" t="s">
        <v>76</v>
      </c>
      <c r="B2153" t="s">
        <v>13</v>
      </c>
      <c r="C2153" t="s">
        <v>57</v>
      </c>
      <c r="D2153">
        <v>74838</v>
      </c>
      <c r="E2153" s="2">
        <v>3767730.85</v>
      </c>
    </row>
    <row r="2154" spans="1:5" ht="15" x14ac:dyDescent="0.2">
      <c r="A2154" s="1" t="s">
        <v>80</v>
      </c>
      <c r="B2154" t="s">
        <v>22</v>
      </c>
      <c r="C2154" t="s">
        <v>57</v>
      </c>
      <c r="D2154">
        <v>74838</v>
      </c>
      <c r="E2154" s="2">
        <v>2120023.5499999998</v>
      </c>
    </row>
    <row r="2155" spans="1:5" ht="15" x14ac:dyDescent="0.2">
      <c r="A2155" s="1" t="s">
        <v>99</v>
      </c>
      <c r="B2155" t="s">
        <v>35</v>
      </c>
      <c r="C2155" t="s">
        <v>57</v>
      </c>
      <c r="D2155">
        <v>74838</v>
      </c>
      <c r="E2155" s="2">
        <v>16170630.76</v>
      </c>
    </row>
    <row r="2156" spans="1:5" ht="15" x14ac:dyDescent="0.2">
      <c r="A2156" s="1" t="s">
        <v>66</v>
      </c>
      <c r="B2156" t="s">
        <v>47</v>
      </c>
      <c r="C2156" t="s">
        <v>57</v>
      </c>
      <c r="D2156">
        <v>76523</v>
      </c>
      <c r="E2156" s="2">
        <v>5673155.3600000003</v>
      </c>
    </row>
    <row r="2157" spans="1:5" ht="15" x14ac:dyDescent="0.2">
      <c r="A2157" s="1" t="s">
        <v>86</v>
      </c>
      <c r="B2157" t="s">
        <v>25</v>
      </c>
      <c r="C2157" t="s">
        <v>57</v>
      </c>
      <c r="D2157">
        <v>76523</v>
      </c>
      <c r="E2157" s="2">
        <v>6113571</v>
      </c>
    </row>
    <row r="2158" spans="1:5" ht="15" x14ac:dyDescent="0.2">
      <c r="A2158" s="1" t="s">
        <v>79</v>
      </c>
      <c r="B2158" t="s">
        <v>21</v>
      </c>
      <c r="C2158" t="s">
        <v>57</v>
      </c>
      <c r="D2158">
        <v>76523</v>
      </c>
      <c r="E2158" s="2">
        <v>771202.18</v>
      </c>
    </row>
    <row r="2159" spans="1:5" ht="15" x14ac:dyDescent="0.2">
      <c r="A2159" s="1" t="s">
        <v>89</v>
      </c>
      <c r="B2159" t="s">
        <v>28</v>
      </c>
      <c r="C2159" t="s">
        <v>57</v>
      </c>
      <c r="D2159">
        <v>76523</v>
      </c>
      <c r="E2159" s="2">
        <v>3794703.21</v>
      </c>
    </row>
    <row r="2160" spans="1:5" ht="15" x14ac:dyDescent="0.2">
      <c r="A2160" s="1" t="s">
        <v>84</v>
      </c>
      <c r="B2160" t="s">
        <v>16</v>
      </c>
      <c r="C2160" t="s">
        <v>57</v>
      </c>
      <c r="D2160">
        <v>76523</v>
      </c>
      <c r="E2160" s="2">
        <v>4899055.5199999996</v>
      </c>
    </row>
    <row r="2161" spans="1:5" ht="15" x14ac:dyDescent="0.2">
      <c r="A2161" s="1" t="s">
        <v>75</v>
      </c>
      <c r="B2161" t="s">
        <v>12</v>
      </c>
      <c r="C2161" t="s">
        <v>57</v>
      </c>
      <c r="D2161">
        <v>76523</v>
      </c>
      <c r="E2161" s="2">
        <v>11804.08</v>
      </c>
    </row>
    <row r="2162" spans="1:5" ht="15" x14ac:dyDescent="0.2">
      <c r="A2162" s="1" t="s">
        <v>96</v>
      </c>
      <c r="B2162" t="s">
        <v>44</v>
      </c>
      <c r="C2162" t="s">
        <v>57</v>
      </c>
      <c r="D2162">
        <v>76523</v>
      </c>
      <c r="E2162" s="2">
        <v>1850794.28</v>
      </c>
    </row>
    <row r="2163" spans="1:5" ht="15" x14ac:dyDescent="0.2">
      <c r="A2163" s="1" t="s">
        <v>81</v>
      </c>
      <c r="B2163" t="s">
        <v>14</v>
      </c>
      <c r="C2163" t="s">
        <v>57</v>
      </c>
      <c r="D2163">
        <v>76523</v>
      </c>
      <c r="E2163" s="2">
        <v>1958076.6</v>
      </c>
    </row>
    <row r="2164" spans="1:5" ht="15" x14ac:dyDescent="0.2">
      <c r="A2164" s="1" t="s">
        <v>89</v>
      </c>
      <c r="B2164" t="s">
        <v>28</v>
      </c>
      <c r="C2164" t="s">
        <v>57</v>
      </c>
      <c r="D2164">
        <v>78601</v>
      </c>
      <c r="E2164" s="2">
        <v>1685824.31</v>
      </c>
    </row>
    <row r="2165" spans="1:5" ht="15" x14ac:dyDescent="0.2">
      <c r="A2165" s="1" t="s">
        <v>75</v>
      </c>
      <c r="B2165" t="s">
        <v>12</v>
      </c>
      <c r="C2165" t="s">
        <v>57</v>
      </c>
      <c r="D2165">
        <v>78601</v>
      </c>
      <c r="E2165" s="2">
        <v>6476161.0099999998</v>
      </c>
    </row>
    <row r="2166" spans="1:5" ht="15" x14ac:dyDescent="0.2">
      <c r="A2166" s="1" t="s">
        <v>95</v>
      </c>
      <c r="B2166" t="s">
        <v>38</v>
      </c>
      <c r="C2166" t="s">
        <v>57</v>
      </c>
      <c r="D2166">
        <v>78601</v>
      </c>
      <c r="E2166" s="2">
        <v>145384570.93000001</v>
      </c>
    </row>
    <row r="2167" spans="1:5" ht="15" x14ac:dyDescent="0.2">
      <c r="A2167" s="1" t="s">
        <v>77</v>
      </c>
      <c r="B2167" t="s">
        <v>18</v>
      </c>
      <c r="C2167" t="s">
        <v>57</v>
      </c>
      <c r="D2167">
        <v>78601</v>
      </c>
      <c r="E2167" s="2">
        <v>9734729.2899999991</v>
      </c>
    </row>
    <row r="2168" spans="1:5" ht="15" x14ac:dyDescent="0.2">
      <c r="A2168" s="1" t="s">
        <v>100</v>
      </c>
      <c r="B2168" t="s">
        <v>43</v>
      </c>
      <c r="C2168" t="s">
        <v>57</v>
      </c>
      <c r="D2168">
        <v>78601</v>
      </c>
      <c r="E2168" s="2">
        <v>554449.71</v>
      </c>
    </row>
    <row r="2169" spans="1:5" ht="15" x14ac:dyDescent="0.2">
      <c r="A2169" s="1" t="s">
        <v>73</v>
      </c>
      <c r="B2169" t="s">
        <v>17</v>
      </c>
      <c r="C2169" t="s">
        <v>57</v>
      </c>
      <c r="D2169">
        <v>78601</v>
      </c>
      <c r="E2169" s="2">
        <v>1132516.55</v>
      </c>
    </row>
    <row r="2170" spans="1:5" ht="15" x14ac:dyDescent="0.2">
      <c r="A2170" s="1" t="s">
        <v>75</v>
      </c>
      <c r="B2170" t="s">
        <v>19</v>
      </c>
      <c r="C2170" t="s">
        <v>57</v>
      </c>
      <c r="D2170">
        <v>78601</v>
      </c>
      <c r="E2170" s="2">
        <v>0.1</v>
      </c>
    </row>
    <row r="2171" spans="1:5" ht="15" x14ac:dyDescent="0.2">
      <c r="A2171" s="1" t="s">
        <v>64</v>
      </c>
      <c r="B2171" t="s">
        <v>3</v>
      </c>
      <c r="C2171" t="s">
        <v>57</v>
      </c>
      <c r="D2171">
        <v>79089</v>
      </c>
      <c r="E2171" s="2">
        <v>29181112.18</v>
      </c>
    </row>
    <row r="2172" spans="1:5" ht="15" x14ac:dyDescent="0.2">
      <c r="A2172" s="1" t="s">
        <v>75</v>
      </c>
      <c r="B2172" t="s">
        <v>12</v>
      </c>
      <c r="C2172" t="s">
        <v>57</v>
      </c>
      <c r="D2172">
        <v>79089</v>
      </c>
      <c r="E2172" s="2">
        <v>10145393.1</v>
      </c>
    </row>
    <row r="2173" spans="1:5" ht="15" x14ac:dyDescent="0.2">
      <c r="A2173" s="1" t="s">
        <v>76</v>
      </c>
      <c r="B2173" t="s">
        <v>13</v>
      </c>
      <c r="C2173" t="s">
        <v>57</v>
      </c>
      <c r="D2173">
        <v>79089</v>
      </c>
      <c r="E2173" s="2">
        <v>3228029.13</v>
      </c>
    </row>
    <row r="2174" spans="1:5" ht="15" x14ac:dyDescent="0.2">
      <c r="A2174" s="1" t="s">
        <v>97</v>
      </c>
      <c r="B2174" t="s">
        <v>42</v>
      </c>
      <c r="C2174" t="s">
        <v>57</v>
      </c>
      <c r="D2174">
        <v>79089</v>
      </c>
      <c r="E2174" s="2">
        <v>2157.92</v>
      </c>
    </row>
    <row r="2175" spans="1:5" ht="15" x14ac:dyDescent="0.2">
      <c r="A2175" s="1" t="s">
        <v>88</v>
      </c>
      <c r="B2175" t="s">
        <v>27</v>
      </c>
      <c r="C2175" t="s">
        <v>57</v>
      </c>
      <c r="D2175">
        <v>79089</v>
      </c>
      <c r="E2175" s="2">
        <v>2782014.08</v>
      </c>
    </row>
    <row r="2176" spans="1:5" ht="15" x14ac:dyDescent="0.2">
      <c r="A2176" s="1" t="s">
        <v>87</v>
      </c>
      <c r="B2176" t="s">
        <v>26</v>
      </c>
      <c r="C2176" t="s">
        <v>57</v>
      </c>
      <c r="D2176">
        <v>79089</v>
      </c>
      <c r="E2176" s="2">
        <v>1735302.95</v>
      </c>
    </row>
    <row r="2177" spans="1:5" ht="15" x14ac:dyDescent="0.2">
      <c r="A2177" s="1" t="s">
        <v>75</v>
      </c>
      <c r="B2177" t="s">
        <v>19</v>
      </c>
      <c r="C2177" t="s">
        <v>57</v>
      </c>
      <c r="D2177">
        <v>79089</v>
      </c>
      <c r="E2177" s="2">
        <v>1186.57</v>
      </c>
    </row>
    <row r="2178" spans="1:5" ht="15" x14ac:dyDescent="0.2">
      <c r="A2178" s="1" t="s">
        <v>104</v>
      </c>
      <c r="B2178" t="s">
        <v>40</v>
      </c>
      <c r="C2178" t="s">
        <v>57</v>
      </c>
      <c r="D2178">
        <v>79089</v>
      </c>
      <c r="E2178" s="2">
        <v>17605812.82</v>
      </c>
    </row>
    <row r="2179" spans="1:5" ht="15" x14ac:dyDescent="0.2">
      <c r="A2179" s="1" t="s">
        <v>105</v>
      </c>
      <c r="B2179" t="s">
        <v>41</v>
      </c>
      <c r="C2179" t="s">
        <v>57</v>
      </c>
      <c r="D2179">
        <v>79089</v>
      </c>
      <c r="E2179" s="2">
        <v>1350034.59</v>
      </c>
    </row>
    <row r="2180" spans="1:5" ht="15" x14ac:dyDescent="0.2">
      <c r="A2180" s="1" t="s">
        <v>71</v>
      </c>
      <c r="B2180" t="s">
        <v>9</v>
      </c>
      <c r="C2180" t="s">
        <v>57</v>
      </c>
      <c r="D2180">
        <v>79089</v>
      </c>
      <c r="E2180" s="2">
        <v>7113727.3499999996</v>
      </c>
    </row>
    <row r="2181" spans="1:5" ht="15" x14ac:dyDescent="0.2">
      <c r="A2181" s="1" t="s">
        <v>66</v>
      </c>
      <c r="B2181" t="s">
        <v>47</v>
      </c>
      <c r="C2181" t="s">
        <v>57</v>
      </c>
      <c r="D2181">
        <v>79863</v>
      </c>
      <c r="E2181" s="2">
        <v>1357.96</v>
      </c>
    </row>
    <row r="2182" spans="1:5" ht="15" x14ac:dyDescent="0.2">
      <c r="A2182" s="1" t="s">
        <v>94</v>
      </c>
      <c r="B2182" t="s">
        <v>33</v>
      </c>
      <c r="C2182" t="s">
        <v>57</v>
      </c>
      <c r="D2182">
        <v>79863</v>
      </c>
      <c r="E2182" s="2">
        <v>13907326.24</v>
      </c>
    </row>
    <row r="2183" spans="1:5" ht="15" x14ac:dyDescent="0.2">
      <c r="A2183" s="1" t="s">
        <v>85</v>
      </c>
      <c r="B2183" t="s">
        <v>24</v>
      </c>
      <c r="C2183" t="s">
        <v>57</v>
      </c>
      <c r="D2183">
        <v>79863</v>
      </c>
      <c r="E2183" s="2">
        <v>3214.13</v>
      </c>
    </row>
    <row r="2184" spans="1:5" ht="15" x14ac:dyDescent="0.2">
      <c r="A2184" s="1" t="s">
        <v>83</v>
      </c>
      <c r="B2184" t="s">
        <v>23</v>
      </c>
      <c r="C2184" t="s">
        <v>57</v>
      </c>
      <c r="D2184">
        <v>79863</v>
      </c>
      <c r="E2184" s="2">
        <v>2414156.29</v>
      </c>
    </row>
    <row r="2185" spans="1:5" ht="15" x14ac:dyDescent="0.2">
      <c r="A2185" s="1" t="s">
        <v>74</v>
      </c>
      <c r="B2185" t="s">
        <v>11</v>
      </c>
      <c r="C2185" t="s">
        <v>57</v>
      </c>
      <c r="D2185">
        <v>79863</v>
      </c>
      <c r="E2185" s="2">
        <v>826889.99</v>
      </c>
    </row>
    <row r="2186" spans="1:5" ht="15" x14ac:dyDescent="0.2">
      <c r="A2186" s="1" t="s">
        <v>72</v>
      </c>
      <c r="B2186" t="s">
        <v>10</v>
      </c>
      <c r="C2186" t="s">
        <v>57</v>
      </c>
      <c r="D2186">
        <v>79863</v>
      </c>
      <c r="E2186" s="2">
        <v>807942.57</v>
      </c>
    </row>
    <row r="2187" spans="1:5" ht="15" x14ac:dyDescent="0.2">
      <c r="A2187" s="1" t="s">
        <v>81</v>
      </c>
      <c r="B2187" t="s">
        <v>14</v>
      </c>
      <c r="C2187" t="s">
        <v>57</v>
      </c>
      <c r="D2187">
        <v>79863</v>
      </c>
      <c r="E2187" s="2">
        <v>7713783.8399999999</v>
      </c>
    </row>
    <row r="2188" spans="1:5" ht="15" x14ac:dyDescent="0.2">
      <c r="A2188" s="1" t="s">
        <v>102</v>
      </c>
      <c r="B2188" t="s">
        <v>36</v>
      </c>
      <c r="C2188" t="s">
        <v>57</v>
      </c>
      <c r="D2188">
        <v>79863</v>
      </c>
      <c r="E2188" s="2">
        <v>889057.09</v>
      </c>
    </row>
    <row r="2189" spans="1:5" ht="15" x14ac:dyDescent="0.2">
      <c r="A2189" s="1" t="s">
        <v>103</v>
      </c>
      <c r="B2189" t="s">
        <v>37</v>
      </c>
      <c r="C2189" t="s">
        <v>57</v>
      </c>
      <c r="D2189">
        <v>79863</v>
      </c>
      <c r="E2189" s="2">
        <v>2758733.36</v>
      </c>
    </row>
    <row r="2190" spans="1:5" ht="15" x14ac:dyDescent="0.2">
      <c r="A2190" s="1" t="s">
        <v>104</v>
      </c>
      <c r="B2190" t="s">
        <v>40</v>
      </c>
      <c r="C2190" t="s">
        <v>57</v>
      </c>
      <c r="D2190">
        <v>79863</v>
      </c>
      <c r="E2190" s="2">
        <v>2949.92</v>
      </c>
    </row>
    <row r="2191" spans="1:5" ht="15" x14ac:dyDescent="0.2">
      <c r="A2191" s="1" t="s">
        <v>93</v>
      </c>
      <c r="B2191" t="s">
        <v>32</v>
      </c>
      <c r="C2191" t="s">
        <v>57</v>
      </c>
      <c r="D2191">
        <v>82313</v>
      </c>
      <c r="E2191" s="2">
        <v>56116293.670000002</v>
      </c>
    </row>
    <row r="2192" spans="1:5" ht="15" x14ac:dyDescent="0.2">
      <c r="A2192" s="1" t="s">
        <v>95</v>
      </c>
      <c r="B2192" t="s">
        <v>38</v>
      </c>
      <c r="C2192" t="s">
        <v>57</v>
      </c>
      <c r="D2192">
        <v>82313</v>
      </c>
      <c r="E2192" s="2">
        <v>142056556.06</v>
      </c>
    </row>
    <row r="2193" spans="1:5" ht="15" x14ac:dyDescent="0.2">
      <c r="A2193" s="1" t="s">
        <v>83</v>
      </c>
      <c r="B2193" t="s">
        <v>23</v>
      </c>
      <c r="C2193" t="s">
        <v>57</v>
      </c>
      <c r="D2193">
        <v>82313</v>
      </c>
      <c r="E2193" s="2">
        <v>3131108.19</v>
      </c>
    </row>
    <row r="2194" spans="1:5" ht="15" x14ac:dyDescent="0.2">
      <c r="A2194" s="1" t="s">
        <v>96</v>
      </c>
      <c r="B2194" t="s">
        <v>44</v>
      </c>
      <c r="C2194" t="s">
        <v>57</v>
      </c>
      <c r="D2194">
        <v>82313</v>
      </c>
      <c r="E2194" s="2">
        <v>1868808.83</v>
      </c>
    </row>
    <row r="2195" spans="1:5" ht="15" x14ac:dyDescent="0.2">
      <c r="A2195" s="1" t="s">
        <v>99</v>
      </c>
      <c r="B2195" t="s">
        <v>35</v>
      </c>
      <c r="C2195" t="s">
        <v>57</v>
      </c>
      <c r="D2195">
        <v>82313</v>
      </c>
      <c r="E2195" s="2">
        <v>15144313.380000001</v>
      </c>
    </row>
    <row r="2196" spans="1:5" ht="15" x14ac:dyDescent="0.2">
      <c r="A2196" s="1" t="s">
        <v>81</v>
      </c>
      <c r="B2196" t="s">
        <v>14</v>
      </c>
      <c r="C2196" t="s">
        <v>57</v>
      </c>
      <c r="D2196">
        <v>82313</v>
      </c>
      <c r="E2196" s="2">
        <v>3321940.14</v>
      </c>
    </row>
    <row r="2197" spans="1:5" ht="15" x14ac:dyDescent="0.2">
      <c r="A2197" s="1" t="s">
        <v>87</v>
      </c>
      <c r="B2197" t="s">
        <v>26</v>
      </c>
      <c r="C2197" t="s">
        <v>57</v>
      </c>
      <c r="D2197">
        <v>82313</v>
      </c>
      <c r="E2197" s="2">
        <v>989483.42</v>
      </c>
    </row>
    <row r="2198" spans="1:5" ht="15" x14ac:dyDescent="0.2">
      <c r="A2198" s="1" t="s">
        <v>101</v>
      </c>
      <c r="B2198" t="s">
        <v>39</v>
      </c>
      <c r="C2198" t="s">
        <v>57</v>
      </c>
      <c r="D2198">
        <v>82313</v>
      </c>
      <c r="E2198" s="2">
        <v>1753900.4</v>
      </c>
    </row>
    <row r="2199" spans="1:5" ht="15" x14ac:dyDescent="0.2">
      <c r="A2199" s="1" t="s">
        <v>104</v>
      </c>
      <c r="B2199" t="s">
        <v>40</v>
      </c>
      <c r="C2199" t="s">
        <v>57</v>
      </c>
      <c r="D2199">
        <v>82313</v>
      </c>
      <c r="E2199" s="2">
        <v>6545745.4299999997</v>
      </c>
    </row>
    <row r="2200" spans="1:5" ht="15" x14ac:dyDescent="0.2">
      <c r="A2200" s="1" t="s">
        <v>71</v>
      </c>
      <c r="B2200" t="s">
        <v>9</v>
      </c>
      <c r="C2200" t="s">
        <v>57</v>
      </c>
      <c r="D2200">
        <v>82313</v>
      </c>
      <c r="E2200" s="2">
        <v>24348859.5</v>
      </c>
    </row>
    <row r="2201" spans="1:5" ht="15" x14ac:dyDescent="0.2">
      <c r="A2201" s="1" t="s">
        <v>86</v>
      </c>
      <c r="B2201" t="s">
        <v>25</v>
      </c>
      <c r="C2201" t="s">
        <v>57</v>
      </c>
      <c r="D2201">
        <v>87775</v>
      </c>
      <c r="E2201" s="2">
        <v>8522.06</v>
      </c>
    </row>
    <row r="2202" spans="1:5" ht="15" x14ac:dyDescent="0.2">
      <c r="A2202" s="1" t="s">
        <v>91</v>
      </c>
      <c r="B2202" t="s">
        <v>30</v>
      </c>
      <c r="C2202" t="s">
        <v>57</v>
      </c>
      <c r="D2202">
        <v>87775</v>
      </c>
      <c r="E2202" s="2">
        <v>86559054.709999993</v>
      </c>
    </row>
    <row r="2203" spans="1:5" ht="15" x14ac:dyDescent="0.2">
      <c r="A2203" s="1" t="s">
        <v>93</v>
      </c>
      <c r="B2203" t="s">
        <v>32</v>
      </c>
      <c r="C2203" t="s">
        <v>57</v>
      </c>
      <c r="D2203">
        <v>87775</v>
      </c>
      <c r="E2203" s="2">
        <v>42900633.189999998</v>
      </c>
    </row>
    <row r="2204" spans="1:5" ht="15" x14ac:dyDescent="0.2">
      <c r="A2204" s="1" t="s">
        <v>99</v>
      </c>
      <c r="B2204" t="s">
        <v>35</v>
      </c>
      <c r="C2204" t="s">
        <v>57</v>
      </c>
      <c r="D2204">
        <v>87775</v>
      </c>
      <c r="E2204" s="2">
        <v>16624849.75</v>
      </c>
    </row>
    <row r="2205" spans="1:5" ht="15" x14ac:dyDescent="0.2">
      <c r="A2205" s="1" t="s">
        <v>100</v>
      </c>
      <c r="B2205" t="s">
        <v>43</v>
      </c>
      <c r="C2205" t="s">
        <v>57</v>
      </c>
      <c r="D2205">
        <v>87775</v>
      </c>
      <c r="E2205" s="2">
        <v>119515.31</v>
      </c>
    </row>
    <row r="2206" spans="1:5" ht="15" x14ac:dyDescent="0.2">
      <c r="A2206" s="1" t="s">
        <v>87</v>
      </c>
      <c r="B2206" t="s">
        <v>26</v>
      </c>
      <c r="C2206" t="s">
        <v>57</v>
      </c>
      <c r="D2206">
        <v>87775</v>
      </c>
      <c r="E2206" s="2">
        <v>4245760.62</v>
      </c>
    </row>
    <row r="2207" spans="1:5" ht="15" x14ac:dyDescent="0.2">
      <c r="A2207" s="1" t="s">
        <v>75</v>
      </c>
      <c r="B2207" t="s">
        <v>19</v>
      </c>
      <c r="C2207" t="s">
        <v>57</v>
      </c>
      <c r="D2207">
        <v>87775</v>
      </c>
      <c r="E2207" s="2">
        <v>5756576.3399999999</v>
      </c>
    </row>
    <row r="2208" spans="1:5" ht="15" x14ac:dyDescent="0.2">
      <c r="A2208" s="1" t="s">
        <v>70</v>
      </c>
      <c r="B2208" t="s">
        <v>8</v>
      </c>
      <c r="C2208" t="s">
        <v>57</v>
      </c>
      <c r="D2208">
        <v>87775</v>
      </c>
      <c r="E2208" s="2">
        <v>25583815.84</v>
      </c>
    </row>
    <row r="2209" spans="1:5" ht="15" x14ac:dyDescent="0.2">
      <c r="A2209" s="1" t="s">
        <v>82</v>
      </c>
      <c r="B2209" t="s">
        <v>15</v>
      </c>
      <c r="C2209" t="s">
        <v>57</v>
      </c>
      <c r="D2209">
        <v>87775</v>
      </c>
      <c r="E2209" s="2">
        <v>1839915.91</v>
      </c>
    </row>
    <row r="2210" spans="1:5" ht="15" x14ac:dyDescent="0.2">
      <c r="A2210" s="1" t="s">
        <v>67</v>
      </c>
      <c r="B2210" t="s">
        <v>5</v>
      </c>
      <c r="C2210" t="s">
        <v>57</v>
      </c>
      <c r="D2210">
        <v>87778</v>
      </c>
      <c r="E2210" s="2">
        <v>-1858222.95</v>
      </c>
    </row>
    <row r="2211" spans="1:5" ht="15" x14ac:dyDescent="0.2">
      <c r="A2211" s="1" t="s">
        <v>79</v>
      </c>
      <c r="B2211" t="s">
        <v>21</v>
      </c>
      <c r="C2211" t="s">
        <v>57</v>
      </c>
      <c r="D2211">
        <v>87778</v>
      </c>
      <c r="E2211" s="2">
        <v>380585.68</v>
      </c>
    </row>
    <row r="2212" spans="1:5" ht="15" x14ac:dyDescent="0.2">
      <c r="A2212" s="1" t="s">
        <v>91</v>
      </c>
      <c r="B2212" t="s">
        <v>30</v>
      </c>
      <c r="C2212" t="s">
        <v>57</v>
      </c>
      <c r="D2212">
        <v>87778</v>
      </c>
      <c r="E2212" s="2">
        <v>45670266.640000001</v>
      </c>
    </row>
    <row r="2213" spans="1:5" ht="15" x14ac:dyDescent="0.2">
      <c r="A2213" s="1" t="s">
        <v>85</v>
      </c>
      <c r="B2213" t="s">
        <v>24</v>
      </c>
      <c r="C2213" t="s">
        <v>57</v>
      </c>
      <c r="D2213">
        <v>87778</v>
      </c>
      <c r="E2213" s="2">
        <v>9702224.5199999996</v>
      </c>
    </row>
    <row r="2214" spans="1:5" ht="15" x14ac:dyDescent="0.2">
      <c r="A2214" s="1" t="s">
        <v>84</v>
      </c>
      <c r="B2214" t="s">
        <v>16</v>
      </c>
      <c r="C2214" t="s">
        <v>57</v>
      </c>
      <c r="D2214">
        <v>87778</v>
      </c>
      <c r="E2214" s="2">
        <v>1746843.71</v>
      </c>
    </row>
    <row r="2215" spans="1:5" ht="15" x14ac:dyDescent="0.2">
      <c r="A2215" s="1" t="s">
        <v>83</v>
      </c>
      <c r="B2215" t="s">
        <v>23</v>
      </c>
      <c r="C2215" t="s">
        <v>57</v>
      </c>
      <c r="D2215">
        <v>87778</v>
      </c>
      <c r="E2215" s="2">
        <v>3323859.24</v>
      </c>
    </row>
    <row r="2216" spans="1:5" ht="15" x14ac:dyDescent="0.2">
      <c r="A2216" s="1" t="s">
        <v>80</v>
      </c>
      <c r="B2216" t="s">
        <v>22</v>
      </c>
      <c r="C2216" t="s">
        <v>57</v>
      </c>
      <c r="D2216">
        <v>87778</v>
      </c>
      <c r="E2216" s="2">
        <v>3174999.74</v>
      </c>
    </row>
    <row r="2217" spans="1:5" ht="15" x14ac:dyDescent="0.2">
      <c r="A2217" s="1" t="s">
        <v>104</v>
      </c>
      <c r="B2217" t="s">
        <v>40</v>
      </c>
      <c r="C2217" t="s">
        <v>57</v>
      </c>
      <c r="D2217">
        <v>87778</v>
      </c>
      <c r="E2217" s="2">
        <v>9915471.2699999996</v>
      </c>
    </row>
    <row r="2218" spans="1:5" ht="15" x14ac:dyDescent="0.2">
      <c r="A2218" s="1" t="s">
        <v>82</v>
      </c>
      <c r="B2218" t="s">
        <v>15</v>
      </c>
      <c r="C2218" t="s">
        <v>57</v>
      </c>
      <c r="D2218">
        <v>87778</v>
      </c>
      <c r="E2218" s="2">
        <v>5098800.9400000004</v>
      </c>
    </row>
    <row r="2219" spans="1:5" ht="15" x14ac:dyDescent="0.2">
      <c r="A2219" s="1" t="s">
        <v>66</v>
      </c>
      <c r="B2219" t="s">
        <v>47</v>
      </c>
      <c r="C2219" t="s">
        <v>57</v>
      </c>
      <c r="D2219">
        <v>88813</v>
      </c>
      <c r="E2219" s="2">
        <v>6204667.3099999996</v>
      </c>
    </row>
    <row r="2220" spans="1:5" ht="15" x14ac:dyDescent="0.2">
      <c r="A2220" s="1" t="s">
        <v>67</v>
      </c>
      <c r="B2220" t="s">
        <v>5</v>
      </c>
      <c r="C2220" t="s">
        <v>57</v>
      </c>
      <c r="D2220">
        <v>88813</v>
      </c>
      <c r="E2220" s="2">
        <v>0.67</v>
      </c>
    </row>
    <row r="2221" spans="1:5" ht="15" x14ac:dyDescent="0.2">
      <c r="A2221" s="1" t="s">
        <v>90</v>
      </c>
      <c r="B2221" t="s">
        <v>29</v>
      </c>
      <c r="C2221" t="s">
        <v>57</v>
      </c>
      <c r="D2221">
        <v>88813</v>
      </c>
      <c r="E2221" s="2">
        <v>1165.05</v>
      </c>
    </row>
    <row r="2222" spans="1:5" ht="15" x14ac:dyDescent="0.2">
      <c r="A2222" s="1" t="s">
        <v>100</v>
      </c>
      <c r="B2222" t="s">
        <v>43</v>
      </c>
      <c r="C2222" t="s">
        <v>57</v>
      </c>
      <c r="D2222">
        <v>88813</v>
      </c>
      <c r="E2222" s="2">
        <v>1133074.29</v>
      </c>
    </row>
    <row r="2223" spans="1:5" ht="15" x14ac:dyDescent="0.2">
      <c r="A2223" s="1" t="s">
        <v>88</v>
      </c>
      <c r="B2223" t="s">
        <v>27</v>
      </c>
      <c r="C2223" t="s">
        <v>57</v>
      </c>
      <c r="D2223">
        <v>88813</v>
      </c>
      <c r="E2223" s="2">
        <v>14917266.689999999</v>
      </c>
    </row>
    <row r="2224" spans="1:5" ht="15" x14ac:dyDescent="0.2">
      <c r="A2224" s="1" t="s">
        <v>70</v>
      </c>
      <c r="B2224" t="s">
        <v>8</v>
      </c>
      <c r="C2224" t="s">
        <v>57</v>
      </c>
      <c r="D2224">
        <v>88813</v>
      </c>
      <c r="E2224" s="2">
        <v>27294536.600000001</v>
      </c>
    </row>
    <row r="2225" spans="1:5" ht="15" x14ac:dyDescent="0.2">
      <c r="A2225" s="1" t="s">
        <v>66</v>
      </c>
      <c r="B2225" t="s">
        <v>47</v>
      </c>
      <c r="C2225" t="s">
        <v>58</v>
      </c>
      <c r="D2225">
        <v>17019</v>
      </c>
      <c r="E2225" s="2">
        <v>0.24</v>
      </c>
    </row>
    <row r="2226" spans="1:5" ht="15" x14ac:dyDescent="0.2">
      <c r="A2226" s="1" t="s">
        <v>86</v>
      </c>
      <c r="B2226" t="s">
        <v>25</v>
      </c>
      <c r="C2226" t="s">
        <v>58</v>
      </c>
      <c r="D2226">
        <v>17019</v>
      </c>
      <c r="E2226" s="2">
        <v>2633530.54</v>
      </c>
    </row>
    <row r="2227" spans="1:5" ht="15" x14ac:dyDescent="0.2">
      <c r="A2227" s="1" t="s">
        <v>91</v>
      </c>
      <c r="B2227" t="s">
        <v>30</v>
      </c>
      <c r="C2227" t="s">
        <v>58</v>
      </c>
      <c r="D2227">
        <v>17019</v>
      </c>
      <c r="E2227" s="2">
        <v>13610919.41</v>
      </c>
    </row>
    <row r="2228" spans="1:5" ht="15" x14ac:dyDescent="0.2">
      <c r="A2228" s="1" t="s">
        <v>92</v>
      </c>
      <c r="B2228" t="s">
        <v>31</v>
      </c>
      <c r="C2228" t="s">
        <v>58</v>
      </c>
      <c r="D2228">
        <v>17019</v>
      </c>
      <c r="E2228" s="2">
        <v>28042537.129999999</v>
      </c>
    </row>
    <row r="2229" spans="1:5" ht="15" x14ac:dyDescent="0.2">
      <c r="A2229" s="1" t="s">
        <v>64</v>
      </c>
      <c r="B2229" t="s">
        <v>3</v>
      </c>
      <c r="C2229" t="s">
        <v>58</v>
      </c>
      <c r="D2229">
        <v>17019</v>
      </c>
      <c r="E2229" s="2">
        <v>5180.58</v>
      </c>
    </row>
    <row r="2230" spans="1:5" ht="15" x14ac:dyDescent="0.2">
      <c r="A2230" s="1" t="s">
        <v>85</v>
      </c>
      <c r="B2230" t="s">
        <v>24</v>
      </c>
      <c r="C2230" t="s">
        <v>58</v>
      </c>
      <c r="D2230">
        <v>17019</v>
      </c>
      <c r="E2230" s="2">
        <v>4316363.6900000004</v>
      </c>
    </row>
    <row r="2231" spans="1:5" ht="15" x14ac:dyDescent="0.2">
      <c r="A2231" s="1" t="s">
        <v>76</v>
      </c>
      <c r="B2231" t="s">
        <v>13</v>
      </c>
      <c r="C2231" t="s">
        <v>58</v>
      </c>
      <c r="D2231">
        <v>17019</v>
      </c>
      <c r="E2231" s="2">
        <v>751516.28</v>
      </c>
    </row>
    <row r="2232" spans="1:5" ht="15" x14ac:dyDescent="0.2">
      <c r="A2232" s="1" t="s">
        <v>97</v>
      </c>
      <c r="B2232" t="s">
        <v>42</v>
      </c>
      <c r="C2232" t="s">
        <v>58</v>
      </c>
      <c r="D2232">
        <v>17019</v>
      </c>
      <c r="E2232" s="2">
        <v>1468739.51</v>
      </c>
    </row>
    <row r="2233" spans="1:5" ht="15" x14ac:dyDescent="0.2">
      <c r="A2233" s="1" t="s">
        <v>98</v>
      </c>
      <c r="B2233" t="s">
        <v>34</v>
      </c>
      <c r="C2233" t="s">
        <v>58</v>
      </c>
      <c r="D2233">
        <v>17019</v>
      </c>
      <c r="E2233" s="2">
        <v>44722732.990000002</v>
      </c>
    </row>
    <row r="2234" spans="1:5" ht="15" x14ac:dyDescent="0.2">
      <c r="A2234" s="1" t="s">
        <v>68</v>
      </c>
      <c r="B2234" t="s">
        <v>6</v>
      </c>
      <c r="C2234" t="s">
        <v>58</v>
      </c>
      <c r="D2234">
        <v>17019</v>
      </c>
      <c r="E2234" s="2">
        <v>2934196.18</v>
      </c>
    </row>
    <row r="2235" spans="1:5" ht="15" x14ac:dyDescent="0.2">
      <c r="A2235" s="1" t="s">
        <v>77</v>
      </c>
      <c r="B2235" t="s">
        <v>18</v>
      </c>
      <c r="C2235" t="s">
        <v>58</v>
      </c>
      <c r="D2235">
        <v>17019</v>
      </c>
      <c r="E2235" s="2">
        <v>5252337.3099999996</v>
      </c>
    </row>
    <row r="2236" spans="1:5" ht="15" x14ac:dyDescent="0.2">
      <c r="A2236" s="1" t="s">
        <v>81</v>
      </c>
      <c r="B2236" t="s">
        <v>14</v>
      </c>
      <c r="C2236" t="s">
        <v>58</v>
      </c>
      <c r="D2236">
        <v>17019</v>
      </c>
      <c r="E2236" s="2">
        <v>0.78</v>
      </c>
    </row>
    <row r="2237" spans="1:5" ht="15" x14ac:dyDescent="0.2">
      <c r="A2237" s="1" t="s">
        <v>75</v>
      </c>
      <c r="B2237" t="s">
        <v>19</v>
      </c>
      <c r="C2237" t="s">
        <v>58</v>
      </c>
      <c r="D2237">
        <v>17019</v>
      </c>
      <c r="E2237" s="2">
        <v>2182.6</v>
      </c>
    </row>
    <row r="2238" spans="1:5" ht="15" x14ac:dyDescent="0.2">
      <c r="A2238" s="1" t="s">
        <v>105</v>
      </c>
      <c r="B2238" t="s">
        <v>41</v>
      </c>
      <c r="C2238" t="s">
        <v>58</v>
      </c>
      <c r="D2238">
        <v>17019</v>
      </c>
      <c r="E2238" s="2">
        <v>19591.509999999998</v>
      </c>
    </row>
    <row r="2239" spans="1:5" ht="15" x14ac:dyDescent="0.2">
      <c r="A2239" s="1" t="s">
        <v>91</v>
      </c>
      <c r="B2239" t="s">
        <v>30</v>
      </c>
      <c r="C2239" t="s">
        <v>58</v>
      </c>
      <c r="D2239">
        <v>21736</v>
      </c>
      <c r="E2239" s="2">
        <v>11971268.710000001</v>
      </c>
    </row>
    <row r="2240" spans="1:5" ht="15" x14ac:dyDescent="0.2">
      <c r="A2240" s="1" t="s">
        <v>80</v>
      </c>
      <c r="B2240" t="s">
        <v>22</v>
      </c>
      <c r="C2240" t="s">
        <v>58</v>
      </c>
      <c r="D2240">
        <v>21736</v>
      </c>
      <c r="E2240" s="2">
        <v>17265748.329999998</v>
      </c>
    </row>
    <row r="2241" spans="1:5" ht="15" x14ac:dyDescent="0.2">
      <c r="A2241" s="1" t="s">
        <v>96</v>
      </c>
      <c r="B2241" t="s">
        <v>44</v>
      </c>
      <c r="C2241" t="s">
        <v>58</v>
      </c>
      <c r="D2241">
        <v>21736</v>
      </c>
      <c r="E2241" s="2">
        <v>1876695.96</v>
      </c>
    </row>
    <row r="2242" spans="1:5" ht="15" x14ac:dyDescent="0.2">
      <c r="A2242" s="1" t="s">
        <v>97</v>
      </c>
      <c r="B2242" t="s">
        <v>42</v>
      </c>
      <c r="C2242" t="s">
        <v>58</v>
      </c>
      <c r="D2242">
        <v>21736</v>
      </c>
      <c r="E2242" s="2">
        <v>819576.72</v>
      </c>
    </row>
    <row r="2243" spans="1:5" ht="15" x14ac:dyDescent="0.2">
      <c r="A2243" s="1" t="s">
        <v>99</v>
      </c>
      <c r="B2243" t="s">
        <v>35</v>
      </c>
      <c r="C2243" t="s">
        <v>58</v>
      </c>
      <c r="D2243">
        <v>21736</v>
      </c>
      <c r="E2243" s="2">
        <v>10203.36</v>
      </c>
    </row>
    <row r="2244" spans="1:5" ht="15" x14ac:dyDescent="0.2">
      <c r="A2244" s="1" t="s">
        <v>77</v>
      </c>
      <c r="B2244" t="s">
        <v>18</v>
      </c>
      <c r="C2244" t="s">
        <v>58</v>
      </c>
      <c r="D2244">
        <v>21736</v>
      </c>
      <c r="E2244" s="2">
        <v>3574460.23</v>
      </c>
    </row>
    <row r="2245" spans="1:5" ht="15" x14ac:dyDescent="0.2">
      <c r="A2245" s="1" t="s">
        <v>81</v>
      </c>
      <c r="B2245" t="s">
        <v>14</v>
      </c>
      <c r="C2245" t="s">
        <v>58</v>
      </c>
      <c r="D2245">
        <v>21736</v>
      </c>
      <c r="E2245" s="2">
        <v>13953.82</v>
      </c>
    </row>
    <row r="2246" spans="1:5" ht="15" x14ac:dyDescent="0.2">
      <c r="A2246" s="1" t="s">
        <v>78</v>
      </c>
      <c r="B2246" t="s">
        <v>20</v>
      </c>
      <c r="C2246" t="s">
        <v>58</v>
      </c>
      <c r="D2246">
        <v>21736</v>
      </c>
      <c r="E2246" s="2">
        <v>878830.43</v>
      </c>
    </row>
    <row r="2247" spans="1:5" ht="15" x14ac:dyDescent="0.2">
      <c r="A2247" s="1" t="s">
        <v>87</v>
      </c>
      <c r="B2247" t="s">
        <v>26</v>
      </c>
      <c r="C2247" t="s">
        <v>58</v>
      </c>
      <c r="D2247">
        <v>21736</v>
      </c>
      <c r="E2247" s="2">
        <v>567700.99</v>
      </c>
    </row>
    <row r="2248" spans="1:5" ht="15" x14ac:dyDescent="0.2">
      <c r="A2248" s="1" t="s">
        <v>101</v>
      </c>
      <c r="B2248" t="s">
        <v>39</v>
      </c>
      <c r="C2248" t="s">
        <v>58</v>
      </c>
      <c r="D2248">
        <v>21736</v>
      </c>
      <c r="E2248" s="2">
        <v>1287984.6499999999</v>
      </c>
    </row>
    <row r="2249" spans="1:5" ht="15" x14ac:dyDescent="0.2">
      <c r="A2249" s="1" t="s">
        <v>69</v>
      </c>
      <c r="B2249" t="s">
        <v>7</v>
      </c>
      <c r="C2249" t="s">
        <v>58</v>
      </c>
      <c r="D2249">
        <v>21736</v>
      </c>
      <c r="E2249" s="2">
        <v>18560471.460000001</v>
      </c>
    </row>
    <row r="2250" spans="1:5" ht="15" x14ac:dyDescent="0.2">
      <c r="A2250" s="1" t="s">
        <v>66</v>
      </c>
      <c r="B2250" t="s">
        <v>47</v>
      </c>
      <c r="C2250" t="s">
        <v>58</v>
      </c>
      <c r="D2250">
        <v>28128</v>
      </c>
      <c r="E2250" s="2">
        <v>2586922.06</v>
      </c>
    </row>
    <row r="2251" spans="1:5" ht="15" x14ac:dyDescent="0.2">
      <c r="A2251" s="1" t="s">
        <v>86</v>
      </c>
      <c r="B2251" t="s">
        <v>25</v>
      </c>
      <c r="C2251" t="s">
        <v>58</v>
      </c>
      <c r="D2251">
        <v>28128</v>
      </c>
      <c r="E2251" s="2">
        <v>1756137.62</v>
      </c>
    </row>
    <row r="2252" spans="1:5" ht="15" x14ac:dyDescent="0.2">
      <c r="A2252" s="1" t="s">
        <v>89</v>
      </c>
      <c r="B2252" t="s">
        <v>28</v>
      </c>
      <c r="C2252" t="s">
        <v>58</v>
      </c>
      <c r="D2252">
        <v>28128</v>
      </c>
      <c r="E2252" s="2">
        <v>1274214.6000000001</v>
      </c>
    </row>
    <row r="2253" spans="1:5" ht="15" x14ac:dyDescent="0.2">
      <c r="A2253" s="1" t="s">
        <v>64</v>
      </c>
      <c r="B2253" t="s">
        <v>3</v>
      </c>
      <c r="C2253" t="s">
        <v>58</v>
      </c>
      <c r="D2253">
        <v>28128</v>
      </c>
      <c r="E2253" s="2">
        <v>1.36</v>
      </c>
    </row>
    <row r="2254" spans="1:5" ht="15" x14ac:dyDescent="0.2">
      <c r="A2254" s="1" t="s">
        <v>84</v>
      </c>
      <c r="B2254" t="s">
        <v>16</v>
      </c>
      <c r="C2254" t="s">
        <v>58</v>
      </c>
      <c r="D2254">
        <v>28128</v>
      </c>
      <c r="E2254" s="2">
        <v>1957323.5</v>
      </c>
    </row>
    <row r="2255" spans="1:5" ht="15" x14ac:dyDescent="0.2">
      <c r="A2255" s="1" t="s">
        <v>76</v>
      </c>
      <c r="B2255" t="s">
        <v>13</v>
      </c>
      <c r="C2255" t="s">
        <v>58</v>
      </c>
      <c r="D2255">
        <v>28128</v>
      </c>
      <c r="E2255" s="2">
        <v>1239295.83</v>
      </c>
    </row>
    <row r="2256" spans="1:5" ht="15" x14ac:dyDescent="0.2">
      <c r="A2256" s="1" t="s">
        <v>83</v>
      </c>
      <c r="B2256" t="s">
        <v>23</v>
      </c>
      <c r="C2256" t="s">
        <v>58</v>
      </c>
      <c r="D2256">
        <v>28128</v>
      </c>
      <c r="E2256" s="2">
        <v>6570420.5</v>
      </c>
    </row>
    <row r="2257" spans="1:5" ht="15" x14ac:dyDescent="0.2">
      <c r="A2257" s="1" t="s">
        <v>74</v>
      </c>
      <c r="B2257" t="s">
        <v>11</v>
      </c>
      <c r="C2257" t="s">
        <v>58</v>
      </c>
      <c r="D2257">
        <v>28128</v>
      </c>
      <c r="E2257" s="2">
        <v>499694.76</v>
      </c>
    </row>
    <row r="2258" spans="1:5" ht="15" x14ac:dyDescent="0.2">
      <c r="A2258" s="1" t="s">
        <v>96</v>
      </c>
      <c r="B2258" t="s">
        <v>44</v>
      </c>
      <c r="C2258" t="s">
        <v>58</v>
      </c>
      <c r="D2258">
        <v>28128</v>
      </c>
      <c r="E2258" s="2">
        <v>401052.7</v>
      </c>
    </row>
    <row r="2259" spans="1:5" ht="15" x14ac:dyDescent="0.2">
      <c r="A2259" s="1" t="s">
        <v>97</v>
      </c>
      <c r="B2259" t="s">
        <v>42</v>
      </c>
      <c r="C2259" t="s">
        <v>58</v>
      </c>
      <c r="D2259">
        <v>28128</v>
      </c>
      <c r="E2259" s="2">
        <v>955.73</v>
      </c>
    </row>
    <row r="2260" spans="1:5" ht="15" x14ac:dyDescent="0.2">
      <c r="A2260" s="1" t="s">
        <v>98</v>
      </c>
      <c r="B2260" t="s">
        <v>34</v>
      </c>
      <c r="C2260" t="s">
        <v>58</v>
      </c>
      <c r="D2260">
        <v>28128</v>
      </c>
      <c r="E2260" s="2">
        <v>299.82</v>
      </c>
    </row>
    <row r="2261" spans="1:5" ht="15" x14ac:dyDescent="0.2">
      <c r="A2261" s="1" t="s">
        <v>99</v>
      </c>
      <c r="B2261" t="s">
        <v>35</v>
      </c>
      <c r="C2261" t="s">
        <v>58</v>
      </c>
      <c r="D2261">
        <v>28128</v>
      </c>
      <c r="E2261" s="2">
        <v>3003490.45</v>
      </c>
    </row>
    <row r="2262" spans="1:5" ht="15" x14ac:dyDescent="0.2">
      <c r="A2262" s="1" t="s">
        <v>68</v>
      </c>
      <c r="B2262" t="s">
        <v>6</v>
      </c>
      <c r="C2262" t="s">
        <v>58</v>
      </c>
      <c r="D2262">
        <v>28128</v>
      </c>
      <c r="E2262" s="2">
        <v>1537929.79</v>
      </c>
    </row>
    <row r="2263" spans="1:5" ht="15" x14ac:dyDescent="0.2">
      <c r="A2263" s="1" t="s">
        <v>100</v>
      </c>
      <c r="B2263" t="s">
        <v>43</v>
      </c>
      <c r="C2263" t="s">
        <v>58</v>
      </c>
      <c r="D2263">
        <v>28128</v>
      </c>
      <c r="E2263" s="2">
        <v>2466638.5699999998</v>
      </c>
    </row>
    <row r="2264" spans="1:5" ht="15" x14ac:dyDescent="0.2">
      <c r="A2264" s="1" t="s">
        <v>87</v>
      </c>
      <c r="B2264" t="s">
        <v>26</v>
      </c>
      <c r="C2264" t="s">
        <v>58</v>
      </c>
      <c r="D2264">
        <v>28128</v>
      </c>
      <c r="E2264" s="2">
        <v>1311057.99</v>
      </c>
    </row>
    <row r="2265" spans="1:5" ht="15" x14ac:dyDescent="0.2">
      <c r="A2265" s="1" t="s">
        <v>101</v>
      </c>
      <c r="B2265" t="s">
        <v>39</v>
      </c>
      <c r="C2265" t="s">
        <v>58</v>
      </c>
      <c r="D2265">
        <v>28128</v>
      </c>
      <c r="E2265" s="2">
        <v>2733351.13</v>
      </c>
    </row>
    <row r="2266" spans="1:5" ht="15" x14ac:dyDescent="0.2">
      <c r="A2266" s="1" t="s">
        <v>104</v>
      </c>
      <c r="B2266" t="s">
        <v>40</v>
      </c>
      <c r="C2266" t="s">
        <v>58</v>
      </c>
      <c r="D2266">
        <v>28128</v>
      </c>
      <c r="E2266" s="2">
        <v>6606948.0899999999</v>
      </c>
    </row>
    <row r="2267" spans="1:5" ht="15" x14ac:dyDescent="0.2">
      <c r="A2267" s="1" t="s">
        <v>82</v>
      </c>
      <c r="B2267" t="s">
        <v>15</v>
      </c>
      <c r="C2267" t="s">
        <v>58</v>
      </c>
      <c r="D2267">
        <v>28128</v>
      </c>
      <c r="E2267" s="2">
        <v>3228617.63</v>
      </c>
    </row>
    <row r="2268" spans="1:5" ht="15" x14ac:dyDescent="0.2">
      <c r="A2268" s="1" t="s">
        <v>67</v>
      </c>
      <c r="B2268" t="s">
        <v>5</v>
      </c>
      <c r="C2268" t="s">
        <v>58</v>
      </c>
      <c r="D2268">
        <v>28291</v>
      </c>
      <c r="E2268" s="2">
        <v>-2175112.9</v>
      </c>
    </row>
    <row r="2269" spans="1:5" ht="15" x14ac:dyDescent="0.2">
      <c r="A2269" s="1" t="s">
        <v>89</v>
      </c>
      <c r="B2269" t="s">
        <v>28</v>
      </c>
      <c r="C2269" t="s">
        <v>58</v>
      </c>
      <c r="D2269">
        <v>28291</v>
      </c>
      <c r="E2269" s="2">
        <v>2205157.39</v>
      </c>
    </row>
    <row r="2270" spans="1:5" ht="15" x14ac:dyDescent="0.2">
      <c r="A2270" s="1" t="s">
        <v>91</v>
      </c>
      <c r="B2270" t="s">
        <v>30</v>
      </c>
      <c r="C2270" t="s">
        <v>58</v>
      </c>
      <c r="D2270">
        <v>28291</v>
      </c>
      <c r="E2270" s="2">
        <v>11697469.390000001</v>
      </c>
    </row>
    <row r="2271" spans="1:5" ht="15" x14ac:dyDescent="0.2">
      <c r="A2271" s="1" t="s">
        <v>74</v>
      </c>
      <c r="B2271" t="s">
        <v>11</v>
      </c>
      <c r="C2271" t="s">
        <v>58</v>
      </c>
      <c r="D2271">
        <v>28291</v>
      </c>
      <c r="E2271" s="2">
        <v>305807.71000000002</v>
      </c>
    </row>
    <row r="2272" spans="1:5" ht="15" x14ac:dyDescent="0.2">
      <c r="A2272" s="1" t="s">
        <v>96</v>
      </c>
      <c r="B2272" t="s">
        <v>44</v>
      </c>
      <c r="C2272" t="s">
        <v>58</v>
      </c>
      <c r="D2272">
        <v>28291</v>
      </c>
      <c r="E2272" s="2">
        <v>2892597.01</v>
      </c>
    </row>
    <row r="2273" spans="1:5" ht="15" x14ac:dyDescent="0.2">
      <c r="A2273" s="1" t="s">
        <v>98</v>
      </c>
      <c r="B2273" t="s">
        <v>34</v>
      </c>
      <c r="C2273" t="s">
        <v>58</v>
      </c>
      <c r="D2273">
        <v>28291</v>
      </c>
      <c r="E2273" s="2">
        <v>4786773.8099999996</v>
      </c>
    </row>
    <row r="2274" spans="1:5" ht="15" x14ac:dyDescent="0.2">
      <c r="A2274" s="1" t="s">
        <v>68</v>
      </c>
      <c r="B2274" t="s">
        <v>6</v>
      </c>
      <c r="C2274" t="s">
        <v>58</v>
      </c>
      <c r="D2274">
        <v>28291</v>
      </c>
      <c r="E2274" s="2">
        <v>1300892.29</v>
      </c>
    </row>
    <row r="2275" spans="1:5" ht="15" x14ac:dyDescent="0.2">
      <c r="A2275" s="1" t="s">
        <v>87</v>
      </c>
      <c r="B2275" t="s">
        <v>26</v>
      </c>
      <c r="C2275" t="s">
        <v>58</v>
      </c>
      <c r="D2275">
        <v>28291</v>
      </c>
      <c r="E2275" s="2">
        <v>932537.01</v>
      </c>
    </row>
    <row r="2276" spans="1:5" ht="15" x14ac:dyDescent="0.2">
      <c r="A2276" s="1" t="s">
        <v>75</v>
      </c>
      <c r="B2276" t="s">
        <v>19</v>
      </c>
      <c r="C2276" t="s">
        <v>58</v>
      </c>
      <c r="D2276">
        <v>28291</v>
      </c>
      <c r="E2276" s="2">
        <v>3992718.6</v>
      </c>
    </row>
    <row r="2277" spans="1:5" ht="15" x14ac:dyDescent="0.2">
      <c r="A2277" s="1" t="s">
        <v>105</v>
      </c>
      <c r="B2277" t="s">
        <v>41</v>
      </c>
      <c r="C2277" t="s">
        <v>58</v>
      </c>
      <c r="D2277">
        <v>28291</v>
      </c>
      <c r="E2277" s="2">
        <v>3482227.64</v>
      </c>
    </row>
    <row r="2278" spans="1:5" ht="15" x14ac:dyDescent="0.2">
      <c r="A2278" s="1" t="s">
        <v>82</v>
      </c>
      <c r="B2278" t="s">
        <v>15</v>
      </c>
      <c r="C2278" t="s">
        <v>58</v>
      </c>
      <c r="D2278">
        <v>28291</v>
      </c>
      <c r="E2278" s="2">
        <v>3869639.99</v>
      </c>
    </row>
    <row r="2279" spans="1:5" ht="15" x14ac:dyDescent="0.2">
      <c r="A2279" s="1" t="s">
        <v>67</v>
      </c>
      <c r="B2279" t="s">
        <v>5</v>
      </c>
      <c r="C2279" t="s">
        <v>58</v>
      </c>
      <c r="D2279">
        <v>36768</v>
      </c>
      <c r="E2279" s="2">
        <v>-1025600.34</v>
      </c>
    </row>
    <row r="2280" spans="1:5" ht="15" x14ac:dyDescent="0.2">
      <c r="A2280" s="1" t="s">
        <v>64</v>
      </c>
      <c r="B2280" t="s">
        <v>3</v>
      </c>
      <c r="C2280" t="s">
        <v>58</v>
      </c>
      <c r="D2280">
        <v>36768</v>
      </c>
      <c r="E2280" s="2">
        <v>8644227.9100000001</v>
      </c>
    </row>
    <row r="2281" spans="1:5" ht="15" x14ac:dyDescent="0.2">
      <c r="A2281" s="1" t="s">
        <v>83</v>
      </c>
      <c r="B2281" t="s">
        <v>23</v>
      </c>
      <c r="C2281" t="s">
        <v>58</v>
      </c>
      <c r="D2281">
        <v>36768</v>
      </c>
      <c r="E2281" s="2">
        <v>1966294.1</v>
      </c>
    </row>
    <row r="2282" spans="1:5" ht="15" x14ac:dyDescent="0.2">
      <c r="A2282" s="1" t="s">
        <v>80</v>
      </c>
      <c r="B2282" t="s">
        <v>22</v>
      </c>
      <c r="C2282" t="s">
        <v>58</v>
      </c>
      <c r="D2282">
        <v>36768</v>
      </c>
      <c r="E2282" s="2">
        <v>668.91</v>
      </c>
    </row>
    <row r="2283" spans="1:5" ht="15" x14ac:dyDescent="0.2">
      <c r="A2283" s="1" t="s">
        <v>96</v>
      </c>
      <c r="B2283" t="s">
        <v>44</v>
      </c>
      <c r="C2283" t="s">
        <v>58</v>
      </c>
      <c r="D2283">
        <v>36768</v>
      </c>
      <c r="E2283" s="2">
        <v>644722.99</v>
      </c>
    </row>
    <row r="2284" spans="1:5" ht="15" x14ac:dyDescent="0.2">
      <c r="A2284" s="1" t="s">
        <v>97</v>
      </c>
      <c r="B2284" t="s">
        <v>42</v>
      </c>
      <c r="C2284" t="s">
        <v>58</v>
      </c>
      <c r="D2284">
        <v>36768</v>
      </c>
      <c r="E2284" s="2">
        <v>1535512.11</v>
      </c>
    </row>
    <row r="2285" spans="1:5" ht="15" x14ac:dyDescent="0.2">
      <c r="A2285" s="1" t="s">
        <v>98</v>
      </c>
      <c r="B2285" t="s">
        <v>34</v>
      </c>
      <c r="C2285" t="s">
        <v>58</v>
      </c>
      <c r="D2285">
        <v>36768</v>
      </c>
      <c r="E2285" s="2">
        <v>6252122.7699999996</v>
      </c>
    </row>
    <row r="2286" spans="1:5" ht="15" x14ac:dyDescent="0.2">
      <c r="A2286" s="1" t="s">
        <v>81</v>
      </c>
      <c r="B2286" t="s">
        <v>14</v>
      </c>
      <c r="C2286" t="s">
        <v>58</v>
      </c>
      <c r="D2286">
        <v>36768</v>
      </c>
      <c r="E2286" s="2">
        <v>3730021.97</v>
      </c>
    </row>
    <row r="2287" spans="1:5" ht="15" x14ac:dyDescent="0.2">
      <c r="A2287" s="1" t="s">
        <v>87</v>
      </c>
      <c r="B2287" t="s">
        <v>26</v>
      </c>
      <c r="C2287" t="s">
        <v>58</v>
      </c>
      <c r="D2287">
        <v>36768</v>
      </c>
      <c r="E2287" s="2">
        <v>1613888.33</v>
      </c>
    </row>
    <row r="2288" spans="1:5" ht="15" x14ac:dyDescent="0.2">
      <c r="A2288" s="1" t="s">
        <v>65</v>
      </c>
      <c r="B2288" t="s">
        <v>4</v>
      </c>
      <c r="C2288" t="s">
        <v>58</v>
      </c>
      <c r="D2288">
        <v>36768</v>
      </c>
      <c r="E2288" s="2">
        <v>2173040.88</v>
      </c>
    </row>
    <row r="2289" spans="1:5" ht="15" x14ac:dyDescent="0.2">
      <c r="A2289" s="1" t="s">
        <v>105</v>
      </c>
      <c r="B2289" t="s">
        <v>41</v>
      </c>
      <c r="C2289" t="s">
        <v>58</v>
      </c>
      <c r="D2289">
        <v>36768</v>
      </c>
      <c r="E2289" s="2">
        <v>8119111.8200000003</v>
      </c>
    </row>
    <row r="2290" spans="1:5" ht="15" x14ac:dyDescent="0.2">
      <c r="A2290" s="1" t="s">
        <v>67</v>
      </c>
      <c r="B2290" t="s">
        <v>5</v>
      </c>
      <c r="C2290" t="s">
        <v>58</v>
      </c>
      <c r="D2290">
        <v>46638</v>
      </c>
      <c r="E2290" s="2">
        <v>-707372.41</v>
      </c>
    </row>
    <row r="2291" spans="1:5" ht="15" x14ac:dyDescent="0.2">
      <c r="A2291" s="1" t="s">
        <v>86</v>
      </c>
      <c r="B2291" t="s">
        <v>25</v>
      </c>
      <c r="C2291" t="s">
        <v>58</v>
      </c>
      <c r="D2291">
        <v>46638</v>
      </c>
      <c r="E2291" s="2">
        <v>3612780.42</v>
      </c>
    </row>
    <row r="2292" spans="1:5" ht="15" x14ac:dyDescent="0.2">
      <c r="A2292" s="1" t="s">
        <v>91</v>
      </c>
      <c r="B2292" t="s">
        <v>30</v>
      </c>
      <c r="C2292" t="s">
        <v>58</v>
      </c>
      <c r="D2292">
        <v>46638</v>
      </c>
      <c r="E2292" s="2">
        <v>22603441.57</v>
      </c>
    </row>
    <row r="2293" spans="1:5" ht="15" x14ac:dyDescent="0.2">
      <c r="A2293" s="1" t="s">
        <v>64</v>
      </c>
      <c r="B2293" t="s">
        <v>3</v>
      </c>
      <c r="C2293" t="s">
        <v>58</v>
      </c>
      <c r="D2293">
        <v>46638</v>
      </c>
      <c r="E2293" s="2">
        <v>8018988.2000000002</v>
      </c>
    </row>
    <row r="2294" spans="1:5" ht="15" x14ac:dyDescent="0.2">
      <c r="A2294" s="1" t="s">
        <v>84</v>
      </c>
      <c r="B2294" t="s">
        <v>16</v>
      </c>
      <c r="C2294" t="s">
        <v>58</v>
      </c>
      <c r="D2294">
        <v>46638</v>
      </c>
      <c r="E2294" s="2">
        <v>1843486.31</v>
      </c>
    </row>
    <row r="2295" spans="1:5" ht="15" x14ac:dyDescent="0.2">
      <c r="A2295" s="1" t="s">
        <v>72</v>
      </c>
      <c r="B2295" t="s">
        <v>10</v>
      </c>
      <c r="C2295" t="s">
        <v>58</v>
      </c>
      <c r="D2295">
        <v>46638</v>
      </c>
      <c r="E2295" s="2">
        <v>18558.8</v>
      </c>
    </row>
    <row r="2296" spans="1:5" ht="15" x14ac:dyDescent="0.2">
      <c r="A2296" s="1" t="s">
        <v>97</v>
      </c>
      <c r="B2296" t="s">
        <v>42</v>
      </c>
      <c r="C2296" t="s">
        <v>58</v>
      </c>
      <c r="D2296">
        <v>46638</v>
      </c>
      <c r="E2296" s="2">
        <v>762283</v>
      </c>
    </row>
    <row r="2297" spans="1:5" ht="15" x14ac:dyDescent="0.2">
      <c r="A2297" s="1" t="s">
        <v>77</v>
      </c>
      <c r="B2297" t="s">
        <v>18</v>
      </c>
      <c r="C2297" t="s">
        <v>58</v>
      </c>
      <c r="D2297">
        <v>46638</v>
      </c>
      <c r="E2297" s="2">
        <v>3791120.36</v>
      </c>
    </row>
    <row r="2298" spans="1:5" ht="15" x14ac:dyDescent="0.2">
      <c r="A2298" s="1" t="s">
        <v>81</v>
      </c>
      <c r="B2298" t="s">
        <v>14</v>
      </c>
      <c r="C2298" t="s">
        <v>58</v>
      </c>
      <c r="D2298">
        <v>46638</v>
      </c>
      <c r="E2298" s="2">
        <v>5190487.9400000004</v>
      </c>
    </row>
    <row r="2299" spans="1:5" ht="15" x14ac:dyDescent="0.2">
      <c r="A2299" s="1" t="s">
        <v>78</v>
      </c>
      <c r="B2299" t="s">
        <v>20</v>
      </c>
      <c r="C2299" t="s">
        <v>58</v>
      </c>
      <c r="D2299">
        <v>46638</v>
      </c>
      <c r="E2299" s="2">
        <v>626267.36</v>
      </c>
    </row>
    <row r="2300" spans="1:5" ht="15" x14ac:dyDescent="0.2">
      <c r="A2300" s="1" t="s">
        <v>87</v>
      </c>
      <c r="B2300" t="s">
        <v>26</v>
      </c>
      <c r="C2300" t="s">
        <v>58</v>
      </c>
      <c r="D2300">
        <v>46638</v>
      </c>
      <c r="E2300" s="2">
        <v>2295834.39</v>
      </c>
    </row>
    <row r="2301" spans="1:5" ht="15" x14ac:dyDescent="0.2">
      <c r="A2301" s="1" t="s">
        <v>82</v>
      </c>
      <c r="B2301" t="s">
        <v>15</v>
      </c>
      <c r="C2301" t="s">
        <v>58</v>
      </c>
      <c r="D2301">
        <v>46638</v>
      </c>
      <c r="E2301" s="2">
        <v>9049829.0600000005</v>
      </c>
    </row>
    <row r="2302" spans="1:5" ht="15" x14ac:dyDescent="0.2">
      <c r="A2302" s="1" t="s">
        <v>66</v>
      </c>
      <c r="B2302" t="s">
        <v>47</v>
      </c>
      <c r="C2302" t="s">
        <v>58</v>
      </c>
      <c r="D2302">
        <v>46969</v>
      </c>
      <c r="E2302" s="2">
        <v>1034465.05</v>
      </c>
    </row>
    <row r="2303" spans="1:5" ht="15" x14ac:dyDescent="0.2">
      <c r="A2303" s="1" t="s">
        <v>79</v>
      </c>
      <c r="B2303" t="s">
        <v>21</v>
      </c>
      <c r="C2303" t="s">
        <v>58</v>
      </c>
      <c r="D2303">
        <v>46969</v>
      </c>
      <c r="E2303" s="2">
        <v>11593.83</v>
      </c>
    </row>
    <row r="2304" spans="1:5" ht="15" x14ac:dyDescent="0.2">
      <c r="A2304" s="1" t="s">
        <v>92</v>
      </c>
      <c r="B2304" t="s">
        <v>31</v>
      </c>
      <c r="C2304" t="s">
        <v>58</v>
      </c>
      <c r="D2304">
        <v>46969</v>
      </c>
      <c r="E2304" s="2">
        <v>6115116.2199999997</v>
      </c>
    </row>
    <row r="2305" spans="1:5" ht="15" x14ac:dyDescent="0.2">
      <c r="A2305" s="1" t="s">
        <v>75</v>
      </c>
      <c r="B2305" t="s">
        <v>12</v>
      </c>
      <c r="C2305" t="s">
        <v>58</v>
      </c>
      <c r="D2305">
        <v>46969</v>
      </c>
      <c r="E2305" s="2">
        <v>15624.73</v>
      </c>
    </row>
    <row r="2306" spans="1:5" ht="15" x14ac:dyDescent="0.2">
      <c r="A2306" s="1" t="s">
        <v>80</v>
      </c>
      <c r="B2306" t="s">
        <v>22</v>
      </c>
      <c r="C2306" t="s">
        <v>58</v>
      </c>
      <c r="D2306">
        <v>46969</v>
      </c>
      <c r="E2306" s="2">
        <v>23743.69</v>
      </c>
    </row>
    <row r="2307" spans="1:5" ht="15" x14ac:dyDescent="0.2">
      <c r="A2307" s="1" t="s">
        <v>72</v>
      </c>
      <c r="B2307" t="s">
        <v>10</v>
      </c>
      <c r="C2307" t="s">
        <v>58</v>
      </c>
      <c r="D2307">
        <v>46969</v>
      </c>
      <c r="E2307" s="2">
        <v>18477531.739999998</v>
      </c>
    </row>
    <row r="2308" spans="1:5" ht="15" x14ac:dyDescent="0.2">
      <c r="A2308" s="1" t="s">
        <v>77</v>
      </c>
      <c r="B2308" t="s">
        <v>18</v>
      </c>
      <c r="C2308" t="s">
        <v>58</v>
      </c>
      <c r="D2308">
        <v>46969</v>
      </c>
      <c r="E2308" s="2">
        <v>2905945</v>
      </c>
    </row>
    <row r="2309" spans="1:5" ht="15" x14ac:dyDescent="0.2">
      <c r="A2309" s="1" t="s">
        <v>100</v>
      </c>
      <c r="B2309" t="s">
        <v>43</v>
      </c>
      <c r="C2309" t="s">
        <v>58</v>
      </c>
      <c r="D2309">
        <v>46969</v>
      </c>
      <c r="E2309" s="2">
        <v>2326511.64</v>
      </c>
    </row>
    <row r="2310" spans="1:5" ht="15" x14ac:dyDescent="0.2">
      <c r="A2310" s="1" t="s">
        <v>81</v>
      </c>
      <c r="B2310" t="s">
        <v>14</v>
      </c>
      <c r="C2310" t="s">
        <v>58</v>
      </c>
      <c r="D2310">
        <v>46969</v>
      </c>
      <c r="E2310" s="2">
        <v>1783971.31</v>
      </c>
    </row>
    <row r="2311" spans="1:5" ht="15" x14ac:dyDescent="0.2">
      <c r="A2311" s="1" t="s">
        <v>78</v>
      </c>
      <c r="B2311" t="s">
        <v>20</v>
      </c>
      <c r="C2311" t="s">
        <v>58</v>
      </c>
      <c r="D2311">
        <v>46969</v>
      </c>
      <c r="E2311" s="2">
        <v>736214.35</v>
      </c>
    </row>
    <row r="2312" spans="1:5" ht="15" x14ac:dyDescent="0.2">
      <c r="A2312" s="1" t="s">
        <v>75</v>
      </c>
      <c r="B2312" t="s">
        <v>19</v>
      </c>
      <c r="C2312" t="s">
        <v>58</v>
      </c>
      <c r="D2312">
        <v>46969</v>
      </c>
      <c r="E2312" s="2">
        <v>2114954.6</v>
      </c>
    </row>
    <row r="2313" spans="1:5" ht="15" x14ac:dyDescent="0.2">
      <c r="A2313" s="1" t="s">
        <v>104</v>
      </c>
      <c r="B2313" t="s">
        <v>40</v>
      </c>
      <c r="C2313" t="s">
        <v>58</v>
      </c>
      <c r="D2313">
        <v>46969</v>
      </c>
      <c r="E2313" s="2">
        <v>13854201.91</v>
      </c>
    </row>
    <row r="2314" spans="1:5" ht="15" x14ac:dyDescent="0.2">
      <c r="A2314" s="1" t="s">
        <v>105</v>
      </c>
      <c r="B2314" t="s">
        <v>41</v>
      </c>
      <c r="C2314" t="s">
        <v>58</v>
      </c>
      <c r="D2314">
        <v>46969</v>
      </c>
      <c r="E2314" s="2">
        <v>1682.87</v>
      </c>
    </row>
    <row r="2315" spans="1:5" ht="15" x14ac:dyDescent="0.2">
      <c r="A2315" s="1" t="s">
        <v>66</v>
      </c>
      <c r="B2315" t="s">
        <v>47</v>
      </c>
      <c r="C2315" t="s">
        <v>58</v>
      </c>
      <c r="D2315">
        <v>61232</v>
      </c>
      <c r="E2315" s="2">
        <v>554.84</v>
      </c>
    </row>
    <row r="2316" spans="1:5" ht="15" x14ac:dyDescent="0.2">
      <c r="A2316" s="1" t="s">
        <v>86</v>
      </c>
      <c r="B2316" t="s">
        <v>25</v>
      </c>
      <c r="C2316" t="s">
        <v>58</v>
      </c>
      <c r="D2316">
        <v>61232</v>
      </c>
      <c r="E2316" s="2">
        <v>0.47</v>
      </c>
    </row>
    <row r="2317" spans="1:5" ht="15" x14ac:dyDescent="0.2">
      <c r="A2317" s="1" t="s">
        <v>79</v>
      </c>
      <c r="B2317" t="s">
        <v>21</v>
      </c>
      <c r="C2317" t="s">
        <v>58</v>
      </c>
      <c r="D2317">
        <v>61232</v>
      </c>
      <c r="E2317" s="2">
        <v>9456443.1999999993</v>
      </c>
    </row>
    <row r="2318" spans="1:5" ht="15" x14ac:dyDescent="0.2">
      <c r="A2318" s="1" t="s">
        <v>91</v>
      </c>
      <c r="B2318" t="s">
        <v>30</v>
      </c>
      <c r="C2318" t="s">
        <v>58</v>
      </c>
      <c r="D2318">
        <v>61232</v>
      </c>
      <c r="E2318" s="2">
        <v>17692696.010000002</v>
      </c>
    </row>
    <row r="2319" spans="1:5" ht="15" x14ac:dyDescent="0.2">
      <c r="A2319" s="1" t="s">
        <v>92</v>
      </c>
      <c r="B2319" t="s">
        <v>31</v>
      </c>
      <c r="C2319" t="s">
        <v>58</v>
      </c>
      <c r="D2319">
        <v>61232</v>
      </c>
      <c r="E2319" s="2">
        <v>5266726.97</v>
      </c>
    </row>
    <row r="2320" spans="1:5" ht="15" x14ac:dyDescent="0.2">
      <c r="A2320" s="1" t="s">
        <v>75</v>
      </c>
      <c r="B2320" t="s">
        <v>12</v>
      </c>
      <c r="C2320" t="s">
        <v>58</v>
      </c>
      <c r="D2320">
        <v>61232</v>
      </c>
      <c r="E2320" s="2">
        <v>6674304.8200000003</v>
      </c>
    </row>
    <row r="2321" spans="1:5" ht="15" x14ac:dyDescent="0.2">
      <c r="A2321" s="1" t="s">
        <v>76</v>
      </c>
      <c r="B2321" t="s">
        <v>13</v>
      </c>
      <c r="C2321" t="s">
        <v>58</v>
      </c>
      <c r="D2321">
        <v>61232</v>
      </c>
      <c r="E2321" s="2">
        <v>9647.26</v>
      </c>
    </row>
    <row r="2322" spans="1:5" ht="15" x14ac:dyDescent="0.2">
      <c r="A2322" s="1" t="s">
        <v>74</v>
      </c>
      <c r="B2322" t="s">
        <v>11</v>
      </c>
      <c r="C2322" t="s">
        <v>58</v>
      </c>
      <c r="D2322">
        <v>61232</v>
      </c>
      <c r="E2322" s="2">
        <v>126572.96</v>
      </c>
    </row>
    <row r="2323" spans="1:5" ht="15" x14ac:dyDescent="0.2">
      <c r="A2323" s="1" t="s">
        <v>98</v>
      </c>
      <c r="B2323" t="s">
        <v>34</v>
      </c>
      <c r="C2323" t="s">
        <v>58</v>
      </c>
      <c r="D2323">
        <v>61232</v>
      </c>
      <c r="E2323" s="2">
        <v>14324.53</v>
      </c>
    </row>
    <row r="2324" spans="1:5" ht="15" x14ac:dyDescent="0.2">
      <c r="A2324" s="1" t="s">
        <v>99</v>
      </c>
      <c r="B2324" t="s">
        <v>35</v>
      </c>
      <c r="C2324" t="s">
        <v>58</v>
      </c>
      <c r="D2324">
        <v>61232</v>
      </c>
      <c r="E2324" s="2">
        <v>4282684.7699999996</v>
      </c>
    </row>
    <row r="2325" spans="1:5" ht="15" x14ac:dyDescent="0.2">
      <c r="A2325" s="1" t="s">
        <v>81</v>
      </c>
      <c r="B2325" t="s">
        <v>14</v>
      </c>
      <c r="C2325" t="s">
        <v>58</v>
      </c>
      <c r="D2325">
        <v>61232</v>
      </c>
      <c r="E2325" s="2">
        <v>7180351.46</v>
      </c>
    </row>
    <row r="2326" spans="1:5" ht="15" x14ac:dyDescent="0.2">
      <c r="A2326" s="1" t="s">
        <v>103</v>
      </c>
      <c r="B2326" t="s">
        <v>37</v>
      </c>
      <c r="C2326" t="s">
        <v>58</v>
      </c>
      <c r="D2326">
        <v>61232</v>
      </c>
      <c r="E2326" s="2">
        <v>6209744.7300000004</v>
      </c>
    </row>
    <row r="2327" spans="1:5" ht="15" x14ac:dyDescent="0.2">
      <c r="A2327" s="1" t="s">
        <v>65</v>
      </c>
      <c r="B2327" t="s">
        <v>4</v>
      </c>
      <c r="C2327" t="s">
        <v>58</v>
      </c>
      <c r="D2327">
        <v>61232</v>
      </c>
      <c r="E2327" s="2">
        <v>1040166.46</v>
      </c>
    </row>
    <row r="2328" spans="1:5" ht="15" x14ac:dyDescent="0.2">
      <c r="A2328" s="1" t="s">
        <v>104</v>
      </c>
      <c r="B2328" t="s">
        <v>40</v>
      </c>
      <c r="C2328" t="s">
        <v>58</v>
      </c>
      <c r="D2328">
        <v>61232</v>
      </c>
      <c r="E2328" s="2">
        <v>8810361.6099999994</v>
      </c>
    </row>
    <row r="2329" spans="1:5" ht="15" x14ac:dyDescent="0.2">
      <c r="A2329" s="1" t="s">
        <v>66</v>
      </c>
      <c r="B2329" t="s">
        <v>47</v>
      </c>
      <c r="C2329" t="s">
        <v>58</v>
      </c>
      <c r="D2329">
        <v>61551</v>
      </c>
      <c r="E2329" s="2">
        <v>3187101.5</v>
      </c>
    </row>
    <row r="2330" spans="1:5" ht="15" x14ac:dyDescent="0.2">
      <c r="A2330" s="1" t="s">
        <v>67</v>
      </c>
      <c r="B2330" t="s">
        <v>5</v>
      </c>
      <c r="C2330" t="s">
        <v>58</v>
      </c>
      <c r="D2330">
        <v>61551</v>
      </c>
      <c r="E2330" s="2">
        <v>-581160.92000000004</v>
      </c>
    </row>
    <row r="2331" spans="1:5" ht="15" x14ac:dyDescent="0.2">
      <c r="A2331" s="1" t="s">
        <v>86</v>
      </c>
      <c r="B2331" t="s">
        <v>25</v>
      </c>
      <c r="C2331" t="s">
        <v>58</v>
      </c>
      <c r="D2331">
        <v>61551</v>
      </c>
      <c r="E2331" s="2">
        <v>1753723.59</v>
      </c>
    </row>
    <row r="2332" spans="1:5" ht="15" x14ac:dyDescent="0.2">
      <c r="A2332" s="1" t="s">
        <v>74</v>
      </c>
      <c r="B2332" t="s">
        <v>11</v>
      </c>
      <c r="C2332" t="s">
        <v>58</v>
      </c>
      <c r="D2332">
        <v>61551</v>
      </c>
      <c r="E2332" s="2">
        <v>431669.73</v>
      </c>
    </row>
    <row r="2333" spans="1:5" ht="15" x14ac:dyDescent="0.2">
      <c r="A2333" s="1" t="s">
        <v>96</v>
      </c>
      <c r="B2333" t="s">
        <v>44</v>
      </c>
      <c r="C2333" t="s">
        <v>58</v>
      </c>
      <c r="D2333">
        <v>61551</v>
      </c>
      <c r="E2333" s="2">
        <v>1736040.55</v>
      </c>
    </row>
    <row r="2334" spans="1:5" ht="15" x14ac:dyDescent="0.2">
      <c r="A2334" s="1" t="s">
        <v>97</v>
      </c>
      <c r="B2334" t="s">
        <v>42</v>
      </c>
      <c r="C2334" t="s">
        <v>58</v>
      </c>
      <c r="D2334">
        <v>61551</v>
      </c>
      <c r="E2334" s="2">
        <v>608363.01</v>
      </c>
    </row>
    <row r="2335" spans="1:5" ht="15" x14ac:dyDescent="0.2">
      <c r="A2335" s="1" t="s">
        <v>99</v>
      </c>
      <c r="B2335" t="s">
        <v>35</v>
      </c>
      <c r="C2335" t="s">
        <v>58</v>
      </c>
      <c r="D2335">
        <v>61551</v>
      </c>
      <c r="E2335" s="2">
        <v>14242911.800000001</v>
      </c>
    </row>
    <row r="2336" spans="1:5" ht="15" x14ac:dyDescent="0.2">
      <c r="A2336" s="1" t="s">
        <v>68</v>
      </c>
      <c r="B2336" t="s">
        <v>6</v>
      </c>
      <c r="C2336" t="s">
        <v>58</v>
      </c>
      <c r="D2336">
        <v>61551</v>
      </c>
      <c r="E2336" s="2">
        <v>1721341.4</v>
      </c>
    </row>
    <row r="2337" spans="1:5" ht="15" x14ac:dyDescent="0.2">
      <c r="A2337" s="1" t="s">
        <v>81</v>
      </c>
      <c r="B2337" t="s">
        <v>14</v>
      </c>
      <c r="C2337" t="s">
        <v>58</v>
      </c>
      <c r="D2337">
        <v>61551</v>
      </c>
      <c r="E2337" s="2">
        <v>4335524.59</v>
      </c>
    </row>
    <row r="2338" spans="1:5" ht="15" x14ac:dyDescent="0.2">
      <c r="A2338" s="1" t="s">
        <v>75</v>
      </c>
      <c r="B2338" t="s">
        <v>19</v>
      </c>
      <c r="C2338" t="s">
        <v>58</v>
      </c>
      <c r="D2338">
        <v>61551</v>
      </c>
      <c r="E2338" s="2">
        <v>3415736.98</v>
      </c>
    </row>
    <row r="2339" spans="1:5" ht="15" x14ac:dyDescent="0.2">
      <c r="A2339" s="1" t="s">
        <v>70</v>
      </c>
      <c r="B2339" t="s">
        <v>8</v>
      </c>
      <c r="C2339" t="s">
        <v>58</v>
      </c>
      <c r="D2339">
        <v>61551</v>
      </c>
      <c r="E2339" s="2">
        <v>10447.040000000001</v>
      </c>
    </row>
    <row r="2340" spans="1:5" ht="15" x14ac:dyDescent="0.2">
      <c r="A2340" s="1" t="s">
        <v>82</v>
      </c>
      <c r="B2340" t="s">
        <v>15</v>
      </c>
      <c r="C2340" t="s">
        <v>58</v>
      </c>
      <c r="D2340">
        <v>61551</v>
      </c>
      <c r="E2340" s="2">
        <v>5323009.04</v>
      </c>
    </row>
    <row r="2341" spans="1:5" ht="15" x14ac:dyDescent="0.2">
      <c r="A2341" s="1" t="s">
        <v>66</v>
      </c>
      <c r="B2341" t="s">
        <v>47</v>
      </c>
      <c r="C2341" t="s">
        <v>58</v>
      </c>
      <c r="D2341">
        <v>66919</v>
      </c>
      <c r="E2341" s="2">
        <v>5089700.74</v>
      </c>
    </row>
    <row r="2342" spans="1:5" ht="15" x14ac:dyDescent="0.2">
      <c r="A2342" s="1" t="s">
        <v>67</v>
      </c>
      <c r="B2342" t="s">
        <v>5</v>
      </c>
      <c r="C2342" t="s">
        <v>58</v>
      </c>
      <c r="D2342">
        <v>66919</v>
      </c>
      <c r="E2342" s="2">
        <v>-382172.27</v>
      </c>
    </row>
    <row r="2343" spans="1:5" ht="15" x14ac:dyDescent="0.2">
      <c r="A2343" s="1" t="s">
        <v>91</v>
      </c>
      <c r="B2343" t="s">
        <v>30</v>
      </c>
      <c r="C2343" t="s">
        <v>58</v>
      </c>
      <c r="D2343">
        <v>66919</v>
      </c>
      <c r="E2343" s="2">
        <v>14241020.800000001</v>
      </c>
    </row>
    <row r="2344" spans="1:5" ht="15" x14ac:dyDescent="0.2">
      <c r="A2344" s="1" t="s">
        <v>64</v>
      </c>
      <c r="B2344" t="s">
        <v>3</v>
      </c>
      <c r="C2344" t="s">
        <v>58</v>
      </c>
      <c r="D2344">
        <v>66919</v>
      </c>
      <c r="E2344" s="2">
        <v>593.29</v>
      </c>
    </row>
    <row r="2345" spans="1:5" ht="15" x14ac:dyDescent="0.2">
      <c r="A2345" s="1" t="s">
        <v>85</v>
      </c>
      <c r="B2345" t="s">
        <v>24</v>
      </c>
      <c r="C2345" t="s">
        <v>58</v>
      </c>
      <c r="D2345">
        <v>66919</v>
      </c>
      <c r="E2345" s="2">
        <v>4131013.46</v>
      </c>
    </row>
    <row r="2346" spans="1:5" ht="15" x14ac:dyDescent="0.2">
      <c r="A2346" s="1" t="s">
        <v>84</v>
      </c>
      <c r="B2346" t="s">
        <v>16</v>
      </c>
      <c r="C2346" t="s">
        <v>58</v>
      </c>
      <c r="D2346">
        <v>66919</v>
      </c>
      <c r="E2346" s="2">
        <v>1503681.15</v>
      </c>
    </row>
    <row r="2347" spans="1:5" ht="15" x14ac:dyDescent="0.2">
      <c r="A2347" s="1" t="s">
        <v>75</v>
      </c>
      <c r="B2347" t="s">
        <v>12</v>
      </c>
      <c r="C2347" t="s">
        <v>58</v>
      </c>
      <c r="D2347">
        <v>66919</v>
      </c>
      <c r="E2347" s="2">
        <v>5156757.0599999996</v>
      </c>
    </row>
    <row r="2348" spans="1:5" ht="15" x14ac:dyDescent="0.2">
      <c r="A2348" s="1" t="s">
        <v>76</v>
      </c>
      <c r="B2348" t="s">
        <v>13</v>
      </c>
      <c r="C2348" t="s">
        <v>58</v>
      </c>
      <c r="D2348">
        <v>66919</v>
      </c>
      <c r="E2348" s="2">
        <v>2470970.4</v>
      </c>
    </row>
    <row r="2349" spans="1:5" ht="15" x14ac:dyDescent="0.2">
      <c r="A2349" s="1" t="s">
        <v>74</v>
      </c>
      <c r="B2349" t="s">
        <v>11</v>
      </c>
      <c r="C2349" t="s">
        <v>58</v>
      </c>
      <c r="D2349">
        <v>66919</v>
      </c>
      <c r="E2349" s="2">
        <v>426654.35</v>
      </c>
    </row>
    <row r="2350" spans="1:5" ht="15" x14ac:dyDescent="0.2">
      <c r="A2350" s="1" t="s">
        <v>98</v>
      </c>
      <c r="B2350" t="s">
        <v>34</v>
      </c>
      <c r="C2350" t="s">
        <v>58</v>
      </c>
      <c r="D2350">
        <v>66919</v>
      </c>
      <c r="E2350" s="2">
        <v>23601079.02</v>
      </c>
    </row>
    <row r="2351" spans="1:5" ht="15" x14ac:dyDescent="0.2">
      <c r="A2351" s="1" t="s">
        <v>68</v>
      </c>
      <c r="B2351" t="s">
        <v>6</v>
      </c>
      <c r="C2351" t="s">
        <v>58</v>
      </c>
      <c r="D2351">
        <v>66919</v>
      </c>
      <c r="E2351" s="2">
        <v>591532.38</v>
      </c>
    </row>
    <row r="2352" spans="1:5" ht="15" x14ac:dyDescent="0.2">
      <c r="A2352" s="1" t="s">
        <v>81</v>
      </c>
      <c r="B2352" t="s">
        <v>14</v>
      </c>
      <c r="C2352" t="s">
        <v>58</v>
      </c>
      <c r="D2352">
        <v>66919</v>
      </c>
      <c r="E2352" s="2">
        <v>7582.23</v>
      </c>
    </row>
    <row r="2353" spans="1:5" ht="15" x14ac:dyDescent="0.2">
      <c r="A2353" s="1" t="s">
        <v>78</v>
      </c>
      <c r="B2353" t="s">
        <v>20</v>
      </c>
      <c r="C2353" t="s">
        <v>58</v>
      </c>
      <c r="D2353">
        <v>66919</v>
      </c>
      <c r="E2353" s="2">
        <v>477024.61</v>
      </c>
    </row>
    <row r="2354" spans="1:5" ht="15" x14ac:dyDescent="0.2">
      <c r="A2354" s="1" t="s">
        <v>73</v>
      </c>
      <c r="B2354" t="s">
        <v>17</v>
      </c>
      <c r="C2354" t="s">
        <v>58</v>
      </c>
      <c r="D2354">
        <v>66919</v>
      </c>
      <c r="E2354" s="2">
        <v>4541529.83</v>
      </c>
    </row>
    <row r="2355" spans="1:5" ht="15" x14ac:dyDescent="0.2">
      <c r="A2355" s="1" t="s">
        <v>75</v>
      </c>
      <c r="B2355" t="s">
        <v>19</v>
      </c>
      <c r="C2355" t="s">
        <v>58</v>
      </c>
      <c r="D2355">
        <v>66919</v>
      </c>
      <c r="E2355" s="2">
        <v>2570265.1</v>
      </c>
    </row>
    <row r="2356" spans="1:5" ht="15" x14ac:dyDescent="0.2">
      <c r="A2356" s="1" t="s">
        <v>65</v>
      </c>
      <c r="B2356" t="s">
        <v>4</v>
      </c>
      <c r="C2356" t="s">
        <v>58</v>
      </c>
      <c r="D2356">
        <v>66919</v>
      </c>
      <c r="E2356" s="2">
        <v>598167.67000000004</v>
      </c>
    </row>
    <row r="2357" spans="1:5" ht="15" x14ac:dyDescent="0.2">
      <c r="A2357" s="1" t="s">
        <v>104</v>
      </c>
      <c r="B2357" t="s">
        <v>40</v>
      </c>
      <c r="C2357" t="s">
        <v>58</v>
      </c>
      <c r="D2357">
        <v>66919</v>
      </c>
      <c r="E2357" s="2">
        <v>10374571.25</v>
      </c>
    </row>
    <row r="2358" spans="1:5" ht="15" x14ac:dyDescent="0.2">
      <c r="A2358" s="1" t="s">
        <v>70</v>
      </c>
      <c r="B2358" t="s">
        <v>8</v>
      </c>
      <c r="C2358" t="s">
        <v>58</v>
      </c>
      <c r="D2358">
        <v>66919</v>
      </c>
      <c r="E2358" s="2">
        <v>25994484.940000001</v>
      </c>
    </row>
    <row r="2359" spans="1:5" ht="15" x14ac:dyDescent="0.2">
      <c r="A2359" s="1" t="s">
        <v>91</v>
      </c>
      <c r="B2359" t="s">
        <v>30</v>
      </c>
      <c r="C2359" t="s">
        <v>58</v>
      </c>
      <c r="D2359">
        <v>67561</v>
      </c>
      <c r="E2359" s="2">
        <v>12113174.439999999</v>
      </c>
    </row>
    <row r="2360" spans="1:5" ht="15" x14ac:dyDescent="0.2">
      <c r="A2360" s="1" t="s">
        <v>92</v>
      </c>
      <c r="B2360" t="s">
        <v>31</v>
      </c>
      <c r="C2360" t="s">
        <v>58</v>
      </c>
      <c r="D2360">
        <v>67561</v>
      </c>
      <c r="E2360" s="2">
        <v>104.87</v>
      </c>
    </row>
    <row r="2361" spans="1:5" ht="15" x14ac:dyDescent="0.2">
      <c r="A2361" s="1" t="s">
        <v>64</v>
      </c>
      <c r="B2361" t="s">
        <v>3</v>
      </c>
      <c r="C2361" t="s">
        <v>58</v>
      </c>
      <c r="D2361">
        <v>67561</v>
      </c>
      <c r="E2361" s="2">
        <v>4642271.37</v>
      </c>
    </row>
    <row r="2362" spans="1:5" ht="15" x14ac:dyDescent="0.2">
      <c r="A2362" s="1" t="s">
        <v>85</v>
      </c>
      <c r="B2362" t="s">
        <v>24</v>
      </c>
      <c r="C2362" t="s">
        <v>58</v>
      </c>
      <c r="D2362">
        <v>67561</v>
      </c>
      <c r="E2362" s="2">
        <v>31233721.949999999</v>
      </c>
    </row>
    <row r="2363" spans="1:5" ht="15" x14ac:dyDescent="0.2">
      <c r="A2363" s="1" t="s">
        <v>84</v>
      </c>
      <c r="B2363" t="s">
        <v>16</v>
      </c>
      <c r="C2363" t="s">
        <v>58</v>
      </c>
      <c r="D2363">
        <v>67561</v>
      </c>
      <c r="E2363" s="2">
        <v>3922056.88</v>
      </c>
    </row>
    <row r="2364" spans="1:5" ht="15" x14ac:dyDescent="0.2">
      <c r="A2364" s="1" t="s">
        <v>68</v>
      </c>
      <c r="B2364" t="s">
        <v>6</v>
      </c>
      <c r="C2364" t="s">
        <v>58</v>
      </c>
      <c r="D2364">
        <v>67561</v>
      </c>
      <c r="E2364" s="2">
        <v>1833991.69</v>
      </c>
    </row>
    <row r="2365" spans="1:5" ht="15" x14ac:dyDescent="0.2">
      <c r="A2365" s="1" t="s">
        <v>77</v>
      </c>
      <c r="B2365" t="s">
        <v>18</v>
      </c>
      <c r="C2365" t="s">
        <v>58</v>
      </c>
      <c r="D2365">
        <v>67561</v>
      </c>
      <c r="E2365" s="2">
        <v>1339962.1299999999</v>
      </c>
    </row>
    <row r="2366" spans="1:5" ht="15" x14ac:dyDescent="0.2">
      <c r="A2366" s="1" t="s">
        <v>78</v>
      </c>
      <c r="B2366" t="s">
        <v>20</v>
      </c>
      <c r="C2366" t="s">
        <v>58</v>
      </c>
      <c r="D2366">
        <v>67561</v>
      </c>
      <c r="E2366" s="2">
        <v>486259.97</v>
      </c>
    </row>
    <row r="2367" spans="1:5" ht="15" x14ac:dyDescent="0.2">
      <c r="A2367" s="1" t="s">
        <v>87</v>
      </c>
      <c r="B2367" t="s">
        <v>26</v>
      </c>
      <c r="C2367" t="s">
        <v>58</v>
      </c>
      <c r="D2367">
        <v>67561</v>
      </c>
      <c r="E2367" s="2">
        <v>3727344.16</v>
      </c>
    </row>
    <row r="2368" spans="1:5" ht="15" x14ac:dyDescent="0.2">
      <c r="A2368" s="1" t="s">
        <v>73</v>
      </c>
      <c r="B2368" t="s">
        <v>17</v>
      </c>
      <c r="C2368" t="s">
        <v>58</v>
      </c>
      <c r="D2368">
        <v>67561</v>
      </c>
      <c r="E2368" s="2">
        <v>2191042.1800000002</v>
      </c>
    </row>
    <row r="2369" spans="1:5" ht="15" x14ac:dyDescent="0.2">
      <c r="A2369" s="1" t="s">
        <v>69</v>
      </c>
      <c r="B2369" t="s">
        <v>7</v>
      </c>
      <c r="C2369" t="s">
        <v>58</v>
      </c>
      <c r="D2369">
        <v>67561</v>
      </c>
      <c r="E2369" s="2">
        <v>261.83999999999997</v>
      </c>
    </row>
    <row r="2370" spans="1:5" ht="15" x14ac:dyDescent="0.2">
      <c r="A2370" s="1" t="s">
        <v>70</v>
      </c>
      <c r="B2370" t="s">
        <v>8</v>
      </c>
      <c r="C2370" t="s">
        <v>58</v>
      </c>
      <c r="D2370">
        <v>67561</v>
      </c>
      <c r="E2370" s="2">
        <v>68690051.189999998</v>
      </c>
    </row>
    <row r="2371" spans="1:5" ht="15" x14ac:dyDescent="0.2">
      <c r="A2371" s="1" t="s">
        <v>86</v>
      </c>
      <c r="B2371" t="s">
        <v>25</v>
      </c>
      <c r="C2371" t="s">
        <v>58</v>
      </c>
      <c r="D2371">
        <v>77596</v>
      </c>
      <c r="E2371" s="2">
        <v>0.94</v>
      </c>
    </row>
    <row r="2372" spans="1:5" ht="15" x14ac:dyDescent="0.2">
      <c r="A2372" s="1" t="s">
        <v>64</v>
      </c>
      <c r="B2372" t="s">
        <v>3</v>
      </c>
      <c r="C2372" t="s">
        <v>58</v>
      </c>
      <c r="D2372">
        <v>77596</v>
      </c>
      <c r="E2372" s="2">
        <v>6683321.9100000001</v>
      </c>
    </row>
    <row r="2373" spans="1:5" ht="15" x14ac:dyDescent="0.2">
      <c r="A2373" s="1" t="s">
        <v>74</v>
      </c>
      <c r="B2373" t="s">
        <v>11</v>
      </c>
      <c r="C2373" t="s">
        <v>58</v>
      </c>
      <c r="D2373">
        <v>77596</v>
      </c>
      <c r="E2373" s="2">
        <v>190761.68</v>
      </c>
    </row>
    <row r="2374" spans="1:5" ht="15" x14ac:dyDescent="0.2">
      <c r="A2374" s="1" t="s">
        <v>96</v>
      </c>
      <c r="B2374" t="s">
        <v>44</v>
      </c>
      <c r="C2374" t="s">
        <v>58</v>
      </c>
      <c r="D2374">
        <v>77596</v>
      </c>
      <c r="E2374" s="2">
        <v>1128497.28</v>
      </c>
    </row>
    <row r="2375" spans="1:5" ht="15" x14ac:dyDescent="0.2">
      <c r="A2375" s="1" t="s">
        <v>97</v>
      </c>
      <c r="B2375" t="s">
        <v>42</v>
      </c>
      <c r="C2375" t="s">
        <v>58</v>
      </c>
      <c r="D2375">
        <v>77596</v>
      </c>
      <c r="E2375" s="2">
        <v>950117.8</v>
      </c>
    </row>
    <row r="2376" spans="1:5" ht="15" x14ac:dyDescent="0.2">
      <c r="A2376" s="1" t="s">
        <v>77</v>
      </c>
      <c r="B2376" t="s">
        <v>18</v>
      </c>
      <c r="C2376" t="s">
        <v>58</v>
      </c>
      <c r="D2376">
        <v>77596</v>
      </c>
      <c r="E2376" s="2">
        <v>5682499.6500000004</v>
      </c>
    </row>
    <row r="2377" spans="1:5" ht="15" x14ac:dyDescent="0.2">
      <c r="A2377" s="1" t="s">
        <v>78</v>
      </c>
      <c r="B2377" t="s">
        <v>20</v>
      </c>
      <c r="C2377" t="s">
        <v>58</v>
      </c>
      <c r="D2377">
        <v>77596</v>
      </c>
      <c r="E2377" s="2">
        <v>273676.28999999998</v>
      </c>
    </row>
    <row r="2378" spans="1:5" ht="15" x14ac:dyDescent="0.2">
      <c r="A2378" s="1" t="s">
        <v>103</v>
      </c>
      <c r="B2378" t="s">
        <v>37</v>
      </c>
      <c r="C2378" t="s">
        <v>58</v>
      </c>
      <c r="D2378">
        <v>77596</v>
      </c>
      <c r="E2378" s="2">
        <v>3969514.91</v>
      </c>
    </row>
    <row r="2379" spans="1:5" ht="15" x14ac:dyDescent="0.2">
      <c r="A2379" s="1" t="s">
        <v>73</v>
      </c>
      <c r="B2379" t="s">
        <v>17</v>
      </c>
      <c r="C2379" t="s">
        <v>58</v>
      </c>
      <c r="D2379">
        <v>77596</v>
      </c>
      <c r="E2379" s="2">
        <v>306.69</v>
      </c>
    </row>
    <row r="2380" spans="1:5" ht="15" x14ac:dyDescent="0.2">
      <c r="A2380" s="1" t="s">
        <v>69</v>
      </c>
      <c r="B2380" t="s">
        <v>7</v>
      </c>
      <c r="C2380" t="s">
        <v>58</v>
      </c>
      <c r="D2380">
        <v>77596</v>
      </c>
      <c r="E2380" s="2">
        <v>11769664.289999999</v>
      </c>
    </row>
    <row r="2381" spans="1:5" ht="15" x14ac:dyDescent="0.2">
      <c r="A2381" s="1" t="s">
        <v>70</v>
      </c>
      <c r="B2381" t="s">
        <v>8</v>
      </c>
      <c r="C2381" t="s">
        <v>58</v>
      </c>
      <c r="D2381">
        <v>77596</v>
      </c>
      <c r="E2381" s="2">
        <v>36753166.960000001</v>
      </c>
    </row>
    <row r="2382" spans="1:5" ht="15" x14ac:dyDescent="0.2">
      <c r="A2382" s="1" t="s">
        <v>66</v>
      </c>
      <c r="B2382" t="s">
        <v>47</v>
      </c>
      <c r="C2382" t="s">
        <v>58</v>
      </c>
      <c r="D2382">
        <v>79863</v>
      </c>
      <c r="E2382" s="2">
        <v>2020867.48</v>
      </c>
    </row>
    <row r="2383" spans="1:5" ht="15" x14ac:dyDescent="0.2">
      <c r="A2383" s="1" t="s">
        <v>86</v>
      </c>
      <c r="B2383" t="s">
        <v>25</v>
      </c>
      <c r="C2383" t="s">
        <v>58</v>
      </c>
      <c r="D2383">
        <v>79863</v>
      </c>
      <c r="E2383" s="2">
        <v>4126830.99</v>
      </c>
    </row>
    <row r="2384" spans="1:5" ht="15" x14ac:dyDescent="0.2">
      <c r="A2384" s="1" t="s">
        <v>74</v>
      </c>
      <c r="B2384" t="s">
        <v>11</v>
      </c>
      <c r="C2384" t="s">
        <v>58</v>
      </c>
      <c r="D2384">
        <v>79863</v>
      </c>
      <c r="E2384" s="2">
        <v>139791.39000000001</v>
      </c>
    </row>
    <row r="2385" spans="1:5" ht="15" x14ac:dyDescent="0.2">
      <c r="A2385" s="1" t="s">
        <v>72</v>
      </c>
      <c r="B2385" t="s">
        <v>10</v>
      </c>
      <c r="C2385" t="s">
        <v>58</v>
      </c>
      <c r="D2385">
        <v>79863</v>
      </c>
      <c r="E2385" s="2">
        <v>2933.24</v>
      </c>
    </row>
    <row r="2386" spans="1:5" ht="15" x14ac:dyDescent="0.2">
      <c r="A2386" s="1" t="s">
        <v>96</v>
      </c>
      <c r="B2386" t="s">
        <v>44</v>
      </c>
      <c r="C2386" t="s">
        <v>58</v>
      </c>
      <c r="D2386">
        <v>79863</v>
      </c>
      <c r="E2386" s="2">
        <v>864.31</v>
      </c>
    </row>
    <row r="2387" spans="1:5" ht="15" x14ac:dyDescent="0.2">
      <c r="A2387" s="1" t="s">
        <v>68</v>
      </c>
      <c r="B2387" t="s">
        <v>6</v>
      </c>
      <c r="C2387" t="s">
        <v>58</v>
      </c>
      <c r="D2387">
        <v>79863</v>
      </c>
      <c r="E2387" s="2">
        <v>600681.39</v>
      </c>
    </row>
    <row r="2388" spans="1:5" ht="15" x14ac:dyDescent="0.2">
      <c r="A2388" s="1" t="s">
        <v>100</v>
      </c>
      <c r="B2388" t="s">
        <v>43</v>
      </c>
      <c r="C2388" t="s">
        <v>58</v>
      </c>
      <c r="D2388">
        <v>79863</v>
      </c>
      <c r="E2388" s="2">
        <v>4385174.1900000004</v>
      </c>
    </row>
    <row r="2389" spans="1:5" ht="15" x14ac:dyDescent="0.2">
      <c r="A2389" s="1" t="s">
        <v>87</v>
      </c>
      <c r="B2389" t="s">
        <v>26</v>
      </c>
      <c r="C2389" t="s">
        <v>58</v>
      </c>
      <c r="D2389">
        <v>79863</v>
      </c>
      <c r="E2389" s="2">
        <v>1684325.75</v>
      </c>
    </row>
    <row r="2390" spans="1:5" ht="15" x14ac:dyDescent="0.2">
      <c r="A2390" s="1" t="s">
        <v>103</v>
      </c>
      <c r="B2390" t="s">
        <v>37</v>
      </c>
      <c r="C2390" t="s">
        <v>58</v>
      </c>
      <c r="D2390">
        <v>79863</v>
      </c>
      <c r="E2390" s="2">
        <v>1184440.22</v>
      </c>
    </row>
    <row r="2391" spans="1:5" ht="15" x14ac:dyDescent="0.2">
      <c r="A2391" s="1" t="s">
        <v>101</v>
      </c>
      <c r="B2391" t="s">
        <v>39</v>
      </c>
      <c r="C2391" t="s">
        <v>58</v>
      </c>
      <c r="D2391">
        <v>79863</v>
      </c>
      <c r="E2391" s="2">
        <v>3165772.59</v>
      </c>
    </row>
    <row r="2392" spans="1:5" ht="15" x14ac:dyDescent="0.2">
      <c r="A2392" s="1" t="s">
        <v>82</v>
      </c>
      <c r="B2392" t="s">
        <v>15</v>
      </c>
      <c r="C2392" t="s">
        <v>58</v>
      </c>
      <c r="D2392">
        <v>79863</v>
      </c>
      <c r="E2392" s="2">
        <v>13534.76</v>
      </c>
    </row>
    <row r="2393" spans="1:5" ht="15" x14ac:dyDescent="0.2">
      <c r="A2393" s="1" t="s">
        <v>89</v>
      </c>
      <c r="B2393" t="s">
        <v>28</v>
      </c>
      <c r="C2393" t="s">
        <v>58</v>
      </c>
      <c r="D2393">
        <v>81857</v>
      </c>
      <c r="E2393" s="2">
        <v>1125562.95</v>
      </c>
    </row>
    <row r="2394" spans="1:5" ht="15" x14ac:dyDescent="0.2">
      <c r="A2394" s="1" t="s">
        <v>91</v>
      </c>
      <c r="B2394" t="s">
        <v>30</v>
      </c>
      <c r="C2394" t="s">
        <v>58</v>
      </c>
      <c r="D2394">
        <v>81857</v>
      </c>
      <c r="E2394" s="2">
        <v>32886891.530000001</v>
      </c>
    </row>
    <row r="2395" spans="1:5" ht="15" x14ac:dyDescent="0.2">
      <c r="A2395" s="1" t="s">
        <v>64</v>
      </c>
      <c r="B2395" t="s">
        <v>3</v>
      </c>
      <c r="C2395" t="s">
        <v>58</v>
      </c>
      <c r="D2395">
        <v>81857</v>
      </c>
      <c r="E2395" s="2">
        <v>12397879.85</v>
      </c>
    </row>
    <row r="2396" spans="1:5" ht="15" x14ac:dyDescent="0.2">
      <c r="A2396" s="1" t="s">
        <v>83</v>
      </c>
      <c r="B2396" t="s">
        <v>23</v>
      </c>
      <c r="C2396" t="s">
        <v>58</v>
      </c>
      <c r="D2396">
        <v>81857</v>
      </c>
      <c r="E2396" s="2">
        <v>6517855.7800000003</v>
      </c>
    </row>
    <row r="2397" spans="1:5" ht="15" x14ac:dyDescent="0.2">
      <c r="A2397" s="1" t="s">
        <v>96</v>
      </c>
      <c r="B2397" t="s">
        <v>44</v>
      </c>
      <c r="C2397" t="s">
        <v>58</v>
      </c>
      <c r="D2397">
        <v>81857</v>
      </c>
      <c r="E2397" s="2">
        <v>1963393.57</v>
      </c>
    </row>
    <row r="2398" spans="1:5" ht="15" x14ac:dyDescent="0.2">
      <c r="A2398" s="1" t="s">
        <v>97</v>
      </c>
      <c r="B2398" t="s">
        <v>42</v>
      </c>
      <c r="C2398" t="s">
        <v>58</v>
      </c>
      <c r="D2398">
        <v>81857</v>
      </c>
      <c r="E2398" s="2">
        <v>1186166.23</v>
      </c>
    </row>
    <row r="2399" spans="1:5" ht="15" x14ac:dyDescent="0.2">
      <c r="A2399" s="1" t="s">
        <v>100</v>
      </c>
      <c r="B2399" t="s">
        <v>43</v>
      </c>
      <c r="C2399" t="s">
        <v>58</v>
      </c>
      <c r="D2399">
        <v>81857</v>
      </c>
      <c r="E2399" s="2">
        <v>2923981.85</v>
      </c>
    </row>
    <row r="2400" spans="1:5" ht="15" x14ac:dyDescent="0.2">
      <c r="A2400" s="1" t="s">
        <v>78</v>
      </c>
      <c r="B2400" t="s">
        <v>20</v>
      </c>
      <c r="C2400" t="s">
        <v>58</v>
      </c>
      <c r="D2400">
        <v>81857</v>
      </c>
      <c r="E2400" s="2">
        <v>136413.99</v>
      </c>
    </row>
    <row r="2401" spans="1:5" ht="15" x14ac:dyDescent="0.2">
      <c r="A2401" s="1" t="s">
        <v>70</v>
      </c>
      <c r="B2401" t="s">
        <v>8</v>
      </c>
      <c r="C2401" t="s">
        <v>58</v>
      </c>
      <c r="D2401">
        <v>81857</v>
      </c>
      <c r="E2401" s="2">
        <v>17285.78</v>
      </c>
    </row>
    <row r="2402" spans="1:5" ht="15" x14ac:dyDescent="0.2">
      <c r="A2402" s="1" t="s">
        <v>66</v>
      </c>
      <c r="B2402" t="s">
        <v>47</v>
      </c>
      <c r="C2402" t="s">
        <v>58</v>
      </c>
      <c r="D2402">
        <v>87775</v>
      </c>
      <c r="E2402" s="2">
        <v>3119232.18</v>
      </c>
    </row>
    <row r="2403" spans="1:5" ht="15" x14ac:dyDescent="0.2">
      <c r="A2403" s="1" t="s">
        <v>67</v>
      </c>
      <c r="B2403" t="s">
        <v>5</v>
      </c>
      <c r="C2403" t="s">
        <v>58</v>
      </c>
      <c r="D2403">
        <v>87775</v>
      </c>
      <c r="E2403" s="2">
        <v>-325565.8</v>
      </c>
    </row>
    <row r="2404" spans="1:5" ht="15" x14ac:dyDescent="0.2">
      <c r="A2404" s="1" t="s">
        <v>86</v>
      </c>
      <c r="B2404" t="s">
        <v>25</v>
      </c>
      <c r="C2404" t="s">
        <v>58</v>
      </c>
      <c r="D2404">
        <v>87775</v>
      </c>
      <c r="E2404" s="2">
        <v>2475678.56</v>
      </c>
    </row>
    <row r="2405" spans="1:5" ht="15" x14ac:dyDescent="0.2">
      <c r="A2405" s="1" t="s">
        <v>79</v>
      </c>
      <c r="B2405" t="s">
        <v>21</v>
      </c>
      <c r="C2405" t="s">
        <v>58</v>
      </c>
      <c r="D2405">
        <v>87775</v>
      </c>
      <c r="E2405" s="2">
        <v>9689706.3100000005</v>
      </c>
    </row>
    <row r="2406" spans="1:5" ht="15" x14ac:dyDescent="0.2">
      <c r="A2406" s="1" t="s">
        <v>84</v>
      </c>
      <c r="B2406" t="s">
        <v>16</v>
      </c>
      <c r="C2406" t="s">
        <v>58</v>
      </c>
      <c r="D2406">
        <v>87775</v>
      </c>
      <c r="E2406" s="2">
        <v>2395340.9</v>
      </c>
    </row>
    <row r="2407" spans="1:5" ht="15" x14ac:dyDescent="0.2">
      <c r="A2407" s="1" t="s">
        <v>76</v>
      </c>
      <c r="B2407" t="s">
        <v>13</v>
      </c>
      <c r="C2407" t="s">
        <v>58</v>
      </c>
      <c r="D2407">
        <v>87775</v>
      </c>
      <c r="E2407" s="2">
        <v>8160.44</v>
      </c>
    </row>
    <row r="2408" spans="1:5" ht="15" x14ac:dyDescent="0.2">
      <c r="A2408" s="1" t="s">
        <v>98</v>
      </c>
      <c r="B2408" t="s">
        <v>34</v>
      </c>
      <c r="C2408" t="s">
        <v>58</v>
      </c>
      <c r="D2408">
        <v>87775</v>
      </c>
      <c r="E2408" s="2">
        <v>892.05</v>
      </c>
    </row>
    <row r="2409" spans="1:5" ht="15" x14ac:dyDescent="0.2">
      <c r="A2409" s="1" t="s">
        <v>99</v>
      </c>
      <c r="B2409" t="s">
        <v>35</v>
      </c>
      <c r="C2409" t="s">
        <v>58</v>
      </c>
      <c r="D2409">
        <v>87775</v>
      </c>
      <c r="E2409" s="2">
        <v>9399677.9000000004</v>
      </c>
    </row>
    <row r="2410" spans="1:5" ht="15" x14ac:dyDescent="0.2">
      <c r="A2410" s="1" t="s">
        <v>68</v>
      </c>
      <c r="B2410" t="s">
        <v>6</v>
      </c>
      <c r="C2410" t="s">
        <v>58</v>
      </c>
      <c r="D2410">
        <v>87775</v>
      </c>
      <c r="E2410" s="2">
        <v>356.19</v>
      </c>
    </row>
    <row r="2411" spans="1:5" ht="15" x14ac:dyDescent="0.2">
      <c r="A2411" s="1" t="s">
        <v>78</v>
      </c>
      <c r="B2411" t="s">
        <v>20</v>
      </c>
      <c r="C2411" t="s">
        <v>58</v>
      </c>
      <c r="D2411">
        <v>87775</v>
      </c>
      <c r="E2411" s="2">
        <v>434008.01</v>
      </c>
    </row>
    <row r="2412" spans="1:5" ht="15" x14ac:dyDescent="0.2">
      <c r="A2412" s="1" t="s">
        <v>87</v>
      </c>
      <c r="B2412" t="s">
        <v>26</v>
      </c>
      <c r="C2412" t="s">
        <v>58</v>
      </c>
      <c r="D2412">
        <v>87775</v>
      </c>
      <c r="E2412" s="2">
        <v>965905.06</v>
      </c>
    </row>
    <row r="2413" spans="1:5" ht="15" x14ac:dyDescent="0.2">
      <c r="A2413" s="1" t="s">
        <v>103</v>
      </c>
      <c r="B2413" t="s">
        <v>37</v>
      </c>
      <c r="C2413" t="s">
        <v>58</v>
      </c>
      <c r="D2413">
        <v>87775</v>
      </c>
      <c r="E2413" s="2">
        <v>186.18</v>
      </c>
    </row>
    <row r="2414" spans="1:5" ht="15" x14ac:dyDescent="0.2">
      <c r="A2414" s="1" t="s">
        <v>101</v>
      </c>
      <c r="B2414" t="s">
        <v>39</v>
      </c>
      <c r="C2414" t="s">
        <v>58</v>
      </c>
      <c r="D2414">
        <v>87775</v>
      </c>
      <c r="E2414" s="2">
        <v>3824102.35</v>
      </c>
    </row>
    <row r="2415" spans="1:5" ht="15" x14ac:dyDescent="0.2">
      <c r="A2415" s="1" t="s">
        <v>105</v>
      </c>
      <c r="B2415" t="s">
        <v>41</v>
      </c>
      <c r="C2415" t="s">
        <v>58</v>
      </c>
      <c r="D2415">
        <v>87775</v>
      </c>
      <c r="E2415" s="2">
        <v>981.19</v>
      </c>
    </row>
    <row r="2416" spans="1:5" ht="15" x14ac:dyDescent="0.2">
      <c r="A2416" s="1" t="s">
        <v>66</v>
      </c>
      <c r="B2416" t="s">
        <v>47</v>
      </c>
      <c r="C2416" t="s">
        <v>59</v>
      </c>
      <c r="D2416">
        <v>10151</v>
      </c>
      <c r="E2416" s="2">
        <v>7063185.8200000003</v>
      </c>
    </row>
    <row r="2417" spans="1:5" ht="15" x14ac:dyDescent="0.2">
      <c r="A2417" s="1" t="s">
        <v>86</v>
      </c>
      <c r="B2417" t="s">
        <v>25</v>
      </c>
      <c r="C2417" t="s">
        <v>59</v>
      </c>
      <c r="D2417">
        <v>10151</v>
      </c>
      <c r="E2417" s="2">
        <v>14954062.91</v>
      </c>
    </row>
    <row r="2418" spans="1:5" ht="15" x14ac:dyDescent="0.2">
      <c r="A2418" s="1" t="s">
        <v>92</v>
      </c>
      <c r="B2418" t="s">
        <v>31</v>
      </c>
      <c r="C2418" t="s">
        <v>59</v>
      </c>
      <c r="D2418">
        <v>10151</v>
      </c>
      <c r="E2418" s="2">
        <v>30279263.039999999</v>
      </c>
    </row>
    <row r="2419" spans="1:5" ht="15" x14ac:dyDescent="0.2">
      <c r="A2419" s="1" t="s">
        <v>93</v>
      </c>
      <c r="B2419" t="s">
        <v>32</v>
      </c>
      <c r="C2419" t="s">
        <v>59</v>
      </c>
      <c r="D2419">
        <v>10151</v>
      </c>
      <c r="E2419" s="2">
        <v>988.32</v>
      </c>
    </row>
    <row r="2420" spans="1:5" ht="15" x14ac:dyDescent="0.2">
      <c r="A2420" s="1" t="s">
        <v>84</v>
      </c>
      <c r="B2420" t="s">
        <v>16</v>
      </c>
      <c r="C2420" t="s">
        <v>59</v>
      </c>
      <c r="D2420">
        <v>10151</v>
      </c>
      <c r="E2420" s="2">
        <v>6351670.0199999996</v>
      </c>
    </row>
    <row r="2421" spans="1:5" ht="15" x14ac:dyDescent="0.2">
      <c r="A2421" s="1" t="s">
        <v>75</v>
      </c>
      <c r="B2421" t="s">
        <v>12</v>
      </c>
      <c r="C2421" t="s">
        <v>59</v>
      </c>
      <c r="D2421">
        <v>10151</v>
      </c>
      <c r="E2421" s="2">
        <v>32642337.390000001</v>
      </c>
    </row>
    <row r="2422" spans="1:5" ht="15" x14ac:dyDescent="0.2">
      <c r="A2422" s="1" t="s">
        <v>80</v>
      </c>
      <c r="B2422" t="s">
        <v>22</v>
      </c>
      <c r="C2422" t="s">
        <v>59</v>
      </c>
      <c r="D2422">
        <v>10151</v>
      </c>
      <c r="E2422" s="2">
        <v>0.96</v>
      </c>
    </row>
    <row r="2423" spans="1:5" ht="15" x14ac:dyDescent="0.2">
      <c r="A2423" s="1" t="s">
        <v>99</v>
      </c>
      <c r="B2423" t="s">
        <v>35</v>
      </c>
      <c r="C2423" t="s">
        <v>59</v>
      </c>
      <c r="D2423">
        <v>10151</v>
      </c>
      <c r="E2423" s="2">
        <v>45971776.109999999</v>
      </c>
    </row>
    <row r="2424" spans="1:5" ht="15" x14ac:dyDescent="0.2">
      <c r="A2424" s="1" t="s">
        <v>81</v>
      </c>
      <c r="B2424" t="s">
        <v>14</v>
      </c>
      <c r="C2424" t="s">
        <v>59</v>
      </c>
      <c r="D2424">
        <v>10151</v>
      </c>
      <c r="E2424" s="2">
        <v>12392804.449999999</v>
      </c>
    </row>
    <row r="2425" spans="1:5" ht="15" x14ac:dyDescent="0.2">
      <c r="A2425" s="1" t="s">
        <v>88</v>
      </c>
      <c r="B2425" t="s">
        <v>27</v>
      </c>
      <c r="C2425" t="s">
        <v>59</v>
      </c>
      <c r="D2425">
        <v>10151</v>
      </c>
      <c r="E2425" s="2">
        <v>25992574.239999998</v>
      </c>
    </row>
    <row r="2426" spans="1:5" ht="15" x14ac:dyDescent="0.2">
      <c r="A2426" s="1" t="s">
        <v>70</v>
      </c>
      <c r="B2426" t="s">
        <v>8</v>
      </c>
      <c r="C2426" t="s">
        <v>59</v>
      </c>
      <c r="D2426">
        <v>10151</v>
      </c>
      <c r="E2426" s="2">
        <v>99169765.010000005</v>
      </c>
    </row>
    <row r="2427" spans="1:5" ht="15" x14ac:dyDescent="0.2">
      <c r="A2427" s="1" t="s">
        <v>95</v>
      </c>
      <c r="B2427" t="s">
        <v>38</v>
      </c>
      <c r="C2427" t="s">
        <v>59</v>
      </c>
      <c r="D2427">
        <v>12756</v>
      </c>
      <c r="E2427" s="2">
        <v>501695274.30000001</v>
      </c>
    </row>
    <row r="2428" spans="1:5" ht="15" x14ac:dyDescent="0.2">
      <c r="A2428" s="1" t="s">
        <v>80</v>
      </c>
      <c r="B2428" t="s">
        <v>22</v>
      </c>
      <c r="C2428" t="s">
        <v>59</v>
      </c>
      <c r="D2428">
        <v>12756</v>
      </c>
      <c r="E2428" s="2">
        <v>16354699.810000001</v>
      </c>
    </row>
    <row r="2429" spans="1:5" ht="15" x14ac:dyDescent="0.2">
      <c r="A2429" s="1" t="s">
        <v>74</v>
      </c>
      <c r="B2429" t="s">
        <v>11</v>
      </c>
      <c r="C2429" t="s">
        <v>59</v>
      </c>
      <c r="D2429">
        <v>12756</v>
      </c>
      <c r="E2429" s="2">
        <v>5188317.7300000004</v>
      </c>
    </row>
    <row r="2430" spans="1:5" ht="15" x14ac:dyDescent="0.2">
      <c r="A2430" s="1" t="s">
        <v>97</v>
      </c>
      <c r="B2430" t="s">
        <v>42</v>
      </c>
      <c r="C2430" t="s">
        <v>59</v>
      </c>
      <c r="D2430">
        <v>12756</v>
      </c>
      <c r="E2430" s="2">
        <v>18578947.699999999</v>
      </c>
    </row>
    <row r="2431" spans="1:5" ht="15" x14ac:dyDescent="0.2">
      <c r="A2431" s="1" t="s">
        <v>99</v>
      </c>
      <c r="B2431" t="s">
        <v>35</v>
      </c>
      <c r="C2431" t="s">
        <v>59</v>
      </c>
      <c r="D2431">
        <v>12756</v>
      </c>
      <c r="E2431" s="2">
        <v>40155398.899999999</v>
      </c>
    </row>
    <row r="2432" spans="1:5" ht="15" x14ac:dyDescent="0.2">
      <c r="A2432" s="1" t="s">
        <v>78</v>
      </c>
      <c r="B2432" t="s">
        <v>20</v>
      </c>
      <c r="C2432" t="s">
        <v>59</v>
      </c>
      <c r="D2432">
        <v>12756</v>
      </c>
      <c r="E2432" s="2">
        <v>3328761.04</v>
      </c>
    </row>
    <row r="2433" spans="1:5" ht="15" x14ac:dyDescent="0.2">
      <c r="A2433" s="1" t="s">
        <v>75</v>
      </c>
      <c r="B2433" t="s">
        <v>19</v>
      </c>
      <c r="C2433" t="s">
        <v>59</v>
      </c>
      <c r="D2433">
        <v>12756</v>
      </c>
      <c r="E2433" s="2">
        <v>21156140.23</v>
      </c>
    </row>
    <row r="2434" spans="1:5" ht="15" x14ac:dyDescent="0.2">
      <c r="A2434" s="1" t="s">
        <v>85</v>
      </c>
      <c r="B2434" t="s">
        <v>24</v>
      </c>
      <c r="C2434" t="s">
        <v>59</v>
      </c>
      <c r="D2434">
        <v>17845</v>
      </c>
      <c r="E2434" s="2">
        <v>49038546.659999996</v>
      </c>
    </row>
    <row r="2435" spans="1:5" ht="15" x14ac:dyDescent="0.2">
      <c r="A2435" s="1" t="s">
        <v>84</v>
      </c>
      <c r="B2435" t="s">
        <v>16</v>
      </c>
      <c r="C2435" t="s">
        <v>59</v>
      </c>
      <c r="D2435">
        <v>17845</v>
      </c>
      <c r="E2435" s="2">
        <v>12766048.560000001</v>
      </c>
    </row>
    <row r="2436" spans="1:5" ht="15" x14ac:dyDescent="0.2">
      <c r="A2436" s="1" t="s">
        <v>76</v>
      </c>
      <c r="B2436" t="s">
        <v>13</v>
      </c>
      <c r="C2436" t="s">
        <v>59</v>
      </c>
      <c r="D2436">
        <v>17845</v>
      </c>
      <c r="E2436" s="2">
        <v>42864879.630000003</v>
      </c>
    </row>
    <row r="2437" spans="1:5" ht="15" x14ac:dyDescent="0.2">
      <c r="A2437" s="1" t="s">
        <v>99</v>
      </c>
      <c r="B2437" t="s">
        <v>35</v>
      </c>
      <c r="C2437" t="s">
        <v>59</v>
      </c>
      <c r="D2437">
        <v>17845</v>
      </c>
      <c r="E2437" s="2">
        <v>48918218.189999998</v>
      </c>
    </row>
    <row r="2438" spans="1:5" ht="15" x14ac:dyDescent="0.2">
      <c r="A2438" s="1" t="s">
        <v>100</v>
      </c>
      <c r="B2438" t="s">
        <v>43</v>
      </c>
      <c r="C2438" t="s">
        <v>59</v>
      </c>
      <c r="D2438">
        <v>17845</v>
      </c>
      <c r="E2438" s="2">
        <v>20665832.489999998</v>
      </c>
    </row>
    <row r="2439" spans="1:5" ht="15" x14ac:dyDescent="0.2">
      <c r="A2439" s="1" t="s">
        <v>81</v>
      </c>
      <c r="B2439" t="s">
        <v>14</v>
      </c>
      <c r="C2439" t="s">
        <v>59</v>
      </c>
      <c r="D2439">
        <v>17845</v>
      </c>
      <c r="E2439" s="2">
        <v>4283.59</v>
      </c>
    </row>
    <row r="2440" spans="1:5" ht="15" x14ac:dyDescent="0.2">
      <c r="A2440" s="1" t="s">
        <v>75</v>
      </c>
      <c r="B2440" t="s">
        <v>19</v>
      </c>
      <c r="C2440" t="s">
        <v>59</v>
      </c>
      <c r="D2440">
        <v>17845</v>
      </c>
      <c r="E2440" s="2">
        <v>24704745.670000002</v>
      </c>
    </row>
    <row r="2441" spans="1:5" ht="15" x14ac:dyDescent="0.2">
      <c r="A2441" s="1" t="s">
        <v>66</v>
      </c>
      <c r="B2441" t="s">
        <v>47</v>
      </c>
      <c r="C2441" t="s">
        <v>59</v>
      </c>
      <c r="D2441">
        <v>23259</v>
      </c>
      <c r="E2441" s="2">
        <v>6499358.1500000004</v>
      </c>
    </row>
    <row r="2442" spans="1:5" ht="15" x14ac:dyDescent="0.2">
      <c r="A2442" s="1" t="s">
        <v>99</v>
      </c>
      <c r="B2442" t="s">
        <v>35</v>
      </c>
      <c r="C2442" t="s">
        <v>59</v>
      </c>
      <c r="D2442">
        <v>23259</v>
      </c>
      <c r="E2442" s="2">
        <v>27745219.969999999</v>
      </c>
    </row>
    <row r="2443" spans="1:5" ht="15" x14ac:dyDescent="0.2">
      <c r="A2443" s="1" t="s">
        <v>102</v>
      </c>
      <c r="B2443" t="s">
        <v>36</v>
      </c>
      <c r="C2443" t="s">
        <v>59</v>
      </c>
      <c r="D2443">
        <v>23259</v>
      </c>
      <c r="E2443" s="2">
        <v>6792282.7699999996</v>
      </c>
    </row>
    <row r="2444" spans="1:5" ht="15" x14ac:dyDescent="0.2">
      <c r="A2444" s="1" t="s">
        <v>73</v>
      </c>
      <c r="B2444" t="s">
        <v>17</v>
      </c>
      <c r="C2444" t="s">
        <v>59</v>
      </c>
      <c r="D2444">
        <v>23259</v>
      </c>
      <c r="E2444" s="2">
        <v>7869034.5099999998</v>
      </c>
    </row>
    <row r="2445" spans="1:5" ht="15" x14ac:dyDescent="0.2">
      <c r="A2445" s="1" t="s">
        <v>105</v>
      </c>
      <c r="B2445" t="s">
        <v>41</v>
      </c>
      <c r="C2445" t="s">
        <v>59</v>
      </c>
      <c r="D2445">
        <v>23259</v>
      </c>
      <c r="E2445" s="2">
        <v>36153375.850000001</v>
      </c>
    </row>
    <row r="2446" spans="1:5" ht="15" x14ac:dyDescent="0.2">
      <c r="A2446" s="1" t="s">
        <v>94</v>
      </c>
      <c r="B2446" t="s">
        <v>33</v>
      </c>
      <c r="C2446" t="s">
        <v>59</v>
      </c>
      <c r="D2446">
        <v>24003</v>
      </c>
      <c r="E2446" s="2">
        <v>113273957.42</v>
      </c>
    </row>
    <row r="2447" spans="1:5" ht="15" x14ac:dyDescent="0.2">
      <c r="A2447" s="1" t="s">
        <v>84</v>
      </c>
      <c r="B2447" t="s">
        <v>16</v>
      </c>
      <c r="C2447" t="s">
        <v>59</v>
      </c>
      <c r="D2447">
        <v>24003</v>
      </c>
      <c r="E2447" s="2">
        <v>13449896.59</v>
      </c>
    </row>
    <row r="2448" spans="1:5" ht="15" x14ac:dyDescent="0.2">
      <c r="A2448" s="1" t="s">
        <v>96</v>
      </c>
      <c r="B2448" t="s">
        <v>44</v>
      </c>
      <c r="C2448" t="s">
        <v>59</v>
      </c>
      <c r="D2448">
        <v>24003</v>
      </c>
      <c r="E2448" s="2">
        <v>22589973.93</v>
      </c>
    </row>
    <row r="2449" spans="1:5" ht="15" x14ac:dyDescent="0.2">
      <c r="A2449" s="1" t="s">
        <v>104</v>
      </c>
      <c r="B2449" t="s">
        <v>40</v>
      </c>
      <c r="C2449" t="s">
        <v>59</v>
      </c>
      <c r="D2449">
        <v>24003</v>
      </c>
      <c r="E2449" s="2">
        <v>134082534.41</v>
      </c>
    </row>
    <row r="2450" spans="1:5" ht="15" x14ac:dyDescent="0.2">
      <c r="A2450" s="1" t="s">
        <v>70</v>
      </c>
      <c r="B2450" t="s">
        <v>8</v>
      </c>
      <c r="C2450" t="s">
        <v>59</v>
      </c>
      <c r="D2450">
        <v>24003</v>
      </c>
      <c r="E2450" s="2">
        <v>212254321.69</v>
      </c>
    </row>
    <row r="2451" spans="1:5" ht="15" x14ac:dyDescent="0.2">
      <c r="A2451" s="1" t="s">
        <v>83</v>
      </c>
      <c r="B2451" t="s">
        <v>23</v>
      </c>
      <c r="C2451" t="s">
        <v>59</v>
      </c>
      <c r="D2451">
        <v>24588</v>
      </c>
      <c r="E2451" s="2">
        <v>62667648.549999997</v>
      </c>
    </row>
    <row r="2452" spans="1:5" ht="15" x14ac:dyDescent="0.2">
      <c r="A2452" s="1" t="s">
        <v>81</v>
      </c>
      <c r="B2452" t="s">
        <v>14</v>
      </c>
      <c r="C2452" t="s">
        <v>59</v>
      </c>
      <c r="D2452">
        <v>24588</v>
      </c>
      <c r="E2452" s="2">
        <v>14077141.67</v>
      </c>
    </row>
    <row r="2453" spans="1:5" ht="15" x14ac:dyDescent="0.2">
      <c r="A2453" s="1" t="s">
        <v>65</v>
      </c>
      <c r="B2453" t="s">
        <v>4</v>
      </c>
      <c r="C2453" t="s">
        <v>59</v>
      </c>
      <c r="D2453">
        <v>24588</v>
      </c>
      <c r="E2453" s="2">
        <v>7163810.5700000003</v>
      </c>
    </row>
    <row r="2454" spans="1:5" ht="15" x14ac:dyDescent="0.2">
      <c r="A2454" s="1" t="s">
        <v>69</v>
      </c>
      <c r="B2454" t="s">
        <v>7</v>
      </c>
      <c r="C2454" t="s">
        <v>59</v>
      </c>
      <c r="D2454">
        <v>24588</v>
      </c>
      <c r="E2454" s="2">
        <v>53861503.609999999</v>
      </c>
    </row>
    <row r="2455" spans="1:5" ht="15" x14ac:dyDescent="0.2">
      <c r="A2455" s="1" t="s">
        <v>80</v>
      </c>
      <c r="B2455" t="s">
        <v>22</v>
      </c>
      <c r="C2455" t="s">
        <v>59</v>
      </c>
      <c r="D2455">
        <v>24627</v>
      </c>
      <c r="E2455" s="2">
        <v>207.03</v>
      </c>
    </row>
    <row r="2456" spans="1:5" ht="15" x14ac:dyDescent="0.2">
      <c r="A2456" s="1" t="s">
        <v>102</v>
      </c>
      <c r="B2456" t="s">
        <v>36</v>
      </c>
      <c r="C2456" t="s">
        <v>59</v>
      </c>
      <c r="D2456">
        <v>24627</v>
      </c>
      <c r="E2456" s="2">
        <v>4215746.09</v>
      </c>
    </row>
    <row r="2457" spans="1:5" ht="15" x14ac:dyDescent="0.2">
      <c r="A2457" s="1" t="s">
        <v>104</v>
      </c>
      <c r="B2457" t="s">
        <v>40</v>
      </c>
      <c r="C2457" t="s">
        <v>59</v>
      </c>
      <c r="D2457">
        <v>24627</v>
      </c>
      <c r="E2457" s="2">
        <v>59072483.549999997</v>
      </c>
    </row>
    <row r="2458" spans="1:5" ht="15" x14ac:dyDescent="0.2">
      <c r="A2458" s="1" t="s">
        <v>75</v>
      </c>
      <c r="B2458" t="s">
        <v>12</v>
      </c>
      <c r="C2458" t="s">
        <v>59</v>
      </c>
      <c r="D2458">
        <v>25382</v>
      </c>
      <c r="E2458" s="2">
        <v>7472619.8799999999</v>
      </c>
    </row>
    <row r="2459" spans="1:5" ht="15" x14ac:dyDescent="0.2">
      <c r="A2459" s="1" t="s">
        <v>72</v>
      </c>
      <c r="B2459" t="s">
        <v>10</v>
      </c>
      <c r="C2459" t="s">
        <v>59</v>
      </c>
      <c r="D2459">
        <v>25382</v>
      </c>
      <c r="E2459" s="2">
        <v>1545.93</v>
      </c>
    </row>
    <row r="2460" spans="1:5" ht="15" x14ac:dyDescent="0.2">
      <c r="A2460" s="1" t="s">
        <v>100</v>
      </c>
      <c r="B2460" t="s">
        <v>43</v>
      </c>
      <c r="C2460" t="s">
        <v>59</v>
      </c>
      <c r="D2460">
        <v>25382</v>
      </c>
      <c r="E2460" s="2">
        <v>10521248.960000001</v>
      </c>
    </row>
    <row r="2461" spans="1:5" ht="15" x14ac:dyDescent="0.2">
      <c r="A2461" s="1" t="s">
        <v>102</v>
      </c>
      <c r="B2461" t="s">
        <v>36</v>
      </c>
      <c r="C2461" t="s">
        <v>59</v>
      </c>
      <c r="D2461">
        <v>25382</v>
      </c>
      <c r="E2461" s="2">
        <v>10612856.4</v>
      </c>
    </row>
    <row r="2462" spans="1:5" ht="15" x14ac:dyDescent="0.2">
      <c r="A2462" s="1" t="s">
        <v>73</v>
      </c>
      <c r="B2462" t="s">
        <v>17</v>
      </c>
      <c r="C2462" t="s">
        <v>59</v>
      </c>
      <c r="D2462">
        <v>25382</v>
      </c>
      <c r="E2462" s="2">
        <v>1897466.62</v>
      </c>
    </row>
    <row r="2463" spans="1:5" ht="15" x14ac:dyDescent="0.2">
      <c r="A2463" s="1" t="s">
        <v>64</v>
      </c>
      <c r="B2463" t="s">
        <v>3</v>
      </c>
      <c r="C2463" t="s">
        <v>59</v>
      </c>
      <c r="D2463">
        <v>26287</v>
      </c>
      <c r="E2463" s="2">
        <v>28664410.5</v>
      </c>
    </row>
    <row r="2464" spans="1:5" ht="15" x14ac:dyDescent="0.2">
      <c r="A2464" s="1" t="s">
        <v>96</v>
      </c>
      <c r="B2464" t="s">
        <v>44</v>
      </c>
      <c r="C2464" t="s">
        <v>59</v>
      </c>
      <c r="D2464">
        <v>26287</v>
      </c>
      <c r="E2464" s="2">
        <v>12432061.98</v>
      </c>
    </row>
    <row r="2465" spans="1:5" ht="15" x14ac:dyDescent="0.2">
      <c r="A2465" s="1" t="s">
        <v>98</v>
      </c>
      <c r="B2465" t="s">
        <v>34</v>
      </c>
      <c r="C2465" t="s">
        <v>59</v>
      </c>
      <c r="D2465">
        <v>26287</v>
      </c>
      <c r="E2465" s="2">
        <v>255874021.72</v>
      </c>
    </row>
    <row r="2466" spans="1:5" ht="15" x14ac:dyDescent="0.2">
      <c r="A2466" s="1" t="s">
        <v>68</v>
      </c>
      <c r="B2466" t="s">
        <v>6</v>
      </c>
      <c r="C2466" t="s">
        <v>59</v>
      </c>
      <c r="D2466">
        <v>26287</v>
      </c>
      <c r="E2466" s="2">
        <v>39185791.670000002</v>
      </c>
    </row>
    <row r="2467" spans="1:5" ht="15" x14ac:dyDescent="0.2">
      <c r="A2467" s="1" t="s">
        <v>81</v>
      </c>
      <c r="B2467" t="s">
        <v>14</v>
      </c>
      <c r="C2467" t="s">
        <v>59</v>
      </c>
      <c r="D2467">
        <v>26287</v>
      </c>
      <c r="E2467" s="2">
        <v>29603099.890000001</v>
      </c>
    </row>
    <row r="2468" spans="1:5" ht="15" x14ac:dyDescent="0.2">
      <c r="A2468" s="1" t="s">
        <v>78</v>
      </c>
      <c r="B2468" t="s">
        <v>20</v>
      </c>
      <c r="C2468" t="s">
        <v>59</v>
      </c>
      <c r="D2468">
        <v>26287</v>
      </c>
      <c r="E2468" s="2">
        <v>3222531.91</v>
      </c>
    </row>
    <row r="2469" spans="1:5" ht="15" x14ac:dyDescent="0.2">
      <c r="A2469" s="1" t="s">
        <v>104</v>
      </c>
      <c r="B2469" t="s">
        <v>40</v>
      </c>
      <c r="C2469" t="s">
        <v>59</v>
      </c>
      <c r="D2469">
        <v>26287</v>
      </c>
      <c r="E2469" s="2">
        <v>59953099.600000001</v>
      </c>
    </row>
    <row r="2470" spans="1:5" ht="15" x14ac:dyDescent="0.2">
      <c r="A2470" s="1" t="s">
        <v>69</v>
      </c>
      <c r="B2470" t="s">
        <v>7</v>
      </c>
      <c r="C2470" t="s">
        <v>59</v>
      </c>
      <c r="D2470">
        <v>26287</v>
      </c>
      <c r="E2470" s="2">
        <v>25746.73</v>
      </c>
    </row>
    <row r="2471" spans="1:5" ht="15" x14ac:dyDescent="0.2">
      <c r="A2471" s="1" t="s">
        <v>64</v>
      </c>
      <c r="B2471" t="s">
        <v>3</v>
      </c>
      <c r="C2471" t="s">
        <v>59</v>
      </c>
      <c r="D2471">
        <v>27896</v>
      </c>
      <c r="E2471" s="2">
        <v>9672425.0600000005</v>
      </c>
    </row>
    <row r="2472" spans="1:5" ht="15" x14ac:dyDescent="0.2">
      <c r="A2472" s="1" t="s">
        <v>84</v>
      </c>
      <c r="B2472" t="s">
        <v>16</v>
      </c>
      <c r="C2472" t="s">
        <v>59</v>
      </c>
      <c r="D2472">
        <v>27896</v>
      </c>
      <c r="E2472" s="2">
        <v>23361749.75</v>
      </c>
    </row>
    <row r="2473" spans="1:5" ht="15" x14ac:dyDescent="0.2">
      <c r="A2473" s="1" t="s">
        <v>75</v>
      </c>
      <c r="B2473" t="s">
        <v>12</v>
      </c>
      <c r="C2473" t="s">
        <v>59</v>
      </c>
      <c r="D2473">
        <v>27896</v>
      </c>
      <c r="E2473" s="2">
        <v>12112667.92</v>
      </c>
    </row>
    <row r="2474" spans="1:5" ht="15" x14ac:dyDescent="0.2">
      <c r="A2474" s="1" t="s">
        <v>68</v>
      </c>
      <c r="B2474" t="s">
        <v>6</v>
      </c>
      <c r="C2474" t="s">
        <v>59</v>
      </c>
      <c r="D2474">
        <v>27896</v>
      </c>
      <c r="E2474" s="2">
        <v>11052066.57</v>
      </c>
    </row>
    <row r="2475" spans="1:5" ht="15" x14ac:dyDescent="0.2">
      <c r="A2475" s="1" t="s">
        <v>92</v>
      </c>
      <c r="B2475" t="s">
        <v>31</v>
      </c>
      <c r="C2475" t="s">
        <v>59</v>
      </c>
      <c r="D2475">
        <v>28139</v>
      </c>
      <c r="E2475" s="2">
        <v>118913844.93000001</v>
      </c>
    </row>
    <row r="2476" spans="1:5" ht="15" x14ac:dyDescent="0.2">
      <c r="A2476" s="1" t="s">
        <v>64</v>
      </c>
      <c r="B2476" t="s">
        <v>3</v>
      </c>
      <c r="C2476" t="s">
        <v>59</v>
      </c>
      <c r="D2476">
        <v>28139</v>
      </c>
      <c r="E2476" s="2">
        <v>48877426.630000003</v>
      </c>
    </row>
    <row r="2477" spans="1:5" ht="15" x14ac:dyDescent="0.2">
      <c r="A2477" s="1" t="s">
        <v>84</v>
      </c>
      <c r="B2477" t="s">
        <v>16</v>
      </c>
      <c r="C2477" t="s">
        <v>59</v>
      </c>
      <c r="D2477">
        <v>28139</v>
      </c>
      <c r="E2477" s="2">
        <v>7185272.7400000002</v>
      </c>
    </row>
    <row r="2478" spans="1:5" ht="15" x14ac:dyDescent="0.2">
      <c r="A2478" s="1" t="s">
        <v>77</v>
      </c>
      <c r="B2478" t="s">
        <v>18</v>
      </c>
      <c r="C2478" t="s">
        <v>59</v>
      </c>
      <c r="D2478">
        <v>28139</v>
      </c>
      <c r="E2478" s="2">
        <v>38970626.229999997</v>
      </c>
    </row>
    <row r="2479" spans="1:5" ht="15" x14ac:dyDescent="0.2">
      <c r="A2479" s="1" t="s">
        <v>101</v>
      </c>
      <c r="B2479" t="s">
        <v>39</v>
      </c>
      <c r="C2479" t="s">
        <v>59</v>
      </c>
      <c r="D2479">
        <v>28139</v>
      </c>
      <c r="E2479" s="2">
        <v>20266876.16</v>
      </c>
    </row>
    <row r="2480" spans="1:5" ht="15" x14ac:dyDescent="0.2">
      <c r="A2480" s="1" t="s">
        <v>90</v>
      </c>
      <c r="B2480" t="s">
        <v>29</v>
      </c>
      <c r="C2480" t="s">
        <v>59</v>
      </c>
      <c r="D2480">
        <v>34613</v>
      </c>
      <c r="E2480" s="2">
        <v>1093.05</v>
      </c>
    </row>
    <row r="2481" spans="1:5" ht="15" x14ac:dyDescent="0.2">
      <c r="A2481" s="1" t="s">
        <v>95</v>
      </c>
      <c r="B2481" t="s">
        <v>38</v>
      </c>
      <c r="C2481" t="s">
        <v>59</v>
      </c>
      <c r="D2481">
        <v>34613</v>
      </c>
      <c r="E2481" s="2">
        <v>246980533.16</v>
      </c>
    </row>
    <row r="2482" spans="1:5" ht="15" x14ac:dyDescent="0.2">
      <c r="A2482" s="1" t="s">
        <v>65</v>
      </c>
      <c r="B2482" t="s">
        <v>4</v>
      </c>
      <c r="C2482" t="s">
        <v>59</v>
      </c>
      <c r="D2482">
        <v>34613</v>
      </c>
      <c r="E2482" s="2">
        <v>14934149.220000001</v>
      </c>
    </row>
    <row r="2483" spans="1:5" ht="15" x14ac:dyDescent="0.2">
      <c r="A2483" s="1" t="s">
        <v>105</v>
      </c>
      <c r="B2483" t="s">
        <v>41</v>
      </c>
      <c r="C2483" t="s">
        <v>59</v>
      </c>
      <c r="D2483">
        <v>34613</v>
      </c>
      <c r="E2483" s="2">
        <v>756.07</v>
      </c>
    </row>
    <row r="2484" spans="1:5" ht="15" x14ac:dyDescent="0.2">
      <c r="A2484" s="1" t="s">
        <v>71</v>
      </c>
      <c r="B2484" t="s">
        <v>9</v>
      </c>
      <c r="C2484" t="s">
        <v>59</v>
      </c>
      <c r="D2484">
        <v>34613</v>
      </c>
      <c r="E2484" s="2">
        <v>1641.19</v>
      </c>
    </row>
    <row r="2485" spans="1:5" ht="15" x14ac:dyDescent="0.2">
      <c r="A2485" s="1" t="s">
        <v>64</v>
      </c>
      <c r="B2485" t="s">
        <v>3</v>
      </c>
      <c r="C2485" t="s">
        <v>59</v>
      </c>
      <c r="D2485">
        <v>37559</v>
      </c>
      <c r="E2485" s="2">
        <v>26120349.239999998</v>
      </c>
    </row>
    <row r="2486" spans="1:5" ht="15" x14ac:dyDescent="0.2">
      <c r="A2486" s="1" t="s">
        <v>95</v>
      </c>
      <c r="B2486" t="s">
        <v>38</v>
      </c>
      <c r="C2486" t="s">
        <v>59</v>
      </c>
      <c r="D2486">
        <v>37559</v>
      </c>
      <c r="E2486" s="2">
        <v>4453.3900000000003</v>
      </c>
    </row>
    <row r="2487" spans="1:5" ht="15" x14ac:dyDescent="0.2">
      <c r="A2487" s="1" t="s">
        <v>83</v>
      </c>
      <c r="B2487" t="s">
        <v>23</v>
      </c>
      <c r="C2487" t="s">
        <v>59</v>
      </c>
      <c r="D2487">
        <v>37559</v>
      </c>
      <c r="E2487" s="2">
        <v>15049906.76</v>
      </c>
    </row>
    <row r="2488" spans="1:5" ht="15" x14ac:dyDescent="0.2">
      <c r="A2488" s="1" t="s">
        <v>80</v>
      </c>
      <c r="B2488" t="s">
        <v>22</v>
      </c>
      <c r="C2488" t="s">
        <v>59</v>
      </c>
      <c r="D2488">
        <v>37559</v>
      </c>
      <c r="E2488" s="2">
        <v>25586864.510000002</v>
      </c>
    </row>
    <row r="2489" spans="1:5" ht="15" x14ac:dyDescent="0.2">
      <c r="A2489" s="1" t="s">
        <v>78</v>
      </c>
      <c r="B2489" t="s">
        <v>20</v>
      </c>
      <c r="C2489" t="s">
        <v>59</v>
      </c>
      <c r="D2489">
        <v>37559</v>
      </c>
      <c r="E2489" s="2">
        <v>3958074.09</v>
      </c>
    </row>
    <row r="2490" spans="1:5" ht="15" x14ac:dyDescent="0.2">
      <c r="A2490" s="1" t="s">
        <v>88</v>
      </c>
      <c r="B2490" t="s">
        <v>27</v>
      </c>
      <c r="C2490" t="s">
        <v>59</v>
      </c>
      <c r="D2490">
        <v>37559</v>
      </c>
      <c r="E2490" s="2">
        <v>41502702.119999997</v>
      </c>
    </row>
    <row r="2491" spans="1:5" ht="15" x14ac:dyDescent="0.2">
      <c r="A2491" s="1" t="s">
        <v>73</v>
      </c>
      <c r="B2491" t="s">
        <v>17</v>
      </c>
      <c r="C2491" t="s">
        <v>59</v>
      </c>
      <c r="D2491">
        <v>37559</v>
      </c>
      <c r="E2491" s="2">
        <v>5378939.1200000001</v>
      </c>
    </row>
    <row r="2492" spans="1:5" ht="15" x14ac:dyDescent="0.2">
      <c r="A2492" s="1" t="s">
        <v>66</v>
      </c>
      <c r="B2492" t="s">
        <v>47</v>
      </c>
      <c r="C2492" t="s">
        <v>59</v>
      </c>
      <c r="D2492">
        <v>38653</v>
      </c>
      <c r="E2492" s="2">
        <v>4030458.16</v>
      </c>
    </row>
    <row r="2493" spans="1:5" ht="15" x14ac:dyDescent="0.2">
      <c r="A2493" s="1" t="s">
        <v>94</v>
      </c>
      <c r="B2493" t="s">
        <v>33</v>
      </c>
      <c r="C2493" t="s">
        <v>59</v>
      </c>
      <c r="D2493">
        <v>38653</v>
      </c>
      <c r="E2493" s="2">
        <v>312507365.05000001</v>
      </c>
    </row>
    <row r="2494" spans="1:5" ht="15" x14ac:dyDescent="0.2">
      <c r="A2494" s="1" t="s">
        <v>95</v>
      </c>
      <c r="B2494" t="s">
        <v>38</v>
      </c>
      <c r="C2494" t="s">
        <v>59</v>
      </c>
      <c r="D2494">
        <v>38653</v>
      </c>
      <c r="E2494" s="2">
        <v>662450153.88999999</v>
      </c>
    </row>
    <row r="2495" spans="1:5" ht="15" x14ac:dyDescent="0.2">
      <c r="A2495" s="1" t="s">
        <v>65</v>
      </c>
      <c r="B2495" t="s">
        <v>4</v>
      </c>
      <c r="C2495" t="s">
        <v>59</v>
      </c>
      <c r="D2495">
        <v>38653</v>
      </c>
      <c r="E2495" s="2">
        <v>6141490.8899999997</v>
      </c>
    </row>
    <row r="2496" spans="1:5" ht="15" x14ac:dyDescent="0.2">
      <c r="A2496" s="1" t="s">
        <v>104</v>
      </c>
      <c r="B2496" t="s">
        <v>40</v>
      </c>
      <c r="C2496" t="s">
        <v>59</v>
      </c>
      <c r="D2496">
        <v>38653</v>
      </c>
      <c r="E2496" s="2">
        <v>29297709.559999999</v>
      </c>
    </row>
    <row r="2497" spans="1:5" ht="15" x14ac:dyDescent="0.2">
      <c r="A2497" s="1" t="s">
        <v>71</v>
      </c>
      <c r="B2497" t="s">
        <v>9</v>
      </c>
      <c r="C2497" t="s">
        <v>59</v>
      </c>
      <c r="D2497">
        <v>38653</v>
      </c>
      <c r="E2497" s="2">
        <v>96345872.25</v>
      </c>
    </row>
    <row r="2498" spans="1:5" ht="15" x14ac:dyDescent="0.2">
      <c r="A2498" s="1" t="s">
        <v>90</v>
      </c>
      <c r="B2498" t="s">
        <v>29</v>
      </c>
      <c r="C2498" t="s">
        <v>59</v>
      </c>
      <c r="D2498">
        <v>38696</v>
      </c>
      <c r="E2498" s="2">
        <v>16957259.66</v>
      </c>
    </row>
    <row r="2499" spans="1:5" ht="15" x14ac:dyDescent="0.2">
      <c r="A2499" s="1" t="s">
        <v>92</v>
      </c>
      <c r="B2499" t="s">
        <v>31</v>
      </c>
      <c r="C2499" t="s">
        <v>59</v>
      </c>
      <c r="D2499">
        <v>38696</v>
      </c>
      <c r="E2499" s="2">
        <v>4201.45</v>
      </c>
    </row>
    <row r="2500" spans="1:5" ht="15" x14ac:dyDescent="0.2">
      <c r="A2500" s="1" t="s">
        <v>75</v>
      </c>
      <c r="B2500" t="s">
        <v>12</v>
      </c>
      <c r="C2500" t="s">
        <v>59</v>
      </c>
      <c r="D2500">
        <v>38696</v>
      </c>
      <c r="E2500" s="2">
        <v>22390302.649999999</v>
      </c>
    </row>
    <row r="2501" spans="1:5" ht="15" x14ac:dyDescent="0.2">
      <c r="A2501" s="1" t="s">
        <v>97</v>
      </c>
      <c r="B2501" t="s">
        <v>42</v>
      </c>
      <c r="C2501" t="s">
        <v>59</v>
      </c>
      <c r="D2501">
        <v>38696</v>
      </c>
      <c r="E2501" s="2">
        <v>12008068.85</v>
      </c>
    </row>
    <row r="2502" spans="1:5" ht="15" x14ac:dyDescent="0.2">
      <c r="A2502" s="1" t="s">
        <v>102</v>
      </c>
      <c r="B2502" t="s">
        <v>36</v>
      </c>
      <c r="C2502" t="s">
        <v>59</v>
      </c>
      <c r="D2502">
        <v>38696</v>
      </c>
      <c r="E2502" s="2">
        <v>2227159.98</v>
      </c>
    </row>
    <row r="2503" spans="1:5" ht="15" x14ac:dyDescent="0.2">
      <c r="A2503" s="1" t="s">
        <v>73</v>
      </c>
      <c r="B2503" t="s">
        <v>17</v>
      </c>
      <c r="C2503" t="s">
        <v>59</v>
      </c>
      <c r="D2503">
        <v>38696</v>
      </c>
      <c r="E2503" s="2">
        <v>9365134.3800000008</v>
      </c>
    </row>
    <row r="2504" spans="1:5" ht="15" x14ac:dyDescent="0.2">
      <c r="A2504" s="1" t="s">
        <v>90</v>
      </c>
      <c r="B2504" t="s">
        <v>29</v>
      </c>
      <c r="C2504" t="s">
        <v>59</v>
      </c>
      <c r="D2504">
        <v>39706</v>
      </c>
      <c r="E2504" s="2">
        <v>52659252.079999998</v>
      </c>
    </row>
    <row r="2505" spans="1:5" ht="15" x14ac:dyDescent="0.2">
      <c r="A2505" s="1" t="s">
        <v>102</v>
      </c>
      <c r="B2505" t="s">
        <v>36</v>
      </c>
      <c r="C2505" t="s">
        <v>59</v>
      </c>
      <c r="D2505">
        <v>39706</v>
      </c>
      <c r="E2505" s="2">
        <v>5632756.7800000003</v>
      </c>
    </row>
    <row r="2506" spans="1:5" ht="15" x14ac:dyDescent="0.2">
      <c r="A2506" s="1" t="s">
        <v>90</v>
      </c>
      <c r="B2506" t="s">
        <v>29</v>
      </c>
      <c r="C2506" t="s">
        <v>59</v>
      </c>
      <c r="D2506">
        <v>41143</v>
      </c>
      <c r="E2506" s="2">
        <v>61806204.600000001</v>
      </c>
    </row>
    <row r="2507" spans="1:5" ht="15" x14ac:dyDescent="0.2">
      <c r="A2507" s="1" t="s">
        <v>94</v>
      </c>
      <c r="B2507" t="s">
        <v>33</v>
      </c>
      <c r="C2507" t="s">
        <v>59</v>
      </c>
      <c r="D2507">
        <v>41143</v>
      </c>
      <c r="E2507" s="2">
        <v>155017513.66</v>
      </c>
    </row>
    <row r="2508" spans="1:5" ht="15" x14ac:dyDescent="0.2">
      <c r="A2508" s="1" t="s">
        <v>64</v>
      </c>
      <c r="B2508" t="s">
        <v>3</v>
      </c>
      <c r="C2508" t="s">
        <v>59</v>
      </c>
      <c r="D2508">
        <v>41143</v>
      </c>
      <c r="E2508" s="2">
        <v>7582.44</v>
      </c>
    </row>
    <row r="2509" spans="1:5" ht="15" x14ac:dyDescent="0.2">
      <c r="A2509" s="1" t="s">
        <v>81</v>
      </c>
      <c r="B2509" t="s">
        <v>14</v>
      </c>
      <c r="C2509" t="s">
        <v>59</v>
      </c>
      <c r="D2509">
        <v>41143</v>
      </c>
      <c r="E2509" s="2">
        <v>27739125.989999998</v>
      </c>
    </row>
    <row r="2510" spans="1:5" ht="15" x14ac:dyDescent="0.2">
      <c r="A2510" s="1" t="s">
        <v>102</v>
      </c>
      <c r="B2510" t="s">
        <v>36</v>
      </c>
      <c r="C2510" t="s">
        <v>59</v>
      </c>
      <c r="D2510">
        <v>41143</v>
      </c>
      <c r="E2510" s="2">
        <v>2700693.88</v>
      </c>
    </row>
    <row r="2511" spans="1:5" ht="15" x14ac:dyDescent="0.2">
      <c r="A2511" s="1" t="s">
        <v>71</v>
      </c>
      <c r="B2511" t="s">
        <v>9</v>
      </c>
      <c r="C2511" t="s">
        <v>59</v>
      </c>
      <c r="D2511">
        <v>41143</v>
      </c>
      <c r="E2511" s="2">
        <v>15308.2</v>
      </c>
    </row>
    <row r="2512" spans="1:5" ht="15" x14ac:dyDescent="0.2">
      <c r="A2512" s="1" t="s">
        <v>80</v>
      </c>
      <c r="B2512" t="s">
        <v>22</v>
      </c>
      <c r="C2512" t="s">
        <v>59</v>
      </c>
      <c r="D2512">
        <v>43340</v>
      </c>
      <c r="E2512" s="2">
        <v>19937170.539999999</v>
      </c>
    </row>
    <row r="2513" spans="1:5" ht="15" x14ac:dyDescent="0.2">
      <c r="A2513" s="1" t="s">
        <v>99</v>
      </c>
      <c r="B2513" t="s">
        <v>35</v>
      </c>
      <c r="C2513" t="s">
        <v>59</v>
      </c>
      <c r="D2513">
        <v>43340</v>
      </c>
      <c r="E2513" s="2">
        <v>27094100.420000002</v>
      </c>
    </row>
    <row r="2514" spans="1:5" ht="15" x14ac:dyDescent="0.2">
      <c r="A2514" s="1" t="s">
        <v>100</v>
      </c>
      <c r="B2514" t="s">
        <v>43</v>
      </c>
      <c r="C2514" t="s">
        <v>59</v>
      </c>
      <c r="D2514">
        <v>43340</v>
      </c>
      <c r="E2514" s="2">
        <v>4830568.03</v>
      </c>
    </row>
    <row r="2515" spans="1:5" ht="15" x14ac:dyDescent="0.2">
      <c r="A2515" s="1" t="s">
        <v>88</v>
      </c>
      <c r="B2515" t="s">
        <v>27</v>
      </c>
      <c r="C2515" t="s">
        <v>59</v>
      </c>
      <c r="D2515">
        <v>43340</v>
      </c>
      <c r="E2515" s="2">
        <v>41895220.75</v>
      </c>
    </row>
    <row r="2516" spans="1:5" ht="15" x14ac:dyDescent="0.2">
      <c r="A2516" s="1" t="s">
        <v>75</v>
      </c>
      <c r="B2516" t="s">
        <v>19</v>
      </c>
      <c r="C2516" t="s">
        <v>59</v>
      </c>
      <c r="D2516">
        <v>43340</v>
      </c>
      <c r="E2516" s="2">
        <v>26136069.25</v>
      </c>
    </row>
    <row r="2517" spans="1:5" ht="15" x14ac:dyDescent="0.2">
      <c r="A2517" s="1" t="s">
        <v>71</v>
      </c>
      <c r="B2517" t="s">
        <v>9</v>
      </c>
      <c r="C2517" t="s">
        <v>59</v>
      </c>
      <c r="D2517">
        <v>43340</v>
      </c>
      <c r="E2517" s="2">
        <v>1428.87</v>
      </c>
    </row>
    <row r="2518" spans="1:5" ht="15" x14ac:dyDescent="0.2">
      <c r="A2518" s="1" t="s">
        <v>66</v>
      </c>
      <c r="B2518" t="s">
        <v>47</v>
      </c>
      <c r="C2518" t="s">
        <v>59</v>
      </c>
      <c r="D2518">
        <v>45792</v>
      </c>
      <c r="E2518" s="2">
        <v>2507486.31</v>
      </c>
    </row>
    <row r="2519" spans="1:5" ht="15" x14ac:dyDescent="0.2">
      <c r="A2519" s="1" t="s">
        <v>95</v>
      </c>
      <c r="B2519" t="s">
        <v>38</v>
      </c>
      <c r="C2519" t="s">
        <v>59</v>
      </c>
      <c r="D2519">
        <v>45792</v>
      </c>
      <c r="E2519" s="2">
        <v>618274192</v>
      </c>
    </row>
    <row r="2520" spans="1:5" ht="15" x14ac:dyDescent="0.2">
      <c r="A2520" s="1" t="s">
        <v>74</v>
      </c>
      <c r="B2520" t="s">
        <v>11</v>
      </c>
      <c r="C2520" t="s">
        <v>59</v>
      </c>
      <c r="D2520">
        <v>45792</v>
      </c>
      <c r="E2520" s="2">
        <v>296.95999999999998</v>
      </c>
    </row>
    <row r="2521" spans="1:5" ht="15" x14ac:dyDescent="0.2">
      <c r="A2521" s="1" t="s">
        <v>98</v>
      </c>
      <c r="B2521" t="s">
        <v>34</v>
      </c>
      <c r="C2521" t="s">
        <v>59</v>
      </c>
      <c r="D2521">
        <v>45792</v>
      </c>
      <c r="E2521" s="2">
        <v>176291109.40000001</v>
      </c>
    </row>
    <row r="2522" spans="1:5" ht="15" x14ac:dyDescent="0.2">
      <c r="A2522" s="1" t="s">
        <v>78</v>
      </c>
      <c r="B2522" t="s">
        <v>20</v>
      </c>
      <c r="C2522" t="s">
        <v>59</v>
      </c>
      <c r="D2522">
        <v>46187</v>
      </c>
      <c r="E2522" s="2">
        <v>1741323.35</v>
      </c>
    </row>
    <row r="2523" spans="1:5" ht="15" x14ac:dyDescent="0.2">
      <c r="A2523" s="1" t="s">
        <v>105</v>
      </c>
      <c r="B2523" t="s">
        <v>41</v>
      </c>
      <c r="C2523" t="s">
        <v>59</v>
      </c>
      <c r="D2523">
        <v>46187</v>
      </c>
      <c r="E2523" s="2">
        <v>13487504.939999999</v>
      </c>
    </row>
    <row r="2524" spans="1:5" ht="15" x14ac:dyDescent="0.2">
      <c r="A2524" s="1" t="s">
        <v>92</v>
      </c>
      <c r="B2524" t="s">
        <v>31</v>
      </c>
      <c r="C2524" t="s">
        <v>59</v>
      </c>
      <c r="D2524">
        <v>47729</v>
      </c>
      <c r="E2524" s="2">
        <v>109635352.20999999</v>
      </c>
    </row>
    <row r="2525" spans="1:5" ht="15" x14ac:dyDescent="0.2">
      <c r="A2525" s="1" t="s">
        <v>100</v>
      </c>
      <c r="B2525" t="s">
        <v>43</v>
      </c>
      <c r="C2525" t="s">
        <v>59</v>
      </c>
      <c r="D2525">
        <v>47729</v>
      </c>
      <c r="E2525" s="2">
        <v>12238144.859999999</v>
      </c>
    </row>
    <row r="2526" spans="1:5" ht="15" x14ac:dyDescent="0.2">
      <c r="A2526" s="1" t="s">
        <v>78</v>
      </c>
      <c r="B2526" t="s">
        <v>20</v>
      </c>
      <c r="C2526" t="s">
        <v>59</v>
      </c>
      <c r="D2526">
        <v>47729</v>
      </c>
      <c r="E2526" s="2">
        <v>2303311.38</v>
      </c>
    </row>
    <row r="2527" spans="1:5" ht="15" x14ac:dyDescent="0.2">
      <c r="A2527" s="1" t="s">
        <v>105</v>
      </c>
      <c r="B2527" t="s">
        <v>41</v>
      </c>
      <c r="C2527" t="s">
        <v>59</v>
      </c>
      <c r="D2527">
        <v>47729</v>
      </c>
      <c r="E2527" s="2">
        <v>12636641.439999999</v>
      </c>
    </row>
    <row r="2528" spans="1:5" ht="15" x14ac:dyDescent="0.2">
      <c r="A2528" s="1" t="s">
        <v>85</v>
      </c>
      <c r="B2528" t="s">
        <v>24</v>
      </c>
      <c r="C2528" t="s">
        <v>59</v>
      </c>
      <c r="D2528">
        <v>48636</v>
      </c>
      <c r="E2528" s="2">
        <v>42530498.140000001</v>
      </c>
    </row>
    <row r="2529" spans="1:5" ht="15" x14ac:dyDescent="0.2">
      <c r="A2529" s="1" t="s">
        <v>77</v>
      </c>
      <c r="B2529" t="s">
        <v>18</v>
      </c>
      <c r="C2529" t="s">
        <v>59</v>
      </c>
      <c r="D2529">
        <v>48636</v>
      </c>
      <c r="E2529" s="2">
        <v>42051392.969999999</v>
      </c>
    </row>
    <row r="2530" spans="1:5" ht="15" x14ac:dyDescent="0.2">
      <c r="A2530" s="1" t="s">
        <v>70</v>
      </c>
      <c r="B2530" t="s">
        <v>8</v>
      </c>
      <c r="C2530" t="s">
        <v>59</v>
      </c>
      <c r="D2530">
        <v>48636</v>
      </c>
      <c r="E2530" s="2">
        <v>171734862.87</v>
      </c>
    </row>
    <row r="2531" spans="1:5" ht="15" x14ac:dyDescent="0.2">
      <c r="A2531" s="1" t="s">
        <v>76</v>
      </c>
      <c r="B2531" t="s">
        <v>13</v>
      </c>
      <c r="C2531" t="s">
        <v>59</v>
      </c>
      <c r="D2531">
        <v>50240</v>
      </c>
      <c r="E2531" s="2">
        <v>48081024.240000002</v>
      </c>
    </row>
    <row r="2532" spans="1:5" ht="15" x14ac:dyDescent="0.2">
      <c r="A2532" s="1" t="s">
        <v>73</v>
      </c>
      <c r="B2532" t="s">
        <v>17</v>
      </c>
      <c r="C2532" t="s">
        <v>59</v>
      </c>
      <c r="D2532">
        <v>50240</v>
      </c>
      <c r="E2532" s="2">
        <v>6581.86</v>
      </c>
    </row>
    <row r="2533" spans="1:5" ht="15" x14ac:dyDescent="0.2">
      <c r="A2533" s="1" t="s">
        <v>89</v>
      </c>
      <c r="B2533" t="s">
        <v>28</v>
      </c>
      <c r="C2533" t="s">
        <v>59</v>
      </c>
      <c r="D2533">
        <v>51457</v>
      </c>
      <c r="E2533" s="2">
        <v>20052527.890000001</v>
      </c>
    </row>
    <row r="2534" spans="1:5" ht="15" x14ac:dyDescent="0.2">
      <c r="A2534" s="1" t="s">
        <v>64</v>
      </c>
      <c r="B2534" t="s">
        <v>3</v>
      </c>
      <c r="C2534" t="s">
        <v>59</v>
      </c>
      <c r="D2534">
        <v>51457</v>
      </c>
      <c r="E2534" s="2">
        <v>28361830.760000002</v>
      </c>
    </row>
    <row r="2535" spans="1:5" ht="15" x14ac:dyDescent="0.2">
      <c r="A2535" s="1" t="s">
        <v>69</v>
      </c>
      <c r="B2535" t="s">
        <v>7</v>
      </c>
      <c r="C2535" t="s">
        <v>59</v>
      </c>
      <c r="D2535">
        <v>51457</v>
      </c>
      <c r="E2535" s="2">
        <v>24037.73</v>
      </c>
    </row>
    <row r="2536" spans="1:5" ht="15" x14ac:dyDescent="0.2">
      <c r="A2536" s="1" t="s">
        <v>66</v>
      </c>
      <c r="B2536" t="s">
        <v>47</v>
      </c>
      <c r="C2536" t="s">
        <v>59</v>
      </c>
      <c r="D2536">
        <v>56869</v>
      </c>
      <c r="E2536" s="2">
        <v>8276490.1799999997</v>
      </c>
    </row>
    <row r="2537" spans="1:5" ht="15" x14ac:dyDescent="0.2">
      <c r="A2537" s="1" t="s">
        <v>86</v>
      </c>
      <c r="B2537" t="s">
        <v>25</v>
      </c>
      <c r="C2537" t="s">
        <v>59</v>
      </c>
      <c r="D2537">
        <v>56869</v>
      </c>
      <c r="E2537" s="2">
        <v>12759204.640000001</v>
      </c>
    </row>
    <row r="2538" spans="1:5" ht="15" x14ac:dyDescent="0.2">
      <c r="A2538" s="1" t="s">
        <v>95</v>
      </c>
      <c r="B2538" t="s">
        <v>38</v>
      </c>
      <c r="C2538" t="s">
        <v>59</v>
      </c>
      <c r="D2538">
        <v>56869</v>
      </c>
      <c r="E2538" s="2">
        <v>453887008.92000002</v>
      </c>
    </row>
    <row r="2539" spans="1:5" ht="15" x14ac:dyDescent="0.2">
      <c r="A2539" s="1" t="s">
        <v>76</v>
      </c>
      <c r="B2539" t="s">
        <v>13</v>
      </c>
      <c r="C2539" t="s">
        <v>59</v>
      </c>
      <c r="D2539">
        <v>56869</v>
      </c>
      <c r="E2539" s="2">
        <v>16365472.119999999</v>
      </c>
    </row>
    <row r="2540" spans="1:5" ht="15" x14ac:dyDescent="0.2">
      <c r="A2540" s="1" t="s">
        <v>97</v>
      </c>
      <c r="B2540" t="s">
        <v>42</v>
      </c>
      <c r="C2540" t="s">
        <v>59</v>
      </c>
      <c r="D2540">
        <v>56869</v>
      </c>
      <c r="E2540" s="2">
        <v>14052967.35</v>
      </c>
    </row>
    <row r="2541" spans="1:5" ht="15" x14ac:dyDescent="0.2">
      <c r="A2541" s="1" t="s">
        <v>71</v>
      </c>
      <c r="B2541" t="s">
        <v>9</v>
      </c>
      <c r="C2541" t="s">
        <v>59</v>
      </c>
      <c r="D2541">
        <v>56869</v>
      </c>
      <c r="E2541" s="2">
        <v>78528155.75</v>
      </c>
    </row>
    <row r="2542" spans="1:5" ht="15" x14ac:dyDescent="0.2">
      <c r="A2542" s="1" t="s">
        <v>86</v>
      </c>
      <c r="B2542" t="s">
        <v>25</v>
      </c>
      <c r="C2542" t="s">
        <v>59</v>
      </c>
      <c r="D2542">
        <v>59314</v>
      </c>
      <c r="E2542" s="2">
        <v>23523868.379999999</v>
      </c>
    </row>
    <row r="2543" spans="1:5" ht="15" x14ac:dyDescent="0.2">
      <c r="A2543" s="1" t="s">
        <v>87</v>
      </c>
      <c r="B2543" t="s">
        <v>26</v>
      </c>
      <c r="C2543" t="s">
        <v>59</v>
      </c>
      <c r="D2543">
        <v>59314</v>
      </c>
      <c r="E2543" s="2">
        <v>296.08</v>
      </c>
    </row>
    <row r="2544" spans="1:5" ht="15" x14ac:dyDescent="0.2">
      <c r="A2544" s="1" t="s">
        <v>73</v>
      </c>
      <c r="B2544" t="s">
        <v>17</v>
      </c>
      <c r="C2544" t="s">
        <v>59</v>
      </c>
      <c r="D2544">
        <v>59314</v>
      </c>
      <c r="E2544" s="2">
        <v>8484.2800000000007</v>
      </c>
    </row>
    <row r="2545" spans="1:5" ht="15" x14ac:dyDescent="0.2">
      <c r="A2545" s="1" t="s">
        <v>71</v>
      </c>
      <c r="B2545" t="s">
        <v>9</v>
      </c>
      <c r="C2545" t="s">
        <v>59</v>
      </c>
      <c r="D2545">
        <v>59314</v>
      </c>
      <c r="E2545" s="2">
        <v>74731171.180000007</v>
      </c>
    </row>
    <row r="2546" spans="1:5" ht="15" x14ac:dyDescent="0.2">
      <c r="A2546" s="1" t="s">
        <v>89</v>
      </c>
      <c r="B2546" t="s">
        <v>28</v>
      </c>
      <c r="C2546" t="s">
        <v>59</v>
      </c>
      <c r="D2546">
        <v>63403</v>
      </c>
      <c r="E2546" s="2">
        <v>25256.23</v>
      </c>
    </row>
    <row r="2547" spans="1:5" ht="15" x14ac:dyDescent="0.2">
      <c r="A2547" s="1" t="s">
        <v>85</v>
      </c>
      <c r="B2547" t="s">
        <v>24</v>
      </c>
      <c r="C2547" t="s">
        <v>59</v>
      </c>
      <c r="D2547">
        <v>63403</v>
      </c>
      <c r="E2547" s="2">
        <v>60800301.329999998</v>
      </c>
    </row>
    <row r="2548" spans="1:5" ht="15" x14ac:dyDescent="0.2">
      <c r="A2548" s="1" t="s">
        <v>68</v>
      </c>
      <c r="B2548" t="s">
        <v>6</v>
      </c>
      <c r="C2548" t="s">
        <v>59</v>
      </c>
      <c r="D2548">
        <v>63403</v>
      </c>
      <c r="E2548" s="2">
        <v>18005475.190000001</v>
      </c>
    </row>
    <row r="2549" spans="1:5" ht="15" x14ac:dyDescent="0.2">
      <c r="A2549" s="1" t="s">
        <v>77</v>
      </c>
      <c r="B2549" t="s">
        <v>18</v>
      </c>
      <c r="C2549" t="s">
        <v>59</v>
      </c>
      <c r="D2549">
        <v>63403</v>
      </c>
      <c r="E2549" s="2">
        <v>39072239.740000002</v>
      </c>
    </row>
    <row r="2550" spans="1:5" ht="15" x14ac:dyDescent="0.2">
      <c r="A2550" s="1" t="s">
        <v>81</v>
      </c>
      <c r="B2550" t="s">
        <v>14</v>
      </c>
      <c r="C2550" t="s">
        <v>59</v>
      </c>
      <c r="D2550">
        <v>63403</v>
      </c>
      <c r="E2550" s="2">
        <v>23231802.129999999</v>
      </c>
    </row>
    <row r="2551" spans="1:5" ht="15" x14ac:dyDescent="0.2">
      <c r="A2551" s="1" t="s">
        <v>87</v>
      </c>
      <c r="B2551" t="s">
        <v>26</v>
      </c>
      <c r="C2551" t="s">
        <v>59</v>
      </c>
      <c r="D2551">
        <v>63403</v>
      </c>
      <c r="E2551" s="2">
        <v>85866140.319999993</v>
      </c>
    </row>
    <row r="2552" spans="1:5" ht="15" x14ac:dyDescent="0.2">
      <c r="A2552" s="1" t="s">
        <v>73</v>
      </c>
      <c r="B2552" t="s">
        <v>17</v>
      </c>
      <c r="C2552" t="s">
        <v>59</v>
      </c>
      <c r="D2552">
        <v>63403</v>
      </c>
      <c r="E2552" s="2">
        <v>8757288.7899999991</v>
      </c>
    </row>
    <row r="2553" spans="1:5" ht="15" x14ac:dyDescent="0.2">
      <c r="A2553" s="1" t="s">
        <v>86</v>
      </c>
      <c r="B2553" t="s">
        <v>25</v>
      </c>
      <c r="C2553" t="s">
        <v>59</v>
      </c>
      <c r="D2553">
        <v>65050</v>
      </c>
      <c r="E2553" s="2">
        <v>16556883.99</v>
      </c>
    </row>
    <row r="2554" spans="1:5" ht="15" x14ac:dyDescent="0.2">
      <c r="A2554" s="1" t="s">
        <v>79</v>
      </c>
      <c r="B2554" t="s">
        <v>21</v>
      </c>
      <c r="C2554" t="s">
        <v>59</v>
      </c>
      <c r="D2554">
        <v>65050</v>
      </c>
      <c r="E2554" s="2">
        <v>28236684.91</v>
      </c>
    </row>
    <row r="2555" spans="1:5" ht="15" x14ac:dyDescent="0.2">
      <c r="A2555" s="1" t="s">
        <v>84</v>
      </c>
      <c r="B2555" t="s">
        <v>16</v>
      </c>
      <c r="C2555" t="s">
        <v>59</v>
      </c>
      <c r="D2555">
        <v>65050</v>
      </c>
      <c r="E2555" s="2">
        <v>1122.68</v>
      </c>
    </row>
    <row r="2556" spans="1:5" ht="15" x14ac:dyDescent="0.2">
      <c r="A2556" s="1" t="s">
        <v>95</v>
      </c>
      <c r="B2556" t="s">
        <v>38</v>
      </c>
      <c r="C2556" t="s">
        <v>59</v>
      </c>
      <c r="D2556">
        <v>65050</v>
      </c>
      <c r="E2556" s="2">
        <v>302851249.05000001</v>
      </c>
    </row>
    <row r="2557" spans="1:5" ht="15" x14ac:dyDescent="0.2">
      <c r="A2557" s="1" t="s">
        <v>100</v>
      </c>
      <c r="B2557" t="s">
        <v>43</v>
      </c>
      <c r="C2557" t="s">
        <v>59</v>
      </c>
      <c r="D2557">
        <v>65050</v>
      </c>
      <c r="E2557" s="2">
        <v>10195712.300000001</v>
      </c>
    </row>
    <row r="2558" spans="1:5" ht="15" x14ac:dyDescent="0.2">
      <c r="A2558" s="1" t="s">
        <v>81</v>
      </c>
      <c r="B2558" t="s">
        <v>14</v>
      </c>
      <c r="C2558" t="s">
        <v>59</v>
      </c>
      <c r="D2558">
        <v>65050</v>
      </c>
      <c r="E2558" s="2">
        <v>30633591.91</v>
      </c>
    </row>
    <row r="2559" spans="1:5" ht="15" x14ac:dyDescent="0.2">
      <c r="A2559" s="1" t="s">
        <v>78</v>
      </c>
      <c r="B2559" t="s">
        <v>20</v>
      </c>
      <c r="C2559" t="s">
        <v>59</v>
      </c>
      <c r="D2559">
        <v>65050</v>
      </c>
      <c r="E2559" s="2">
        <v>3146133.95</v>
      </c>
    </row>
    <row r="2560" spans="1:5" ht="15" x14ac:dyDescent="0.2">
      <c r="A2560" s="1" t="s">
        <v>88</v>
      </c>
      <c r="B2560" t="s">
        <v>27</v>
      </c>
      <c r="C2560" t="s">
        <v>59</v>
      </c>
      <c r="D2560">
        <v>65050</v>
      </c>
      <c r="E2560" s="2">
        <v>7821.26</v>
      </c>
    </row>
    <row r="2561" spans="1:5" ht="15" x14ac:dyDescent="0.2">
      <c r="A2561" s="1" t="s">
        <v>86</v>
      </c>
      <c r="B2561" t="s">
        <v>25</v>
      </c>
      <c r="C2561" t="s">
        <v>59</v>
      </c>
      <c r="D2561">
        <v>67412</v>
      </c>
      <c r="E2561" s="2">
        <v>31072075.039999999</v>
      </c>
    </row>
    <row r="2562" spans="1:5" ht="15" x14ac:dyDescent="0.2">
      <c r="A2562" s="1" t="s">
        <v>79</v>
      </c>
      <c r="B2562" t="s">
        <v>21</v>
      </c>
      <c r="C2562" t="s">
        <v>59</v>
      </c>
      <c r="D2562">
        <v>67412</v>
      </c>
      <c r="E2562" s="2">
        <v>16649279.140000001</v>
      </c>
    </row>
    <row r="2563" spans="1:5" ht="15" x14ac:dyDescent="0.2">
      <c r="A2563" s="1" t="s">
        <v>64</v>
      </c>
      <c r="B2563" t="s">
        <v>3</v>
      </c>
      <c r="C2563" t="s">
        <v>59</v>
      </c>
      <c r="D2563">
        <v>67412</v>
      </c>
      <c r="E2563" s="2">
        <v>49761951.409999996</v>
      </c>
    </row>
    <row r="2564" spans="1:5" ht="15" x14ac:dyDescent="0.2">
      <c r="A2564" s="1" t="s">
        <v>100</v>
      </c>
      <c r="B2564" t="s">
        <v>43</v>
      </c>
      <c r="C2564" t="s">
        <v>59</v>
      </c>
      <c r="D2564">
        <v>67412</v>
      </c>
      <c r="E2564" s="2">
        <v>19218040.670000002</v>
      </c>
    </row>
    <row r="2565" spans="1:5" ht="15" x14ac:dyDescent="0.2">
      <c r="A2565" s="1" t="s">
        <v>69</v>
      </c>
      <c r="B2565" t="s">
        <v>7</v>
      </c>
      <c r="C2565" t="s">
        <v>59</v>
      </c>
      <c r="D2565">
        <v>67412</v>
      </c>
      <c r="E2565" s="2">
        <v>156101610.09999999</v>
      </c>
    </row>
    <row r="2566" spans="1:5" ht="15" x14ac:dyDescent="0.2">
      <c r="A2566" s="1" t="s">
        <v>86</v>
      </c>
      <c r="B2566" t="s">
        <v>25</v>
      </c>
      <c r="C2566" t="s">
        <v>59</v>
      </c>
      <c r="D2566">
        <v>67561</v>
      </c>
      <c r="E2566" s="2">
        <v>8313.67</v>
      </c>
    </row>
    <row r="2567" spans="1:5" ht="15" x14ac:dyDescent="0.2">
      <c r="A2567" s="1" t="s">
        <v>94</v>
      </c>
      <c r="B2567" t="s">
        <v>33</v>
      </c>
      <c r="C2567" t="s">
        <v>59</v>
      </c>
      <c r="D2567">
        <v>67561</v>
      </c>
      <c r="E2567" s="2">
        <v>78017572.120000005</v>
      </c>
    </row>
    <row r="2568" spans="1:5" ht="15" x14ac:dyDescent="0.2">
      <c r="A2568" s="1" t="s">
        <v>100</v>
      </c>
      <c r="B2568" t="s">
        <v>43</v>
      </c>
      <c r="C2568" t="s">
        <v>59</v>
      </c>
      <c r="D2568">
        <v>67561</v>
      </c>
      <c r="E2568" s="2">
        <v>13761438.59</v>
      </c>
    </row>
    <row r="2569" spans="1:5" ht="15" x14ac:dyDescent="0.2">
      <c r="A2569" s="1" t="s">
        <v>87</v>
      </c>
      <c r="B2569" t="s">
        <v>26</v>
      </c>
      <c r="C2569" t="s">
        <v>59</v>
      </c>
      <c r="D2569">
        <v>67561</v>
      </c>
      <c r="E2569" s="2">
        <v>24914.09</v>
      </c>
    </row>
    <row r="2570" spans="1:5" ht="15" x14ac:dyDescent="0.2">
      <c r="A2570" s="1" t="s">
        <v>70</v>
      </c>
      <c r="B2570" t="s">
        <v>8</v>
      </c>
      <c r="C2570" t="s">
        <v>59</v>
      </c>
      <c r="D2570">
        <v>67561</v>
      </c>
      <c r="E2570" s="2">
        <v>364058660.44</v>
      </c>
    </row>
    <row r="2571" spans="1:5" ht="15" x14ac:dyDescent="0.2">
      <c r="A2571" s="1" t="s">
        <v>79</v>
      </c>
      <c r="B2571" t="s">
        <v>21</v>
      </c>
      <c r="C2571" t="s">
        <v>59</v>
      </c>
      <c r="D2571">
        <v>70173</v>
      </c>
      <c r="E2571" s="2">
        <v>42762273.039999999</v>
      </c>
    </row>
    <row r="2572" spans="1:5" ht="15" x14ac:dyDescent="0.2">
      <c r="A2572" s="1" t="s">
        <v>93</v>
      </c>
      <c r="B2572" t="s">
        <v>32</v>
      </c>
      <c r="C2572" t="s">
        <v>59</v>
      </c>
      <c r="D2572">
        <v>70173</v>
      </c>
      <c r="E2572" s="2">
        <v>401222949.60000002</v>
      </c>
    </row>
    <row r="2573" spans="1:5" ht="15" x14ac:dyDescent="0.2">
      <c r="A2573" s="1" t="s">
        <v>74</v>
      </c>
      <c r="B2573" t="s">
        <v>11</v>
      </c>
      <c r="C2573" t="s">
        <v>59</v>
      </c>
      <c r="D2573">
        <v>70173</v>
      </c>
      <c r="E2573" s="2">
        <v>8637465.2599999998</v>
      </c>
    </row>
    <row r="2574" spans="1:5" ht="15" x14ac:dyDescent="0.2">
      <c r="A2574" s="1" t="s">
        <v>77</v>
      </c>
      <c r="B2574" t="s">
        <v>18</v>
      </c>
      <c r="C2574" t="s">
        <v>59</v>
      </c>
      <c r="D2574">
        <v>70173</v>
      </c>
      <c r="E2574" s="2">
        <v>32918300.91</v>
      </c>
    </row>
    <row r="2575" spans="1:5" ht="15" x14ac:dyDescent="0.2">
      <c r="A2575" s="1" t="s">
        <v>105</v>
      </c>
      <c r="B2575" t="s">
        <v>41</v>
      </c>
      <c r="C2575" t="s">
        <v>59</v>
      </c>
      <c r="D2575">
        <v>70173</v>
      </c>
      <c r="E2575" s="2">
        <v>14826864.939999999</v>
      </c>
    </row>
    <row r="2576" spans="1:5" ht="15" x14ac:dyDescent="0.2">
      <c r="A2576" s="1" t="s">
        <v>92</v>
      </c>
      <c r="B2576" t="s">
        <v>31</v>
      </c>
      <c r="C2576" t="s">
        <v>59</v>
      </c>
      <c r="D2576">
        <v>73889</v>
      </c>
      <c r="E2576" s="2">
        <v>2980.63</v>
      </c>
    </row>
    <row r="2577" spans="1:5" ht="15" x14ac:dyDescent="0.2">
      <c r="A2577" s="1" t="s">
        <v>85</v>
      </c>
      <c r="B2577" t="s">
        <v>24</v>
      </c>
      <c r="C2577" t="s">
        <v>59</v>
      </c>
      <c r="D2577">
        <v>73889</v>
      </c>
      <c r="E2577" s="2">
        <v>135150133.38</v>
      </c>
    </row>
    <row r="2578" spans="1:5" ht="15" x14ac:dyDescent="0.2">
      <c r="A2578" s="1" t="s">
        <v>72</v>
      </c>
      <c r="B2578" t="s">
        <v>10</v>
      </c>
      <c r="C2578" t="s">
        <v>59</v>
      </c>
      <c r="D2578">
        <v>73889</v>
      </c>
      <c r="E2578" s="2">
        <v>83488024.530000001</v>
      </c>
    </row>
    <row r="2579" spans="1:5" ht="15" x14ac:dyDescent="0.2">
      <c r="A2579" s="1" t="s">
        <v>102</v>
      </c>
      <c r="B2579" t="s">
        <v>36</v>
      </c>
      <c r="C2579" t="s">
        <v>59</v>
      </c>
      <c r="D2579">
        <v>73889</v>
      </c>
      <c r="E2579" s="2">
        <v>4276951.32</v>
      </c>
    </row>
    <row r="2580" spans="1:5" ht="15" x14ac:dyDescent="0.2">
      <c r="A2580" s="1" t="s">
        <v>83</v>
      </c>
      <c r="B2580" t="s">
        <v>23</v>
      </c>
      <c r="C2580" t="s">
        <v>59</v>
      </c>
      <c r="D2580">
        <v>76523</v>
      </c>
      <c r="E2580" s="2">
        <v>21882582.27</v>
      </c>
    </row>
    <row r="2581" spans="1:5" ht="15" x14ac:dyDescent="0.2">
      <c r="A2581" s="1" t="s">
        <v>78</v>
      </c>
      <c r="B2581" t="s">
        <v>20</v>
      </c>
      <c r="C2581" t="s">
        <v>59</v>
      </c>
      <c r="D2581">
        <v>76523</v>
      </c>
      <c r="E2581" s="2">
        <v>4064687.06</v>
      </c>
    </row>
    <row r="2582" spans="1:5" ht="15" x14ac:dyDescent="0.2">
      <c r="A2582" s="1" t="s">
        <v>102</v>
      </c>
      <c r="B2582" t="s">
        <v>36</v>
      </c>
      <c r="C2582" t="s">
        <v>59</v>
      </c>
      <c r="D2582">
        <v>76523</v>
      </c>
      <c r="E2582" s="2">
        <v>3249831.58</v>
      </c>
    </row>
    <row r="2583" spans="1:5" ht="15" x14ac:dyDescent="0.2">
      <c r="A2583" s="1" t="s">
        <v>66</v>
      </c>
      <c r="B2583" t="s">
        <v>47</v>
      </c>
      <c r="C2583" t="s">
        <v>59</v>
      </c>
      <c r="D2583">
        <v>77825</v>
      </c>
      <c r="E2583" s="2">
        <v>7698211.0999999996</v>
      </c>
    </row>
    <row r="2584" spans="1:5" ht="15" x14ac:dyDescent="0.2">
      <c r="A2584" s="1" t="s">
        <v>98</v>
      </c>
      <c r="B2584" t="s">
        <v>34</v>
      </c>
      <c r="C2584" t="s">
        <v>59</v>
      </c>
      <c r="D2584">
        <v>77825</v>
      </c>
      <c r="E2584" s="2">
        <v>171790479.40000001</v>
      </c>
    </row>
    <row r="2585" spans="1:5" ht="15" x14ac:dyDescent="0.2">
      <c r="A2585" s="1" t="s">
        <v>77</v>
      </c>
      <c r="B2585" t="s">
        <v>18</v>
      </c>
      <c r="C2585" t="s">
        <v>59</v>
      </c>
      <c r="D2585">
        <v>77825</v>
      </c>
      <c r="E2585" s="2">
        <v>10923521.869999999</v>
      </c>
    </row>
    <row r="2586" spans="1:5" ht="15" x14ac:dyDescent="0.2">
      <c r="A2586" s="1" t="s">
        <v>72</v>
      </c>
      <c r="B2586" t="s">
        <v>10</v>
      </c>
      <c r="C2586" t="s">
        <v>59</v>
      </c>
      <c r="D2586">
        <v>78221</v>
      </c>
      <c r="E2586" s="2">
        <v>48526961.82</v>
      </c>
    </row>
    <row r="2587" spans="1:5" ht="15" x14ac:dyDescent="0.2">
      <c r="A2587" s="1" t="s">
        <v>97</v>
      </c>
      <c r="B2587" t="s">
        <v>42</v>
      </c>
      <c r="C2587" t="s">
        <v>59</v>
      </c>
      <c r="D2587">
        <v>78221</v>
      </c>
      <c r="E2587" s="2">
        <v>5295.51</v>
      </c>
    </row>
    <row r="2588" spans="1:5" ht="15" x14ac:dyDescent="0.2">
      <c r="A2588" s="1" t="s">
        <v>99</v>
      </c>
      <c r="B2588" t="s">
        <v>35</v>
      </c>
      <c r="C2588" t="s">
        <v>59</v>
      </c>
      <c r="D2588">
        <v>78221</v>
      </c>
      <c r="E2588" s="2">
        <v>33582699.68</v>
      </c>
    </row>
    <row r="2589" spans="1:5" ht="15" x14ac:dyDescent="0.2">
      <c r="A2589" s="1" t="s">
        <v>68</v>
      </c>
      <c r="B2589" t="s">
        <v>6</v>
      </c>
      <c r="C2589" t="s">
        <v>59</v>
      </c>
      <c r="D2589">
        <v>78221</v>
      </c>
      <c r="E2589" s="2">
        <v>1116.8699999999999</v>
      </c>
    </row>
    <row r="2590" spans="1:5" ht="15" x14ac:dyDescent="0.2">
      <c r="A2590" s="1" t="s">
        <v>101</v>
      </c>
      <c r="B2590" t="s">
        <v>39</v>
      </c>
      <c r="C2590" t="s">
        <v>59</v>
      </c>
      <c r="D2590">
        <v>78221</v>
      </c>
      <c r="E2590" s="2">
        <v>32902275.829999998</v>
      </c>
    </row>
    <row r="2591" spans="1:5" ht="15" x14ac:dyDescent="0.2">
      <c r="A2591" s="1" t="s">
        <v>105</v>
      </c>
      <c r="B2591" t="s">
        <v>41</v>
      </c>
      <c r="C2591" t="s">
        <v>59</v>
      </c>
      <c r="D2591">
        <v>78221</v>
      </c>
      <c r="E2591" s="2">
        <v>7079095.4199999999</v>
      </c>
    </row>
    <row r="2592" spans="1:5" ht="15" x14ac:dyDescent="0.2">
      <c r="A2592" s="1" t="s">
        <v>71</v>
      </c>
      <c r="B2592" t="s">
        <v>9</v>
      </c>
      <c r="C2592" t="s">
        <v>59</v>
      </c>
      <c r="D2592">
        <v>78221</v>
      </c>
      <c r="E2592" s="2">
        <v>67247489.75</v>
      </c>
    </row>
    <row r="2593" spans="1:5" ht="15" x14ac:dyDescent="0.2">
      <c r="A2593" s="1" t="s">
        <v>66</v>
      </c>
      <c r="B2593" t="s">
        <v>47</v>
      </c>
      <c r="C2593" t="s">
        <v>59</v>
      </c>
      <c r="D2593">
        <v>78601</v>
      </c>
      <c r="E2593" s="2">
        <v>40434140.350000001</v>
      </c>
    </row>
    <row r="2594" spans="1:5" ht="15" x14ac:dyDescent="0.2">
      <c r="A2594" s="1" t="s">
        <v>89</v>
      </c>
      <c r="B2594" t="s">
        <v>28</v>
      </c>
      <c r="C2594" t="s">
        <v>59</v>
      </c>
      <c r="D2594">
        <v>78601</v>
      </c>
      <c r="E2594" s="2">
        <v>13180426.34</v>
      </c>
    </row>
    <row r="2595" spans="1:5" ht="15" x14ac:dyDescent="0.2">
      <c r="A2595" s="1" t="s">
        <v>84</v>
      </c>
      <c r="B2595" t="s">
        <v>16</v>
      </c>
      <c r="C2595" t="s">
        <v>59</v>
      </c>
      <c r="D2595">
        <v>78601</v>
      </c>
      <c r="E2595" s="2">
        <v>877.34</v>
      </c>
    </row>
    <row r="2596" spans="1:5" ht="15" x14ac:dyDescent="0.2">
      <c r="A2596" s="1" t="s">
        <v>95</v>
      </c>
      <c r="B2596" t="s">
        <v>38</v>
      </c>
      <c r="C2596" t="s">
        <v>59</v>
      </c>
      <c r="D2596">
        <v>78601</v>
      </c>
      <c r="E2596" s="2">
        <v>170537426.47</v>
      </c>
    </row>
    <row r="2597" spans="1:5" ht="15" x14ac:dyDescent="0.2">
      <c r="A2597" s="1" t="s">
        <v>81</v>
      </c>
      <c r="B2597" t="s">
        <v>14</v>
      </c>
      <c r="C2597" t="s">
        <v>59</v>
      </c>
      <c r="D2597">
        <v>78601</v>
      </c>
      <c r="E2597" s="2">
        <v>35335640.93</v>
      </c>
    </row>
    <row r="2598" spans="1:5" ht="15" x14ac:dyDescent="0.2">
      <c r="A2598" s="1" t="s">
        <v>93</v>
      </c>
      <c r="B2598" t="s">
        <v>32</v>
      </c>
      <c r="C2598" t="s">
        <v>59</v>
      </c>
      <c r="D2598">
        <v>86095</v>
      </c>
      <c r="E2598" s="2">
        <v>363705623.94</v>
      </c>
    </row>
    <row r="2599" spans="1:5" ht="15" x14ac:dyDescent="0.2">
      <c r="A2599" s="1" t="s">
        <v>80</v>
      </c>
      <c r="B2599" t="s">
        <v>22</v>
      </c>
      <c r="C2599" t="s">
        <v>59</v>
      </c>
      <c r="D2599">
        <v>86095</v>
      </c>
      <c r="E2599" s="2">
        <v>10237533.789999999</v>
      </c>
    </row>
    <row r="2600" spans="1:5" ht="15" x14ac:dyDescent="0.2">
      <c r="A2600" s="1" t="s">
        <v>96</v>
      </c>
      <c r="B2600" t="s">
        <v>44</v>
      </c>
      <c r="C2600" t="s">
        <v>59</v>
      </c>
      <c r="D2600">
        <v>86095</v>
      </c>
      <c r="E2600" s="2">
        <v>38094045.509999998</v>
      </c>
    </row>
    <row r="2601" spans="1:5" ht="15" x14ac:dyDescent="0.2">
      <c r="A2601" s="1" t="s">
        <v>78</v>
      </c>
      <c r="B2601" t="s">
        <v>20</v>
      </c>
      <c r="C2601" t="s">
        <v>59</v>
      </c>
      <c r="D2601">
        <v>86095</v>
      </c>
      <c r="E2601" s="2">
        <v>3228852.19</v>
      </c>
    </row>
    <row r="2602" spans="1:5" ht="15" x14ac:dyDescent="0.2">
      <c r="A2602" s="1" t="s">
        <v>73</v>
      </c>
      <c r="B2602" t="s">
        <v>17</v>
      </c>
      <c r="C2602" t="s">
        <v>59</v>
      </c>
      <c r="D2602">
        <v>86095</v>
      </c>
      <c r="E2602" s="2">
        <v>8187159.2999999998</v>
      </c>
    </row>
    <row r="2603" spans="1:5" ht="15" x14ac:dyDescent="0.2">
      <c r="A2603" s="1" t="s">
        <v>66</v>
      </c>
      <c r="B2603" t="s">
        <v>47</v>
      </c>
      <c r="C2603" t="s">
        <v>59</v>
      </c>
      <c r="D2603">
        <v>86385</v>
      </c>
      <c r="E2603" s="2">
        <v>11472</v>
      </c>
    </row>
    <row r="2604" spans="1:5" ht="15" x14ac:dyDescent="0.2">
      <c r="A2604" s="1" t="s">
        <v>86</v>
      </c>
      <c r="B2604" t="s">
        <v>25</v>
      </c>
      <c r="C2604" t="s">
        <v>59</v>
      </c>
      <c r="D2604">
        <v>86385</v>
      </c>
      <c r="E2604" s="2">
        <v>31933243.329999998</v>
      </c>
    </row>
    <row r="2605" spans="1:5" ht="15" x14ac:dyDescent="0.2">
      <c r="A2605" s="1" t="s">
        <v>64</v>
      </c>
      <c r="B2605" t="s">
        <v>3</v>
      </c>
      <c r="C2605" t="s">
        <v>59</v>
      </c>
      <c r="D2605">
        <v>86385</v>
      </c>
      <c r="E2605" s="2">
        <v>68215967.700000003</v>
      </c>
    </row>
    <row r="2606" spans="1:5" ht="15" x14ac:dyDescent="0.2">
      <c r="A2606" s="1" t="s">
        <v>101</v>
      </c>
      <c r="B2606" t="s">
        <v>39</v>
      </c>
      <c r="C2606" t="s">
        <v>59</v>
      </c>
      <c r="D2606">
        <v>86385</v>
      </c>
      <c r="E2606" s="2">
        <v>28733490.559999999</v>
      </c>
    </row>
    <row r="2607" spans="1:5" ht="15" x14ac:dyDescent="0.2">
      <c r="A2607" s="1" t="s">
        <v>90</v>
      </c>
      <c r="B2607" t="s">
        <v>29</v>
      </c>
      <c r="C2607" t="s">
        <v>59</v>
      </c>
      <c r="D2607">
        <v>89472</v>
      </c>
      <c r="E2607" s="2">
        <v>46560908.93</v>
      </c>
    </row>
    <row r="2608" spans="1:5" ht="15" x14ac:dyDescent="0.2">
      <c r="A2608" s="1" t="s">
        <v>92</v>
      </c>
      <c r="B2608" t="s">
        <v>31</v>
      </c>
      <c r="C2608" t="s">
        <v>59</v>
      </c>
      <c r="D2608">
        <v>89472</v>
      </c>
      <c r="E2608" s="2">
        <v>71399865.230000004</v>
      </c>
    </row>
    <row r="2609" spans="1:5" ht="15" x14ac:dyDescent="0.2">
      <c r="A2609" s="1" t="s">
        <v>97</v>
      </c>
      <c r="B2609" t="s">
        <v>42</v>
      </c>
      <c r="C2609" t="s">
        <v>59</v>
      </c>
      <c r="D2609">
        <v>89472</v>
      </c>
      <c r="E2609" s="2">
        <v>9336144.4700000007</v>
      </c>
    </row>
    <row r="2610" spans="1:5" ht="15" x14ac:dyDescent="0.2">
      <c r="A2610" s="1" t="s">
        <v>99</v>
      </c>
      <c r="B2610" t="s">
        <v>35</v>
      </c>
      <c r="C2610" t="s">
        <v>59</v>
      </c>
      <c r="D2610">
        <v>89472</v>
      </c>
      <c r="E2610" s="2">
        <v>23773423.739999998</v>
      </c>
    </row>
    <row r="2611" spans="1:5" ht="15" x14ac:dyDescent="0.2">
      <c r="A2611" s="1" t="s">
        <v>77</v>
      </c>
      <c r="B2611" t="s">
        <v>18</v>
      </c>
      <c r="C2611" t="s">
        <v>59</v>
      </c>
      <c r="D2611">
        <v>89472</v>
      </c>
      <c r="E2611" s="2">
        <v>425.06</v>
      </c>
    </row>
    <row r="2612" spans="1:5" ht="15" x14ac:dyDescent="0.2">
      <c r="A2612" s="1" t="s">
        <v>75</v>
      </c>
      <c r="B2612" t="s">
        <v>19</v>
      </c>
      <c r="C2612" t="s">
        <v>59</v>
      </c>
      <c r="D2612">
        <v>89472</v>
      </c>
      <c r="E2612" s="2">
        <v>7179035.75</v>
      </c>
    </row>
    <row r="2613" spans="1:5" ht="15" x14ac:dyDescent="0.2">
      <c r="A2613" s="1" t="s">
        <v>90</v>
      </c>
      <c r="B2613" t="s">
        <v>29</v>
      </c>
      <c r="C2613" t="s">
        <v>59</v>
      </c>
      <c r="D2613">
        <v>89486</v>
      </c>
      <c r="E2613" s="2">
        <v>24567399.600000001</v>
      </c>
    </row>
    <row r="2614" spans="1:5" ht="15" x14ac:dyDescent="0.2">
      <c r="A2614" s="1" t="s">
        <v>84</v>
      </c>
      <c r="B2614" t="s">
        <v>16</v>
      </c>
      <c r="C2614" t="s">
        <v>59</v>
      </c>
      <c r="D2614">
        <v>89486</v>
      </c>
      <c r="E2614" s="2">
        <v>21401609.5</v>
      </c>
    </row>
    <row r="2615" spans="1:5" ht="15" x14ac:dyDescent="0.2">
      <c r="A2615" s="1" t="s">
        <v>66</v>
      </c>
      <c r="B2615" t="s">
        <v>47</v>
      </c>
      <c r="C2615" t="s">
        <v>60</v>
      </c>
      <c r="D2615">
        <v>13175</v>
      </c>
      <c r="E2615" s="2">
        <v>14278167.609999999</v>
      </c>
    </row>
    <row r="2616" spans="1:5" ht="15" x14ac:dyDescent="0.2">
      <c r="A2616" s="1" t="s">
        <v>86</v>
      </c>
      <c r="B2616" t="s">
        <v>25</v>
      </c>
      <c r="C2616" t="s">
        <v>60</v>
      </c>
      <c r="D2616">
        <v>13175</v>
      </c>
      <c r="E2616" s="2">
        <v>14141511.439999999</v>
      </c>
    </row>
    <row r="2617" spans="1:5" ht="15" x14ac:dyDescent="0.2">
      <c r="A2617" s="1" t="s">
        <v>81</v>
      </c>
      <c r="B2617" t="s">
        <v>14</v>
      </c>
      <c r="C2617" t="s">
        <v>60</v>
      </c>
      <c r="D2617">
        <v>13175</v>
      </c>
      <c r="E2617" s="2">
        <v>7012339.8300000001</v>
      </c>
    </row>
    <row r="2618" spans="1:5" ht="15" x14ac:dyDescent="0.2">
      <c r="A2618" s="1" t="s">
        <v>75</v>
      </c>
      <c r="B2618" t="s">
        <v>19</v>
      </c>
      <c r="C2618" t="s">
        <v>60</v>
      </c>
      <c r="D2618">
        <v>13175</v>
      </c>
      <c r="E2618" s="2">
        <v>22655154.420000002</v>
      </c>
    </row>
    <row r="2619" spans="1:5" ht="15" x14ac:dyDescent="0.2">
      <c r="A2619" s="1" t="s">
        <v>65</v>
      </c>
      <c r="B2619" t="s">
        <v>4</v>
      </c>
      <c r="C2619" t="s">
        <v>60</v>
      </c>
      <c r="D2619">
        <v>13175</v>
      </c>
      <c r="E2619" s="2">
        <v>1439026.92</v>
      </c>
    </row>
    <row r="2620" spans="1:5" ht="15" x14ac:dyDescent="0.2">
      <c r="A2620" s="1" t="s">
        <v>89</v>
      </c>
      <c r="B2620" t="s">
        <v>28</v>
      </c>
      <c r="C2620" t="s">
        <v>60</v>
      </c>
      <c r="D2620">
        <v>15285</v>
      </c>
      <c r="E2620" s="2">
        <v>20381028.170000002</v>
      </c>
    </row>
    <row r="2621" spans="1:5" ht="15" x14ac:dyDescent="0.2">
      <c r="A2621" s="1" t="s">
        <v>90</v>
      </c>
      <c r="B2621" t="s">
        <v>29</v>
      </c>
      <c r="C2621" t="s">
        <v>60</v>
      </c>
      <c r="D2621">
        <v>15285</v>
      </c>
      <c r="E2621" s="2">
        <v>22860579.109999999</v>
      </c>
    </row>
    <row r="2622" spans="1:5" ht="15" x14ac:dyDescent="0.2">
      <c r="A2622" s="1" t="s">
        <v>92</v>
      </c>
      <c r="B2622" t="s">
        <v>31</v>
      </c>
      <c r="C2622" t="s">
        <v>60</v>
      </c>
      <c r="D2622">
        <v>15285</v>
      </c>
      <c r="E2622" s="2">
        <v>28093113.280000001</v>
      </c>
    </row>
    <row r="2623" spans="1:5" ht="15" x14ac:dyDescent="0.2">
      <c r="A2623" s="1" t="s">
        <v>72</v>
      </c>
      <c r="B2623" t="s">
        <v>10</v>
      </c>
      <c r="C2623" t="s">
        <v>60</v>
      </c>
      <c r="D2623">
        <v>15285</v>
      </c>
      <c r="E2623" s="2">
        <v>12534893.67</v>
      </c>
    </row>
    <row r="2624" spans="1:5" ht="15" x14ac:dyDescent="0.2">
      <c r="A2624" s="1" t="s">
        <v>68</v>
      </c>
      <c r="B2624" t="s">
        <v>6</v>
      </c>
      <c r="C2624" t="s">
        <v>60</v>
      </c>
      <c r="D2624">
        <v>15285</v>
      </c>
      <c r="E2624" s="2">
        <v>20427753.140000001</v>
      </c>
    </row>
    <row r="2625" spans="1:5" ht="15" x14ac:dyDescent="0.2">
      <c r="A2625" s="1" t="s">
        <v>71</v>
      </c>
      <c r="B2625" t="s">
        <v>9</v>
      </c>
      <c r="C2625" t="s">
        <v>60</v>
      </c>
      <c r="D2625">
        <v>15285</v>
      </c>
      <c r="E2625" s="2">
        <v>39345245.670000002</v>
      </c>
    </row>
    <row r="2626" spans="1:5" ht="15" x14ac:dyDescent="0.2">
      <c r="A2626" s="1" t="s">
        <v>90</v>
      </c>
      <c r="B2626" t="s">
        <v>29</v>
      </c>
      <c r="C2626" t="s">
        <v>60</v>
      </c>
      <c r="D2626">
        <v>15595</v>
      </c>
      <c r="E2626" s="2">
        <v>19573101.710000001</v>
      </c>
    </row>
    <row r="2627" spans="1:5" ht="15" x14ac:dyDescent="0.2">
      <c r="A2627" s="1" t="s">
        <v>92</v>
      </c>
      <c r="B2627" t="s">
        <v>31</v>
      </c>
      <c r="C2627" t="s">
        <v>60</v>
      </c>
      <c r="D2627">
        <v>15595</v>
      </c>
      <c r="E2627" s="2">
        <v>78712821.870000005</v>
      </c>
    </row>
    <row r="2628" spans="1:5" ht="15" x14ac:dyDescent="0.2">
      <c r="A2628" s="1" t="s">
        <v>103</v>
      </c>
      <c r="B2628" t="s">
        <v>37</v>
      </c>
      <c r="C2628" t="s">
        <v>60</v>
      </c>
      <c r="D2628">
        <v>15595</v>
      </c>
      <c r="E2628" s="2">
        <v>9373.6200000000008</v>
      </c>
    </row>
    <row r="2629" spans="1:5" ht="15" x14ac:dyDescent="0.2">
      <c r="A2629" s="1" t="s">
        <v>75</v>
      </c>
      <c r="B2629" t="s">
        <v>19</v>
      </c>
      <c r="C2629" t="s">
        <v>60</v>
      </c>
      <c r="D2629">
        <v>15595</v>
      </c>
      <c r="E2629" s="2">
        <v>14382822.710000001</v>
      </c>
    </row>
    <row r="2630" spans="1:5" ht="15" x14ac:dyDescent="0.2">
      <c r="A2630" s="1" t="s">
        <v>67</v>
      </c>
      <c r="B2630" t="s">
        <v>5</v>
      </c>
      <c r="C2630" t="s">
        <v>60</v>
      </c>
      <c r="D2630">
        <v>17019</v>
      </c>
      <c r="E2630" s="2">
        <v>-2840548.47</v>
      </c>
    </row>
    <row r="2631" spans="1:5" ht="15" x14ac:dyDescent="0.2">
      <c r="A2631" s="1" t="s">
        <v>89</v>
      </c>
      <c r="B2631" t="s">
        <v>28</v>
      </c>
      <c r="C2631" t="s">
        <v>60</v>
      </c>
      <c r="D2631">
        <v>17019</v>
      </c>
      <c r="E2631" s="2">
        <v>17874271.73</v>
      </c>
    </row>
    <row r="2632" spans="1:5" ht="15" x14ac:dyDescent="0.2">
      <c r="A2632" s="1" t="s">
        <v>90</v>
      </c>
      <c r="B2632" t="s">
        <v>29</v>
      </c>
      <c r="C2632" t="s">
        <v>60</v>
      </c>
      <c r="D2632">
        <v>17019</v>
      </c>
      <c r="E2632" s="2">
        <v>24414224.420000002</v>
      </c>
    </row>
    <row r="2633" spans="1:5" ht="15" x14ac:dyDescent="0.2">
      <c r="A2633" s="1" t="s">
        <v>92</v>
      </c>
      <c r="B2633" t="s">
        <v>31</v>
      </c>
      <c r="C2633" t="s">
        <v>60</v>
      </c>
      <c r="D2633">
        <v>17019</v>
      </c>
      <c r="E2633" s="2">
        <v>59185074.799999997</v>
      </c>
    </row>
    <row r="2634" spans="1:5" ht="15" x14ac:dyDescent="0.2">
      <c r="A2634" s="1" t="s">
        <v>96</v>
      </c>
      <c r="B2634" t="s">
        <v>44</v>
      </c>
      <c r="C2634" t="s">
        <v>60</v>
      </c>
      <c r="D2634">
        <v>17019</v>
      </c>
      <c r="E2634" s="2">
        <v>17554389.350000001</v>
      </c>
    </row>
    <row r="2635" spans="1:5" ht="15" x14ac:dyDescent="0.2">
      <c r="A2635" s="1" t="s">
        <v>68</v>
      </c>
      <c r="B2635" t="s">
        <v>6</v>
      </c>
      <c r="C2635" t="s">
        <v>60</v>
      </c>
      <c r="D2635">
        <v>17019</v>
      </c>
      <c r="E2635" s="2">
        <v>4403423.3600000003</v>
      </c>
    </row>
    <row r="2636" spans="1:5" ht="15" x14ac:dyDescent="0.2">
      <c r="A2636" s="1" t="s">
        <v>77</v>
      </c>
      <c r="B2636" t="s">
        <v>18</v>
      </c>
      <c r="C2636" t="s">
        <v>60</v>
      </c>
      <c r="D2636">
        <v>17019</v>
      </c>
      <c r="E2636" s="2">
        <v>21512879.260000002</v>
      </c>
    </row>
    <row r="2637" spans="1:5" ht="15" x14ac:dyDescent="0.2">
      <c r="A2637" s="1" t="s">
        <v>88</v>
      </c>
      <c r="B2637" t="s">
        <v>27</v>
      </c>
      <c r="C2637" t="s">
        <v>60</v>
      </c>
      <c r="D2637">
        <v>17019</v>
      </c>
      <c r="E2637" s="2">
        <v>10533555.93</v>
      </c>
    </row>
    <row r="2638" spans="1:5" ht="15" x14ac:dyDescent="0.2">
      <c r="A2638" s="1" t="s">
        <v>87</v>
      </c>
      <c r="B2638" t="s">
        <v>26</v>
      </c>
      <c r="C2638" t="s">
        <v>60</v>
      </c>
      <c r="D2638">
        <v>17019</v>
      </c>
      <c r="E2638" s="2">
        <v>48904817.469999999</v>
      </c>
    </row>
    <row r="2639" spans="1:5" ht="15" x14ac:dyDescent="0.2">
      <c r="A2639" s="1" t="s">
        <v>73</v>
      </c>
      <c r="B2639" t="s">
        <v>17</v>
      </c>
      <c r="C2639" t="s">
        <v>60</v>
      </c>
      <c r="D2639">
        <v>17019</v>
      </c>
      <c r="E2639" s="2">
        <v>16439100.220000001</v>
      </c>
    </row>
    <row r="2640" spans="1:5" ht="15" x14ac:dyDescent="0.2">
      <c r="A2640" s="1" t="s">
        <v>105</v>
      </c>
      <c r="B2640" t="s">
        <v>41</v>
      </c>
      <c r="C2640" t="s">
        <v>60</v>
      </c>
      <c r="D2640">
        <v>17019</v>
      </c>
      <c r="E2640" s="2">
        <v>8018000.0199999996</v>
      </c>
    </row>
    <row r="2641" spans="1:5" ht="15" x14ac:dyDescent="0.2">
      <c r="A2641" s="1" t="s">
        <v>67</v>
      </c>
      <c r="B2641" t="s">
        <v>5</v>
      </c>
      <c r="C2641" t="s">
        <v>60</v>
      </c>
      <c r="D2641">
        <v>17845</v>
      </c>
      <c r="E2641" s="2">
        <v>0.42</v>
      </c>
    </row>
    <row r="2642" spans="1:5" ht="15" x14ac:dyDescent="0.2">
      <c r="A2642" s="1" t="s">
        <v>94</v>
      </c>
      <c r="B2642" t="s">
        <v>33</v>
      </c>
      <c r="C2642" t="s">
        <v>60</v>
      </c>
      <c r="D2642">
        <v>17845</v>
      </c>
      <c r="E2642" s="2">
        <v>139404449.68000001</v>
      </c>
    </row>
    <row r="2643" spans="1:5" ht="15" x14ac:dyDescent="0.2">
      <c r="A2643" s="1" t="s">
        <v>85</v>
      </c>
      <c r="B2643" t="s">
        <v>24</v>
      </c>
      <c r="C2643" t="s">
        <v>60</v>
      </c>
      <c r="D2643">
        <v>17845</v>
      </c>
      <c r="E2643" s="2">
        <v>78861795.650000006</v>
      </c>
    </row>
    <row r="2644" spans="1:5" ht="15" x14ac:dyDescent="0.2">
      <c r="A2644" s="1" t="s">
        <v>76</v>
      </c>
      <c r="B2644" t="s">
        <v>13</v>
      </c>
      <c r="C2644" t="s">
        <v>60</v>
      </c>
      <c r="D2644">
        <v>17845</v>
      </c>
      <c r="E2644" s="2">
        <v>5908418.6200000001</v>
      </c>
    </row>
    <row r="2645" spans="1:5" ht="15" x14ac:dyDescent="0.2">
      <c r="A2645" s="1" t="s">
        <v>97</v>
      </c>
      <c r="B2645" t="s">
        <v>42</v>
      </c>
      <c r="C2645" t="s">
        <v>60</v>
      </c>
      <c r="D2645">
        <v>17845</v>
      </c>
      <c r="E2645" s="2">
        <v>4344111.0599999996</v>
      </c>
    </row>
    <row r="2646" spans="1:5" ht="15" x14ac:dyDescent="0.2">
      <c r="A2646" s="1" t="s">
        <v>68</v>
      </c>
      <c r="B2646" t="s">
        <v>6</v>
      </c>
      <c r="C2646" t="s">
        <v>60</v>
      </c>
      <c r="D2646">
        <v>17845</v>
      </c>
      <c r="E2646" s="2">
        <v>7561385.0199999996</v>
      </c>
    </row>
    <row r="2647" spans="1:5" ht="15" x14ac:dyDescent="0.2">
      <c r="A2647" s="1" t="s">
        <v>75</v>
      </c>
      <c r="B2647" t="s">
        <v>19</v>
      </c>
      <c r="C2647" t="s">
        <v>60</v>
      </c>
      <c r="D2647">
        <v>17845</v>
      </c>
      <c r="E2647" s="2">
        <v>3459998.73</v>
      </c>
    </row>
    <row r="2648" spans="1:5" ht="15" x14ac:dyDescent="0.2">
      <c r="A2648" s="1" t="s">
        <v>90</v>
      </c>
      <c r="B2648" t="s">
        <v>29</v>
      </c>
      <c r="C2648" t="s">
        <v>60</v>
      </c>
      <c r="D2648">
        <v>20294</v>
      </c>
      <c r="E2648" s="2">
        <v>56895442.240000002</v>
      </c>
    </row>
    <row r="2649" spans="1:5" ht="15" x14ac:dyDescent="0.2">
      <c r="A2649" s="1" t="s">
        <v>64</v>
      </c>
      <c r="B2649" t="s">
        <v>3</v>
      </c>
      <c r="C2649" t="s">
        <v>60</v>
      </c>
      <c r="D2649">
        <v>20294</v>
      </c>
      <c r="E2649" s="2">
        <v>27600945.41</v>
      </c>
    </row>
    <row r="2650" spans="1:5" ht="15" x14ac:dyDescent="0.2">
      <c r="A2650" s="1" t="s">
        <v>95</v>
      </c>
      <c r="B2650" t="s">
        <v>38</v>
      </c>
      <c r="C2650" t="s">
        <v>60</v>
      </c>
      <c r="D2650">
        <v>20294</v>
      </c>
      <c r="E2650" s="2">
        <v>4082</v>
      </c>
    </row>
    <row r="2651" spans="1:5" ht="15" x14ac:dyDescent="0.2">
      <c r="A2651" s="1" t="s">
        <v>96</v>
      </c>
      <c r="B2651" t="s">
        <v>44</v>
      </c>
      <c r="C2651" t="s">
        <v>60</v>
      </c>
      <c r="D2651">
        <v>20294</v>
      </c>
      <c r="E2651" s="2">
        <v>10047193.779999999</v>
      </c>
    </row>
    <row r="2652" spans="1:5" ht="15" x14ac:dyDescent="0.2">
      <c r="A2652" s="1" t="s">
        <v>78</v>
      </c>
      <c r="B2652" t="s">
        <v>20</v>
      </c>
      <c r="C2652" t="s">
        <v>60</v>
      </c>
      <c r="D2652">
        <v>20294</v>
      </c>
      <c r="E2652" s="2">
        <v>3266995.93</v>
      </c>
    </row>
    <row r="2653" spans="1:5" ht="15" x14ac:dyDescent="0.2">
      <c r="A2653" s="1" t="s">
        <v>103</v>
      </c>
      <c r="B2653" t="s">
        <v>37</v>
      </c>
      <c r="C2653" t="s">
        <v>60</v>
      </c>
      <c r="D2653">
        <v>20294</v>
      </c>
      <c r="E2653" s="2">
        <v>25094492.199999999</v>
      </c>
    </row>
    <row r="2654" spans="1:5" ht="15" x14ac:dyDescent="0.2">
      <c r="A2654" s="1" t="s">
        <v>71</v>
      </c>
      <c r="B2654" t="s">
        <v>9</v>
      </c>
      <c r="C2654" t="s">
        <v>60</v>
      </c>
      <c r="D2654">
        <v>20294</v>
      </c>
      <c r="E2654" s="2">
        <v>50114816.549999997</v>
      </c>
    </row>
    <row r="2655" spans="1:5" ht="15" x14ac:dyDescent="0.2">
      <c r="A2655" s="1" t="s">
        <v>67</v>
      </c>
      <c r="B2655" t="s">
        <v>5</v>
      </c>
      <c r="C2655" t="s">
        <v>60</v>
      </c>
      <c r="D2655">
        <v>21575</v>
      </c>
      <c r="E2655" s="2">
        <v>-6077938.4699999997</v>
      </c>
    </row>
    <row r="2656" spans="1:5" ht="15" x14ac:dyDescent="0.2">
      <c r="A2656" s="1" t="s">
        <v>84</v>
      </c>
      <c r="B2656" t="s">
        <v>16</v>
      </c>
      <c r="C2656" t="s">
        <v>60</v>
      </c>
      <c r="D2656">
        <v>21575</v>
      </c>
      <c r="E2656" s="2">
        <v>16396631.75</v>
      </c>
    </row>
    <row r="2657" spans="1:5" ht="15" x14ac:dyDescent="0.2">
      <c r="A2657" s="1" t="s">
        <v>80</v>
      </c>
      <c r="B2657" t="s">
        <v>22</v>
      </c>
      <c r="C2657" t="s">
        <v>60</v>
      </c>
      <c r="D2657">
        <v>21575</v>
      </c>
      <c r="E2657" s="2">
        <v>20527616.23</v>
      </c>
    </row>
    <row r="2658" spans="1:5" ht="15" x14ac:dyDescent="0.2">
      <c r="A2658" s="1" t="s">
        <v>100</v>
      </c>
      <c r="B2658" t="s">
        <v>43</v>
      </c>
      <c r="C2658" t="s">
        <v>60</v>
      </c>
      <c r="D2658">
        <v>21575</v>
      </c>
      <c r="E2658" s="2">
        <v>18485063.25</v>
      </c>
    </row>
    <row r="2659" spans="1:5" ht="15" x14ac:dyDescent="0.2">
      <c r="A2659" s="1" t="s">
        <v>86</v>
      </c>
      <c r="B2659" t="s">
        <v>25</v>
      </c>
      <c r="C2659" t="s">
        <v>60</v>
      </c>
      <c r="D2659">
        <v>21736</v>
      </c>
      <c r="E2659" s="2">
        <v>1254.19</v>
      </c>
    </row>
    <row r="2660" spans="1:5" ht="15" x14ac:dyDescent="0.2">
      <c r="A2660" s="1" t="s">
        <v>90</v>
      </c>
      <c r="B2660" t="s">
        <v>29</v>
      </c>
      <c r="C2660" t="s">
        <v>60</v>
      </c>
      <c r="D2660">
        <v>21736</v>
      </c>
      <c r="E2660" s="2">
        <v>261.77</v>
      </c>
    </row>
    <row r="2661" spans="1:5" ht="15" x14ac:dyDescent="0.2">
      <c r="A2661" s="1" t="s">
        <v>92</v>
      </c>
      <c r="B2661" t="s">
        <v>31</v>
      </c>
      <c r="C2661" t="s">
        <v>60</v>
      </c>
      <c r="D2661">
        <v>21736</v>
      </c>
      <c r="E2661" s="2">
        <v>34086763.549999997</v>
      </c>
    </row>
    <row r="2662" spans="1:5" ht="15" x14ac:dyDescent="0.2">
      <c r="A2662" s="1" t="s">
        <v>80</v>
      </c>
      <c r="B2662" t="s">
        <v>22</v>
      </c>
      <c r="C2662" t="s">
        <v>60</v>
      </c>
      <c r="D2662">
        <v>21736</v>
      </c>
      <c r="E2662" s="2">
        <v>9155901.6199999992</v>
      </c>
    </row>
    <row r="2663" spans="1:5" ht="15" x14ac:dyDescent="0.2">
      <c r="A2663" s="1" t="s">
        <v>88</v>
      </c>
      <c r="B2663" t="s">
        <v>27</v>
      </c>
      <c r="C2663" t="s">
        <v>60</v>
      </c>
      <c r="D2663">
        <v>21736</v>
      </c>
      <c r="E2663" s="2">
        <v>13663173.07</v>
      </c>
    </row>
    <row r="2664" spans="1:5" ht="15" x14ac:dyDescent="0.2">
      <c r="A2664" s="1" t="s">
        <v>103</v>
      </c>
      <c r="B2664" t="s">
        <v>37</v>
      </c>
      <c r="C2664" t="s">
        <v>60</v>
      </c>
      <c r="D2664">
        <v>21736</v>
      </c>
      <c r="E2664" s="2">
        <v>16029350.810000001</v>
      </c>
    </row>
    <row r="2665" spans="1:5" ht="15" x14ac:dyDescent="0.2">
      <c r="A2665" s="1" t="s">
        <v>73</v>
      </c>
      <c r="B2665" t="s">
        <v>17</v>
      </c>
      <c r="C2665" t="s">
        <v>60</v>
      </c>
      <c r="D2665">
        <v>21736</v>
      </c>
      <c r="E2665" s="2">
        <v>4631803.5599999996</v>
      </c>
    </row>
    <row r="2666" spans="1:5" ht="15" x14ac:dyDescent="0.2">
      <c r="A2666" s="1" t="s">
        <v>70</v>
      </c>
      <c r="B2666" t="s">
        <v>8</v>
      </c>
      <c r="C2666" t="s">
        <v>60</v>
      </c>
      <c r="D2666">
        <v>21736</v>
      </c>
      <c r="E2666" s="2">
        <v>35110471.880000003</v>
      </c>
    </row>
    <row r="2667" spans="1:5" ht="15" x14ac:dyDescent="0.2">
      <c r="A2667" s="1" t="s">
        <v>67</v>
      </c>
      <c r="B2667" t="s">
        <v>5</v>
      </c>
      <c r="C2667" t="s">
        <v>60</v>
      </c>
      <c r="D2667">
        <v>22559</v>
      </c>
      <c r="E2667" s="2">
        <v>-1513203.91</v>
      </c>
    </row>
    <row r="2668" spans="1:5" ht="15" x14ac:dyDescent="0.2">
      <c r="A2668" s="1" t="s">
        <v>86</v>
      </c>
      <c r="B2668" t="s">
        <v>25</v>
      </c>
      <c r="C2668" t="s">
        <v>60</v>
      </c>
      <c r="D2668">
        <v>22559</v>
      </c>
      <c r="E2668" s="2">
        <v>11105967.73</v>
      </c>
    </row>
    <row r="2669" spans="1:5" ht="15" x14ac:dyDescent="0.2">
      <c r="A2669" s="1" t="s">
        <v>89</v>
      </c>
      <c r="B2669" t="s">
        <v>28</v>
      </c>
      <c r="C2669" t="s">
        <v>60</v>
      </c>
      <c r="D2669">
        <v>22559</v>
      </c>
      <c r="E2669" s="2">
        <v>8180534.5999999996</v>
      </c>
    </row>
    <row r="2670" spans="1:5" ht="15" x14ac:dyDescent="0.2">
      <c r="A2670" s="1" t="s">
        <v>64</v>
      </c>
      <c r="B2670" t="s">
        <v>3</v>
      </c>
      <c r="C2670" t="s">
        <v>60</v>
      </c>
      <c r="D2670">
        <v>22559</v>
      </c>
      <c r="E2670" s="2">
        <v>28375211.109999999</v>
      </c>
    </row>
    <row r="2671" spans="1:5" ht="15" x14ac:dyDescent="0.2">
      <c r="A2671" s="1" t="s">
        <v>96</v>
      </c>
      <c r="B2671" t="s">
        <v>44</v>
      </c>
      <c r="C2671" t="s">
        <v>60</v>
      </c>
      <c r="D2671">
        <v>22559</v>
      </c>
      <c r="E2671" s="2">
        <v>7215798.46</v>
      </c>
    </row>
    <row r="2672" spans="1:5" ht="15" x14ac:dyDescent="0.2">
      <c r="A2672" s="1" t="s">
        <v>105</v>
      </c>
      <c r="B2672" t="s">
        <v>41</v>
      </c>
      <c r="C2672" t="s">
        <v>60</v>
      </c>
      <c r="D2672">
        <v>22559</v>
      </c>
      <c r="E2672" s="2">
        <v>23307223.199999999</v>
      </c>
    </row>
    <row r="2673" spans="1:5" ht="15" x14ac:dyDescent="0.2">
      <c r="A2673" s="1" t="s">
        <v>91</v>
      </c>
      <c r="B2673" t="s">
        <v>30</v>
      </c>
      <c r="C2673" t="s">
        <v>60</v>
      </c>
      <c r="D2673">
        <v>23259</v>
      </c>
      <c r="E2673" s="2">
        <v>348191630.41000003</v>
      </c>
    </row>
    <row r="2674" spans="1:5" ht="15" x14ac:dyDescent="0.2">
      <c r="A2674" s="1" t="s">
        <v>74</v>
      </c>
      <c r="B2674" t="s">
        <v>11</v>
      </c>
      <c r="C2674" t="s">
        <v>60</v>
      </c>
      <c r="D2674">
        <v>23259</v>
      </c>
      <c r="E2674" s="2">
        <v>2376787.61</v>
      </c>
    </row>
    <row r="2675" spans="1:5" ht="15" x14ac:dyDescent="0.2">
      <c r="A2675" s="1" t="s">
        <v>99</v>
      </c>
      <c r="B2675" t="s">
        <v>35</v>
      </c>
      <c r="C2675" t="s">
        <v>60</v>
      </c>
      <c r="D2675">
        <v>23259</v>
      </c>
      <c r="E2675" s="2">
        <v>98026348.540000007</v>
      </c>
    </row>
    <row r="2676" spans="1:5" ht="15" x14ac:dyDescent="0.2">
      <c r="A2676" s="1" t="s">
        <v>102</v>
      </c>
      <c r="B2676" t="s">
        <v>36</v>
      </c>
      <c r="C2676" t="s">
        <v>60</v>
      </c>
      <c r="D2676">
        <v>23259</v>
      </c>
      <c r="E2676" s="2">
        <v>17164396.289999999</v>
      </c>
    </row>
    <row r="2677" spans="1:5" ht="15" x14ac:dyDescent="0.2">
      <c r="A2677" s="1" t="s">
        <v>70</v>
      </c>
      <c r="B2677" t="s">
        <v>8</v>
      </c>
      <c r="C2677" t="s">
        <v>60</v>
      </c>
      <c r="D2677">
        <v>23259</v>
      </c>
      <c r="E2677" s="2">
        <v>89447360.969999999</v>
      </c>
    </row>
    <row r="2678" spans="1:5" ht="15" x14ac:dyDescent="0.2">
      <c r="A2678" s="1" t="s">
        <v>92</v>
      </c>
      <c r="B2678" t="s">
        <v>31</v>
      </c>
      <c r="C2678" t="s">
        <v>60</v>
      </c>
      <c r="D2678">
        <v>24014</v>
      </c>
      <c r="E2678" s="2">
        <v>498.27</v>
      </c>
    </row>
    <row r="2679" spans="1:5" ht="15" x14ac:dyDescent="0.2">
      <c r="A2679" s="1" t="s">
        <v>84</v>
      </c>
      <c r="B2679" t="s">
        <v>16</v>
      </c>
      <c r="C2679" t="s">
        <v>60</v>
      </c>
      <c r="D2679">
        <v>24014</v>
      </c>
      <c r="E2679" s="2">
        <v>19850730.16</v>
      </c>
    </row>
    <row r="2680" spans="1:5" ht="15" x14ac:dyDescent="0.2">
      <c r="A2680" s="1" t="s">
        <v>102</v>
      </c>
      <c r="B2680" t="s">
        <v>36</v>
      </c>
      <c r="C2680" t="s">
        <v>60</v>
      </c>
      <c r="D2680">
        <v>24014</v>
      </c>
      <c r="E2680" s="2">
        <v>1.59</v>
      </c>
    </row>
    <row r="2681" spans="1:5" ht="15" x14ac:dyDescent="0.2">
      <c r="A2681" s="1" t="s">
        <v>66</v>
      </c>
      <c r="B2681" t="s">
        <v>47</v>
      </c>
      <c r="C2681" t="s">
        <v>60</v>
      </c>
      <c r="D2681">
        <v>30776</v>
      </c>
      <c r="E2681" s="2">
        <v>19935946.390000001</v>
      </c>
    </row>
    <row r="2682" spans="1:5" ht="15" x14ac:dyDescent="0.2">
      <c r="A2682" s="1" t="s">
        <v>64</v>
      </c>
      <c r="B2682" t="s">
        <v>3</v>
      </c>
      <c r="C2682" t="s">
        <v>60</v>
      </c>
      <c r="D2682">
        <v>30776</v>
      </c>
      <c r="E2682" s="2">
        <v>24610043.07</v>
      </c>
    </row>
    <row r="2683" spans="1:5" ht="15" x14ac:dyDescent="0.2">
      <c r="A2683" s="1" t="s">
        <v>85</v>
      </c>
      <c r="B2683" t="s">
        <v>24</v>
      </c>
      <c r="C2683" t="s">
        <v>60</v>
      </c>
      <c r="D2683">
        <v>30776</v>
      </c>
      <c r="E2683" s="2">
        <v>48256187.18</v>
      </c>
    </row>
    <row r="2684" spans="1:5" ht="15" x14ac:dyDescent="0.2">
      <c r="A2684" s="1" t="s">
        <v>75</v>
      </c>
      <c r="B2684" t="s">
        <v>12</v>
      </c>
      <c r="C2684" t="s">
        <v>60</v>
      </c>
      <c r="D2684">
        <v>30776</v>
      </c>
      <c r="E2684" s="2">
        <v>10713849.77</v>
      </c>
    </row>
    <row r="2685" spans="1:5" ht="15" x14ac:dyDescent="0.2">
      <c r="A2685" s="1" t="s">
        <v>76</v>
      </c>
      <c r="B2685" t="s">
        <v>13</v>
      </c>
      <c r="C2685" t="s">
        <v>60</v>
      </c>
      <c r="D2685">
        <v>30776</v>
      </c>
      <c r="E2685" s="2">
        <v>4239997.07</v>
      </c>
    </row>
    <row r="2686" spans="1:5" ht="15" x14ac:dyDescent="0.2">
      <c r="A2686" s="1" t="s">
        <v>96</v>
      </c>
      <c r="B2686" t="s">
        <v>44</v>
      </c>
      <c r="C2686" t="s">
        <v>60</v>
      </c>
      <c r="D2686">
        <v>30776</v>
      </c>
      <c r="E2686" s="2">
        <v>7613911.9500000002</v>
      </c>
    </row>
    <row r="2687" spans="1:5" ht="15" x14ac:dyDescent="0.2">
      <c r="A2687" s="1" t="s">
        <v>77</v>
      </c>
      <c r="B2687" t="s">
        <v>18</v>
      </c>
      <c r="C2687" t="s">
        <v>60</v>
      </c>
      <c r="D2687">
        <v>30776</v>
      </c>
      <c r="E2687" s="2">
        <v>28272401.440000001</v>
      </c>
    </row>
    <row r="2688" spans="1:5" ht="15" x14ac:dyDescent="0.2">
      <c r="A2688" s="1" t="s">
        <v>81</v>
      </c>
      <c r="B2688" t="s">
        <v>14</v>
      </c>
      <c r="C2688" t="s">
        <v>60</v>
      </c>
      <c r="D2688">
        <v>30776</v>
      </c>
      <c r="E2688" s="2">
        <v>16148509.33</v>
      </c>
    </row>
    <row r="2689" spans="1:5" ht="15" x14ac:dyDescent="0.2">
      <c r="A2689" s="1" t="s">
        <v>78</v>
      </c>
      <c r="B2689" t="s">
        <v>20</v>
      </c>
      <c r="C2689" t="s">
        <v>60</v>
      </c>
      <c r="D2689">
        <v>30776</v>
      </c>
      <c r="E2689" s="2">
        <v>3965395.11</v>
      </c>
    </row>
    <row r="2690" spans="1:5" ht="15" x14ac:dyDescent="0.2">
      <c r="A2690" s="1" t="s">
        <v>87</v>
      </c>
      <c r="B2690" t="s">
        <v>26</v>
      </c>
      <c r="C2690" t="s">
        <v>60</v>
      </c>
      <c r="D2690">
        <v>30776</v>
      </c>
      <c r="E2690" s="2">
        <v>20207056.579999998</v>
      </c>
    </row>
    <row r="2691" spans="1:5" ht="15" x14ac:dyDescent="0.2">
      <c r="A2691" s="1" t="s">
        <v>65</v>
      </c>
      <c r="B2691" t="s">
        <v>4</v>
      </c>
      <c r="C2691" t="s">
        <v>60</v>
      </c>
      <c r="D2691">
        <v>30776</v>
      </c>
      <c r="E2691" s="2">
        <v>2005083.98</v>
      </c>
    </row>
    <row r="2692" spans="1:5" ht="15" x14ac:dyDescent="0.2">
      <c r="A2692" s="1" t="s">
        <v>86</v>
      </c>
      <c r="B2692" t="s">
        <v>25</v>
      </c>
      <c r="C2692" t="s">
        <v>60</v>
      </c>
      <c r="D2692">
        <v>32784</v>
      </c>
      <c r="E2692" s="2">
        <v>24117367.050000001</v>
      </c>
    </row>
    <row r="2693" spans="1:5" ht="15" x14ac:dyDescent="0.2">
      <c r="A2693" s="1" t="s">
        <v>92</v>
      </c>
      <c r="B2693" t="s">
        <v>31</v>
      </c>
      <c r="C2693" t="s">
        <v>60</v>
      </c>
      <c r="D2693">
        <v>32784</v>
      </c>
      <c r="E2693" s="2">
        <v>32439479.039999999</v>
      </c>
    </row>
    <row r="2694" spans="1:5" ht="15" x14ac:dyDescent="0.2">
      <c r="A2694" s="1" t="s">
        <v>85</v>
      </c>
      <c r="B2694" t="s">
        <v>24</v>
      </c>
      <c r="C2694" t="s">
        <v>60</v>
      </c>
      <c r="D2694">
        <v>32784</v>
      </c>
      <c r="E2694" s="2">
        <v>117922172.55</v>
      </c>
    </row>
    <row r="2695" spans="1:5" ht="15" x14ac:dyDescent="0.2">
      <c r="A2695" s="1" t="s">
        <v>83</v>
      </c>
      <c r="B2695" t="s">
        <v>23</v>
      </c>
      <c r="C2695" t="s">
        <v>60</v>
      </c>
      <c r="D2695">
        <v>32784</v>
      </c>
      <c r="E2695" s="2">
        <v>40795254.729999997</v>
      </c>
    </row>
    <row r="2696" spans="1:5" ht="15" x14ac:dyDescent="0.2">
      <c r="A2696" s="1" t="s">
        <v>96</v>
      </c>
      <c r="B2696" t="s">
        <v>44</v>
      </c>
      <c r="C2696" t="s">
        <v>60</v>
      </c>
      <c r="D2696">
        <v>32784</v>
      </c>
      <c r="E2696" s="2">
        <v>2065315.06</v>
      </c>
    </row>
    <row r="2697" spans="1:5" ht="15" x14ac:dyDescent="0.2">
      <c r="A2697" s="1" t="s">
        <v>97</v>
      </c>
      <c r="B2697" t="s">
        <v>42</v>
      </c>
      <c r="C2697" t="s">
        <v>60</v>
      </c>
      <c r="D2697">
        <v>32784</v>
      </c>
      <c r="E2697" s="2">
        <v>5169327.0199999996</v>
      </c>
    </row>
    <row r="2698" spans="1:5" ht="15" x14ac:dyDescent="0.2">
      <c r="A2698" s="1" t="s">
        <v>98</v>
      </c>
      <c r="B2698" t="s">
        <v>34</v>
      </c>
      <c r="C2698" t="s">
        <v>60</v>
      </c>
      <c r="D2698">
        <v>32784</v>
      </c>
      <c r="E2698" s="2">
        <v>76943296.739999995</v>
      </c>
    </row>
    <row r="2699" spans="1:5" ht="15" x14ac:dyDescent="0.2">
      <c r="A2699" s="1" t="s">
        <v>71</v>
      </c>
      <c r="B2699" t="s">
        <v>9</v>
      </c>
      <c r="C2699" t="s">
        <v>60</v>
      </c>
      <c r="D2699">
        <v>32784</v>
      </c>
      <c r="E2699" s="2">
        <v>34485518.240000002</v>
      </c>
    </row>
    <row r="2700" spans="1:5" ht="15" x14ac:dyDescent="0.2">
      <c r="A2700" s="1" t="s">
        <v>64</v>
      </c>
      <c r="B2700" t="s">
        <v>3</v>
      </c>
      <c r="C2700" t="s">
        <v>60</v>
      </c>
      <c r="D2700">
        <v>33328</v>
      </c>
      <c r="E2700" s="2">
        <v>58265179.100000001</v>
      </c>
    </row>
    <row r="2701" spans="1:5" ht="15" x14ac:dyDescent="0.2">
      <c r="A2701" s="1" t="s">
        <v>80</v>
      </c>
      <c r="B2701" t="s">
        <v>22</v>
      </c>
      <c r="C2701" t="s">
        <v>60</v>
      </c>
      <c r="D2701">
        <v>33328</v>
      </c>
      <c r="E2701" s="2">
        <v>18575818.359999999</v>
      </c>
    </row>
    <row r="2702" spans="1:5" ht="15" x14ac:dyDescent="0.2">
      <c r="A2702" s="1" t="s">
        <v>81</v>
      </c>
      <c r="B2702" t="s">
        <v>14</v>
      </c>
      <c r="C2702" t="s">
        <v>60</v>
      </c>
      <c r="D2702">
        <v>33328</v>
      </c>
      <c r="E2702" s="2">
        <v>26273215.059999999</v>
      </c>
    </row>
    <row r="2703" spans="1:5" ht="15" x14ac:dyDescent="0.2">
      <c r="A2703" s="1" t="s">
        <v>88</v>
      </c>
      <c r="B2703" t="s">
        <v>27</v>
      </c>
      <c r="C2703" t="s">
        <v>60</v>
      </c>
      <c r="D2703">
        <v>33328</v>
      </c>
      <c r="E2703" s="2">
        <v>18543031.920000002</v>
      </c>
    </row>
    <row r="2704" spans="1:5" ht="15" x14ac:dyDescent="0.2">
      <c r="A2704" s="1" t="s">
        <v>102</v>
      </c>
      <c r="B2704" t="s">
        <v>36</v>
      </c>
      <c r="C2704" t="s">
        <v>60</v>
      </c>
      <c r="D2704">
        <v>33328</v>
      </c>
      <c r="E2704" s="2">
        <v>10576517.880000001</v>
      </c>
    </row>
    <row r="2705" spans="1:5" ht="15" x14ac:dyDescent="0.2">
      <c r="A2705" s="1" t="s">
        <v>65</v>
      </c>
      <c r="B2705" t="s">
        <v>4</v>
      </c>
      <c r="C2705" t="s">
        <v>60</v>
      </c>
      <c r="D2705">
        <v>33328</v>
      </c>
      <c r="E2705" s="2">
        <v>2434929.7799999998</v>
      </c>
    </row>
    <row r="2706" spans="1:5" ht="15" x14ac:dyDescent="0.2">
      <c r="A2706" s="1" t="s">
        <v>72</v>
      </c>
      <c r="B2706" t="s">
        <v>10</v>
      </c>
      <c r="C2706" t="s">
        <v>60</v>
      </c>
      <c r="D2706">
        <v>34812</v>
      </c>
      <c r="E2706" s="2">
        <v>38999159.600000001</v>
      </c>
    </row>
    <row r="2707" spans="1:5" ht="15" x14ac:dyDescent="0.2">
      <c r="A2707" s="1" t="s">
        <v>68</v>
      </c>
      <c r="B2707" t="s">
        <v>6</v>
      </c>
      <c r="C2707" t="s">
        <v>60</v>
      </c>
      <c r="D2707">
        <v>34812</v>
      </c>
      <c r="E2707" s="2">
        <v>5540566.6799999997</v>
      </c>
    </row>
    <row r="2708" spans="1:5" ht="15" x14ac:dyDescent="0.2">
      <c r="A2708" s="1" t="s">
        <v>91</v>
      </c>
      <c r="B2708" t="s">
        <v>30</v>
      </c>
      <c r="C2708" t="s">
        <v>60</v>
      </c>
      <c r="D2708">
        <v>35143</v>
      </c>
      <c r="E2708" s="2">
        <v>316.31</v>
      </c>
    </row>
    <row r="2709" spans="1:5" ht="15" x14ac:dyDescent="0.2">
      <c r="A2709" s="1" t="s">
        <v>92</v>
      </c>
      <c r="B2709" t="s">
        <v>31</v>
      </c>
      <c r="C2709" t="s">
        <v>60</v>
      </c>
      <c r="D2709">
        <v>35143</v>
      </c>
      <c r="E2709" s="2">
        <v>38028043.530000001</v>
      </c>
    </row>
    <row r="2710" spans="1:5" ht="15" x14ac:dyDescent="0.2">
      <c r="A2710" s="1" t="s">
        <v>94</v>
      </c>
      <c r="B2710" t="s">
        <v>33</v>
      </c>
      <c r="C2710" t="s">
        <v>60</v>
      </c>
      <c r="D2710">
        <v>35143</v>
      </c>
      <c r="E2710" s="2">
        <v>133640615.53</v>
      </c>
    </row>
    <row r="2711" spans="1:5" ht="15" x14ac:dyDescent="0.2">
      <c r="A2711" s="1" t="s">
        <v>64</v>
      </c>
      <c r="B2711" t="s">
        <v>3</v>
      </c>
      <c r="C2711" t="s">
        <v>60</v>
      </c>
      <c r="D2711">
        <v>35143</v>
      </c>
      <c r="E2711" s="2">
        <v>5507.8</v>
      </c>
    </row>
    <row r="2712" spans="1:5" ht="15" x14ac:dyDescent="0.2">
      <c r="A2712" s="1" t="s">
        <v>80</v>
      </c>
      <c r="B2712" t="s">
        <v>22</v>
      </c>
      <c r="C2712" t="s">
        <v>60</v>
      </c>
      <c r="D2712">
        <v>35143</v>
      </c>
      <c r="E2712" s="2">
        <v>14660515.74</v>
      </c>
    </row>
    <row r="2713" spans="1:5" ht="15" x14ac:dyDescent="0.2">
      <c r="A2713" s="1" t="s">
        <v>77</v>
      </c>
      <c r="B2713" t="s">
        <v>18</v>
      </c>
      <c r="C2713" t="s">
        <v>60</v>
      </c>
      <c r="D2713">
        <v>35143</v>
      </c>
      <c r="E2713" s="2">
        <v>45637047.950000003</v>
      </c>
    </row>
    <row r="2714" spans="1:5" ht="15" x14ac:dyDescent="0.2">
      <c r="A2714" s="1" t="s">
        <v>88</v>
      </c>
      <c r="B2714" t="s">
        <v>27</v>
      </c>
      <c r="C2714" t="s">
        <v>60</v>
      </c>
      <c r="D2714">
        <v>35143</v>
      </c>
      <c r="E2714" s="2">
        <v>8662537.1899999995</v>
      </c>
    </row>
    <row r="2715" spans="1:5" ht="15" x14ac:dyDescent="0.2">
      <c r="A2715" s="1" t="s">
        <v>105</v>
      </c>
      <c r="B2715" t="s">
        <v>41</v>
      </c>
      <c r="C2715" t="s">
        <v>60</v>
      </c>
      <c r="D2715">
        <v>35143</v>
      </c>
      <c r="E2715" s="2">
        <v>4866076.37</v>
      </c>
    </row>
    <row r="2716" spans="1:5" ht="15" x14ac:dyDescent="0.2">
      <c r="A2716" s="1" t="s">
        <v>71</v>
      </c>
      <c r="B2716" t="s">
        <v>9</v>
      </c>
      <c r="C2716" t="s">
        <v>60</v>
      </c>
      <c r="D2716">
        <v>35143</v>
      </c>
      <c r="E2716" s="2">
        <v>1127.28</v>
      </c>
    </row>
    <row r="2717" spans="1:5" ht="15" x14ac:dyDescent="0.2">
      <c r="A2717" s="1" t="s">
        <v>66</v>
      </c>
      <c r="B2717" t="s">
        <v>47</v>
      </c>
      <c r="C2717" t="s">
        <v>60</v>
      </c>
      <c r="D2717">
        <v>42461</v>
      </c>
      <c r="E2717" s="2">
        <v>9573355.5700000003</v>
      </c>
    </row>
    <row r="2718" spans="1:5" ht="15" x14ac:dyDescent="0.2">
      <c r="A2718" s="1" t="s">
        <v>68</v>
      </c>
      <c r="B2718" t="s">
        <v>6</v>
      </c>
      <c r="C2718" t="s">
        <v>60</v>
      </c>
      <c r="D2718">
        <v>42461</v>
      </c>
      <c r="E2718" s="2">
        <v>7409670.9500000002</v>
      </c>
    </row>
    <row r="2719" spans="1:5" ht="15" x14ac:dyDescent="0.2">
      <c r="A2719" s="1" t="s">
        <v>100</v>
      </c>
      <c r="B2719" t="s">
        <v>43</v>
      </c>
      <c r="C2719" t="s">
        <v>60</v>
      </c>
      <c r="D2719">
        <v>42461</v>
      </c>
      <c r="E2719" s="2">
        <v>32719088.780000001</v>
      </c>
    </row>
    <row r="2720" spans="1:5" ht="15" x14ac:dyDescent="0.2">
      <c r="A2720" s="1" t="s">
        <v>84</v>
      </c>
      <c r="B2720" t="s">
        <v>16</v>
      </c>
      <c r="C2720" t="s">
        <v>60</v>
      </c>
      <c r="D2720">
        <v>43342</v>
      </c>
      <c r="E2720" s="2">
        <v>13471730.939999999</v>
      </c>
    </row>
    <row r="2721" spans="1:5" ht="15" x14ac:dyDescent="0.2">
      <c r="A2721" s="1" t="s">
        <v>74</v>
      </c>
      <c r="B2721" t="s">
        <v>11</v>
      </c>
      <c r="C2721" t="s">
        <v>60</v>
      </c>
      <c r="D2721">
        <v>43342</v>
      </c>
      <c r="E2721" s="2">
        <v>2636436.89</v>
      </c>
    </row>
    <row r="2722" spans="1:5" ht="15" x14ac:dyDescent="0.2">
      <c r="A2722" s="1" t="s">
        <v>98</v>
      </c>
      <c r="B2722" t="s">
        <v>34</v>
      </c>
      <c r="C2722" t="s">
        <v>60</v>
      </c>
      <c r="D2722">
        <v>43342</v>
      </c>
      <c r="E2722" s="2">
        <v>36351006.039999999</v>
      </c>
    </row>
    <row r="2723" spans="1:5" ht="15" x14ac:dyDescent="0.2">
      <c r="A2723" s="1" t="s">
        <v>75</v>
      </c>
      <c r="B2723" t="s">
        <v>19</v>
      </c>
      <c r="C2723" t="s">
        <v>60</v>
      </c>
      <c r="D2723">
        <v>43342</v>
      </c>
      <c r="E2723" s="2">
        <v>20998237.469999999</v>
      </c>
    </row>
    <row r="2724" spans="1:5" ht="15" x14ac:dyDescent="0.2">
      <c r="A2724" s="1" t="s">
        <v>71</v>
      </c>
      <c r="B2724" t="s">
        <v>9</v>
      </c>
      <c r="C2724" t="s">
        <v>60</v>
      </c>
      <c r="D2724">
        <v>43342</v>
      </c>
      <c r="E2724" s="2">
        <v>59636511.369999997</v>
      </c>
    </row>
    <row r="2725" spans="1:5" ht="15" x14ac:dyDescent="0.2">
      <c r="A2725" s="1" t="s">
        <v>76</v>
      </c>
      <c r="B2725" t="s">
        <v>13</v>
      </c>
      <c r="C2725" t="s">
        <v>60</v>
      </c>
      <c r="D2725">
        <v>44852</v>
      </c>
      <c r="E2725" s="2">
        <v>3957530.9</v>
      </c>
    </row>
    <row r="2726" spans="1:5" ht="15" x14ac:dyDescent="0.2">
      <c r="A2726" s="1" t="s">
        <v>80</v>
      </c>
      <c r="B2726" t="s">
        <v>22</v>
      </c>
      <c r="C2726" t="s">
        <v>60</v>
      </c>
      <c r="D2726">
        <v>44852</v>
      </c>
      <c r="E2726" s="2">
        <v>25041993.32</v>
      </c>
    </row>
    <row r="2727" spans="1:5" ht="15" x14ac:dyDescent="0.2">
      <c r="A2727" s="1" t="s">
        <v>74</v>
      </c>
      <c r="B2727" t="s">
        <v>11</v>
      </c>
      <c r="C2727" t="s">
        <v>60</v>
      </c>
      <c r="D2727">
        <v>44852</v>
      </c>
      <c r="E2727" s="2">
        <v>0.25</v>
      </c>
    </row>
    <row r="2728" spans="1:5" ht="15" x14ac:dyDescent="0.2">
      <c r="A2728" s="1" t="s">
        <v>78</v>
      </c>
      <c r="B2728" t="s">
        <v>20</v>
      </c>
      <c r="C2728" t="s">
        <v>60</v>
      </c>
      <c r="D2728">
        <v>44852</v>
      </c>
      <c r="E2728" s="2">
        <v>3828932.71</v>
      </c>
    </row>
    <row r="2729" spans="1:5" ht="15" x14ac:dyDescent="0.2">
      <c r="A2729" s="1" t="s">
        <v>102</v>
      </c>
      <c r="B2729" t="s">
        <v>36</v>
      </c>
      <c r="C2729" t="s">
        <v>60</v>
      </c>
      <c r="D2729">
        <v>44852</v>
      </c>
      <c r="E2729" s="2">
        <v>0.76</v>
      </c>
    </row>
    <row r="2730" spans="1:5" ht="15" x14ac:dyDescent="0.2">
      <c r="A2730" s="1" t="s">
        <v>65</v>
      </c>
      <c r="B2730" t="s">
        <v>4</v>
      </c>
      <c r="C2730" t="s">
        <v>60</v>
      </c>
      <c r="D2730">
        <v>44852</v>
      </c>
      <c r="E2730" s="2">
        <v>5031074.47</v>
      </c>
    </row>
    <row r="2731" spans="1:5" ht="15" x14ac:dyDescent="0.2">
      <c r="A2731" s="1" t="s">
        <v>66</v>
      </c>
      <c r="B2731" t="s">
        <v>47</v>
      </c>
      <c r="C2731" t="s">
        <v>60</v>
      </c>
      <c r="D2731">
        <v>47097</v>
      </c>
      <c r="E2731" s="2">
        <v>11765952.560000001</v>
      </c>
    </row>
    <row r="2732" spans="1:5" ht="15" x14ac:dyDescent="0.2">
      <c r="A2732" s="1" t="s">
        <v>96</v>
      </c>
      <c r="B2732" t="s">
        <v>44</v>
      </c>
      <c r="C2732" t="s">
        <v>60</v>
      </c>
      <c r="D2732">
        <v>47097</v>
      </c>
      <c r="E2732" s="2">
        <v>6294627.9400000004</v>
      </c>
    </row>
    <row r="2733" spans="1:5" ht="15" x14ac:dyDescent="0.2">
      <c r="A2733" s="1" t="s">
        <v>81</v>
      </c>
      <c r="B2733" t="s">
        <v>14</v>
      </c>
      <c r="C2733" t="s">
        <v>60</v>
      </c>
      <c r="D2733">
        <v>47097</v>
      </c>
      <c r="E2733" s="2">
        <v>17983791.600000001</v>
      </c>
    </row>
    <row r="2734" spans="1:5" ht="15" x14ac:dyDescent="0.2">
      <c r="A2734" s="1" t="s">
        <v>70</v>
      </c>
      <c r="B2734" t="s">
        <v>8</v>
      </c>
      <c r="C2734" t="s">
        <v>60</v>
      </c>
      <c r="D2734">
        <v>47097</v>
      </c>
      <c r="E2734" s="2">
        <v>66371400.090000004</v>
      </c>
    </row>
    <row r="2735" spans="1:5" ht="15" x14ac:dyDescent="0.2">
      <c r="A2735" s="1" t="s">
        <v>66</v>
      </c>
      <c r="B2735" t="s">
        <v>47</v>
      </c>
      <c r="C2735" t="s">
        <v>60</v>
      </c>
      <c r="D2735">
        <v>48636</v>
      </c>
      <c r="E2735" s="2">
        <v>5591.69</v>
      </c>
    </row>
    <row r="2736" spans="1:5" ht="15" x14ac:dyDescent="0.2">
      <c r="A2736" s="1" t="s">
        <v>94</v>
      </c>
      <c r="B2736" t="s">
        <v>33</v>
      </c>
      <c r="C2736" t="s">
        <v>60</v>
      </c>
      <c r="D2736">
        <v>48636</v>
      </c>
      <c r="E2736" s="2">
        <v>321192055.5</v>
      </c>
    </row>
    <row r="2737" spans="1:5" ht="15" x14ac:dyDescent="0.2">
      <c r="A2737" s="1" t="s">
        <v>84</v>
      </c>
      <c r="B2737" t="s">
        <v>16</v>
      </c>
      <c r="C2737" t="s">
        <v>60</v>
      </c>
      <c r="D2737">
        <v>48636</v>
      </c>
      <c r="E2737" s="2">
        <v>22436822.16</v>
      </c>
    </row>
    <row r="2738" spans="1:5" ht="15" x14ac:dyDescent="0.2">
      <c r="A2738" s="1" t="s">
        <v>99</v>
      </c>
      <c r="B2738" t="s">
        <v>35</v>
      </c>
      <c r="C2738" t="s">
        <v>60</v>
      </c>
      <c r="D2738">
        <v>48636</v>
      </c>
      <c r="E2738" s="2">
        <v>1365.8</v>
      </c>
    </row>
    <row r="2739" spans="1:5" ht="15" x14ac:dyDescent="0.2">
      <c r="A2739" s="1" t="s">
        <v>75</v>
      </c>
      <c r="B2739" t="s">
        <v>19</v>
      </c>
      <c r="C2739" t="s">
        <v>60</v>
      </c>
      <c r="D2739">
        <v>48636</v>
      </c>
      <c r="E2739" s="2">
        <v>4150901.26</v>
      </c>
    </row>
    <row r="2740" spans="1:5" ht="15" x14ac:dyDescent="0.2">
      <c r="A2740" s="1" t="s">
        <v>65</v>
      </c>
      <c r="B2740" t="s">
        <v>4</v>
      </c>
      <c r="C2740" t="s">
        <v>60</v>
      </c>
      <c r="D2740">
        <v>48636</v>
      </c>
      <c r="E2740" s="2">
        <v>5778236.2300000004</v>
      </c>
    </row>
    <row r="2741" spans="1:5" ht="15" x14ac:dyDescent="0.2">
      <c r="A2741" s="1" t="s">
        <v>99</v>
      </c>
      <c r="B2741" t="s">
        <v>35</v>
      </c>
      <c r="C2741" t="s">
        <v>60</v>
      </c>
      <c r="D2741">
        <v>50240</v>
      </c>
      <c r="E2741" s="2">
        <v>36906556.479999997</v>
      </c>
    </row>
    <row r="2742" spans="1:5" ht="15" x14ac:dyDescent="0.2">
      <c r="A2742" s="1" t="s">
        <v>86</v>
      </c>
      <c r="B2742" t="s">
        <v>25</v>
      </c>
      <c r="C2742" t="s">
        <v>60</v>
      </c>
      <c r="D2742">
        <v>50695</v>
      </c>
      <c r="E2742" s="2">
        <v>18375047.199999999</v>
      </c>
    </row>
    <row r="2743" spans="1:5" ht="15" x14ac:dyDescent="0.2">
      <c r="A2743" s="1" t="s">
        <v>64</v>
      </c>
      <c r="B2743" t="s">
        <v>3</v>
      </c>
      <c r="C2743" t="s">
        <v>60</v>
      </c>
      <c r="D2743">
        <v>50695</v>
      </c>
      <c r="E2743" s="2">
        <v>48664736.920000002</v>
      </c>
    </row>
    <row r="2744" spans="1:5" ht="15" x14ac:dyDescent="0.2">
      <c r="A2744" s="1" t="s">
        <v>81</v>
      </c>
      <c r="B2744" t="s">
        <v>14</v>
      </c>
      <c r="C2744" t="s">
        <v>60</v>
      </c>
      <c r="D2744">
        <v>50695</v>
      </c>
      <c r="E2744" s="2">
        <v>18747604.699999999</v>
      </c>
    </row>
    <row r="2745" spans="1:5" ht="15" x14ac:dyDescent="0.2">
      <c r="A2745" s="1" t="s">
        <v>88</v>
      </c>
      <c r="B2745" t="s">
        <v>27</v>
      </c>
      <c r="C2745" t="s">
        <v>60</v>
      </c>
      <c r="D2745">
        <v>50695</v>
      </c>
      <c r="E2745" s="2">
        <v>6096280.5700000003</v>
      </c>
    </row>
    <row r="2746" spans="1:5" ht="15" x14ac:dyDescent="0.2">
      <c r="A2746" s="1" t="s">
        <v>65</v>
      </c>
      <c r="B2746" t="s">
        <v>4</v>
      </c>
      <c r="C2746" t="s">
        <v>60</v>
      </c>
      <c r="D2746">
        <v>50695</v>
      </c>
      <c r="E2746" s="2">
        <v>3794180.67</v>
      </c>
    </row>
    <row r="2747" spans="1:5" ht="15" x14ac:dyDescent="0.2">
      <c r="A2747" s="1" t="s">
        <v>75</v>
      </c>
      <c r="B2747" t="s">
        <v>12</v>
      </c>
      <c r="C2747" t="s">
        <v>60</v>
      </c>
      <c r="D2747">
        <v>51003</v>
      </c>
      <c r="E2747" s="2">
        <v>16084128.789999999</v>
      </c>
    </row>
    <row r="2748" spans="1:5" ht="15" x14ac:dyDescent="0.2">
      <c r="A2748" s="1" t="s">
        <v>80</v>
      </c>
      <c r="B2748" t="s">
        <v>22</v>
      </c>
      <c r="C2748" t="s">
        <v>60</v>
      </c>
      <c r="D2748">
        <v>51003</v>
      </c>
      <c r="E2748" s="2">
        <v>8257234.0599999996</v>
      </c>
    </row>
    <row r="2749" spans="1:5" ht="15" x14ac:dyDescent="0.2">
      <c r="A2749" s="1" t="s">
        <v>68</v>
      </c>
      <c r="B2749" t="s">
        <v>6</v>
      </c>
      <c r="C2749" t="s">
        <v>60</v>
      </c>
      <c r="D2749">
        <v>51003</v>
      </c>
      <c r="E2749" s="2">
        <v>15635531.77</v>
      </c>
    </row>
    <row r="2750" spans="1:5" ht="15" x14ac:dyDescent="0.2">
      <c r="A2750" s="1" t="s">
        <v>103</v>
      </c>
      <c r="B2750" t="s">
        <v>37</v>
      </c>
      <c r="C2750" t="s">
        <v>60</v>
      </c>
      <c r="D2750">
        <v>51003</v>
      </c>
      <c r="E2750" s="2">
        <v>34062175.060000002</v>
      </c>
    </row>
    <row r="2751" spans="1:5" ht="15" x14ac:dyDescent="0.2">
      <c r="A2751" s="1" t="s">
        <v>89</v>
      </c>
      <c r="B2751" t="s">
        <v>28</v>
      </c>
      <c r="C2751" t="s">
        <v>60</v>
      </c>
      <c r="D2751">
        <v>58876</v>
      </c>
      <c r="E2751" s="2">
        <v>17199909.84</v>
      </c>
    </row>
    <row r="2752" spans="1:5" ht="15" x14ac:dyDescent="0.2">
      <c r="A2752" s="1" t="s">
        <v>76</v>
      </c>
      <c r="B2752" t="s">
        <v>13</v>
      </c>
      <c r="C2752" t="s">
        <v>60</v>
      </c>
      <c r="D2752">
        <v>58876</v>
      </c>
      <c r="E2752" s="2">
        <v>4285492.8899999997</v>
      </c>
    </row>
    <row r="2753" spans="1:5" ht="15" x14ac:dyDescent="0.2">
      <c r="A2753" s="1" t="s">
        <v>77</v>
      </c>
      <c r="B2753" t="s">
        <v>18</v>
      </c>
      <c r="C2753" t="s">
        <v>60</v>
      </c>
      <c r="D2753">
        <v>58876</v>
      </c>
      <c r="E2753" s="2">
        <v>27295528.75</v>
      </c>
    </row>
    <row r="2754" spans="1:5" ht="15" x14ac:dyDescent="0.2">
      <c r="A2754" s="1" t="s">
        <v>105</v>
      </c>
      <c r="B2754" t="s">
        <v>41</v>
      </c>
      <c r="C2754" t="s">
        <v>60</v>
      </c>
      <c r="D2754">
        <v>58876</v>
      </c>
      <c r="E2754" s="2">
        <v>3844115.3</v>
      </c>
    </row>
    <row r="2755" spans="1:5" ht="15" x14ac:dyDescent="0.2">
      <c r="A2755" s="1" t="s">
        <v>91</v>
      </c>
      <c r="B2755" t="s">
        <v>30</v>
      </c>
      <c r="C2755" t="s">
        <v>60</v>
      </c>
      <c r="D2755">
        <v>61502</v>
      </c>
      <c r="E2755" s="2">
        <v>101890093.94</v>
      </c>
    </row>
    <row r="2756" spans="1:5" ht="15" x14ac:dyDescent="0.2">
      <c r="A2756" s="1" t="s">
        <v>94</v>
      </c>
      <c r="B2756" t="s">
        <v>33</v>
      </c>
      <c r="C2756" t="s">
        <v>60</v>
      </c>
      <c r="D2756">
        <v>61502</v>
      </c>
      <c r="E2756" s="2">
        <v>932.59</v>
      </c>
    </row>
    <row r="2757" spans="1:5" ht="15" x14ac:dyDescent="0.2">
      <c r="A2757" s="1" t="s">
        <v>86</v>
      </c>
      <c r="B2757" t="s">
        <v>25</v>
      </c>
      <c r="C2757" t="s">
        <v>60</v>
      </c>
      <c r="D2757">
        <v>64705</v>
      </c>
      <c r="E2757" s="2">
        <v>22260094.629999999</v>
      </c>
    </row>
    <row r="2758" spans="1:5" ht="15" x14ac:dyDescent="0.2">
      <c r="A2758" s="1" t="s">
        <v>84</v>
      </c>
      <c r="B2758" t="s">
        <v>16</v>
      </c>
      <c r="C2758" t="s">
        <v>60</v>
      </c>
      <c r="D2758">
        <v>64705</v>
      </c>
      <c r="E2758" s="2">
        <v>8171880.46</v>
      </c>
    </row>
    <row r="2759" spans="1:5" ht="15" x14ac:dyDescent="0.2">
      <c r="A2759" s="1" t="s">
        <v>76</v>
      </c>
      <c r="B2759" t="s">
        <v>13</v>
      </c>
      <c r="C2759" t="s">
        <v>60</v>
      </c>
      <c r="D2759">
        <v>64705</v>
      </c>
      <c r="E2759" s="2">
        <v>2153460.42</v>
      </c>
    </row>
    <row r="2760" spans="1:5" ht="15" x14ac:dyDescent="0.2">
      <c r="A2760" s="1" t="s">
        <v>74</v>
      </c>
      <c r="B2760" t="s">
        <v>11</v>
      </c>
      <c r="C2760" t="s">
        <v>60</v>
      </c>
      <c r="D2760">
        <v>64705</v>
      </c>
      <c r="E2760" s="2">
        <v>1578114.31</v>
      </c>
    </row>
    <row r="2761" spans="1:5" ht="15" x14ac:dyDescent="0.2">
      <c r="A2761" s="1" t="s">
        <v>99</v>
      </c>
      <c r="B2761" t="s">
        <v>35</v>
      </c>
      <c r="C2761" t="s">
        <v>60</v>
      </c>
      <c r="D2761">
        <v>64705</v>
      </c>
      <c r="E2761" s="2">
        <v>78027917.359999999</v>
      </c>
    </row>
    <row r="2762" spans="1:5" ht="15" x14ac:dyDescent="0.2">
      <c r="A2762" s="1" t="s">
        <v>75</v>
      </c>
      <c r="B2762" t="s">
        <v>12</v>
      </c>
      <c r="C2762" t="s">
        <v>60</v>
      </c>
      <c r="D2762">
        <v>66919</v>
      </c>
      <c r="E2762" s="2">
        <v>39282048.079999998</v>
      </c>
    </row>
    <row r="2763" spans="1:5" ht="15" x14ac:dyDescent="0.2">
      <c r="A2763" s="1" t="s">
        <v>97</v>
      </c>
      <c r="B2763" t="s">
        <v>42</v>
      </c>
      <c r="C2763" t="s">
        <v>60</v>
      </c>
      <c r="D2763">
        <v>66919</v>
      </c>
      <c r="E2763" s="2">
        <v>10289904.82</v>
      </c>
    </row>
    <row r="2764" spans="1:5" ht="15" x14ac:dyDescent="0.2">
      <c r="A2764" s="1" t="s">
        <v>73</v>
      </c>
      <c r="B2764" t="s">
        <v>17</v>
      </c>
      <c r="C2764" t="s">
        <v>60</v>
      </c>
      <c r="D2764">
        <v>66919</v>
      </c>
      <c r="E2764" s="2">
        <v>15805907.789999999</v>
      </c>
    </row>
    <row r="2765" spans="1:5" ht="15" x14ac:dyDescent="0.2">
      <c r="A2765" s="1" t="s">
        <v>105</v>
      </c>
      <c r="B2765" t="s">
        <v>41</v>
      </c>
      <c r="C2765" t="s">
        <v>60</v>
      </c>
      <c r="D2765">
        <v>66919</v>
      </c>
      <c r="E2765" s="2">
        <v>8710844.3800000008</v>
      </c>
    </row>
    <row r="2766" spans="1:5" ht="15" x14ac:dyDescent="0.2">
      <c r="A2766" s="1" t="s">
        <v>95</v>
      </c>
      <c r="B2766" t="s">
        <v>38</v>
      </c>
      <c r="C2766" t="s">
        <v>60</v>
      </c>
      <c r="D2766">
        <v>67412</v>
      </c>
      <c r="E2766" s="2">
        <v>1067673759.35</v>
      </c>
    </row>
    <row r="2767" spans="1:5" ht="15" x14ac:dyDescent="0.2">
      <c r="A2767" s="1" t="s">
        <v>83</v>
      </c>
      <c r="B2767" t="s">
        <v>23</v>
      </c>
      <c r="C2767" t="s">
        <v>60</v>
      </c>
      <c r="D2767">
        <v>67412</v>
      </c>
      <c r="E2767" s="2">
        <v>1282.76</v>
      </c>
    </row>
    <row r="2768" spans="1:5" ht="15" x14ac:dyDescent="0.2">
      <c r="A2768" s="1" t="s">
        <v>69</v>
      </c>
      <c r="B2768" t="s">
        <v>7</v>
      </c>
      <c r="C2768" t="s">
        <v>60</v>
      </c>
      <c r="D2768">
        <v>67412</v>
      </c>
      <c r="E2768" s="2">
        <v>62489845.43</v>
      </c>
    </row>
    <row r="2769" spans="1:5" ht="15" x14ac:dyDescent="0.2">
      <c r="A2769" s="1" t="s">
        <v>86</v>
      </c>
      <c r="B2769" t="s">
        <v>25</v>
      </c>
      <c r="C2769" t="s">
        <v>60</v>
      </c>
      <c r="D2769">
        <v>69407</v>
      </c>
      <c r="E2769" s="2">
        <v>11267970.84</v>
      </c>
    </row>
    <row r="2770" spans="1:5" ht="15" x14ac:dyDescent="0.2">
      <c r="A2770" s="1" t="s">
        <v>81</v>
      </c>
      <c r="B2770" t="s">
        <v>14</v>
      </c>
      <c r="C2770" t="s">
        <v>60</v>
      </c>
      <c r="D2770">
        <v>69407</v>
      </c>
      <c r="E2770" s="2">
        <v>25562779.559999999</v>
      </c>
    </row>
    <row r="2771" spans="1:5" ht="15" x14ac:dyDescent="0.2">
      <c r="A2771" s="1" t="s">
        <v>78</v>
      </c>
      <c r="B2771" t="s">
        <v>20</v>
      </c>
      <c r="C2771" t="s">
        <v>60</v>
      </c>
      <c r="D2771">
        <v>69407</v>
      </c>
      <c r="E2771" s="2">
        <v>4608855.49</v>
      </c>
    </row>
    <row r="2772" spans="1:5" ht="15" x14ac:dyDescent="0.2">
      <c r="A2772" s="1" t="s">
        <v>65</v>
      </c>
      <c r="B2772" t="s">
        <v>4</v>
      </c>
      <c r="C2772" t="s">
        <v>60</v>
      </c>
      <c r="D2772">
        <v>69407</v>
      </c>
      <c r="E2772" s="2">
        <v>3402607.59</v>
      </c>
    </row>
    <row r="2773" spans="1:5" ht="15" x14ac:dyDescent="0.2">
      <c r="A2773" s="1" t="s">
        <v>90</v>
      </c>
      <c r="B2773" t="s">
        <v>29</v>
      </c>
      <c r="C2773" t="s">
        <v>60</v>
      </c>
      <c r="D2773">
        <v>73889</v>
      </c>
      <c r="E2773" s="2">
        <v>9331.4</v>
      </c>
    </row>
    <row r="2774" spans="1:5" ht="15" x14ac:dyDescent="0.2">
      <c r="A2774" s="1" t="s">
        <v>91</v>
      </c>
      <c r="B2774" t="s">
        <v>30</v>
      </c>
      <c r="C2774" t="s">
        <v>60</v>
      </c>
      <c r="D2774">
        <v>73889</v>
      </c>
      <c r="E2774" s="2">
        <v>123210731.16</v>
      </c>
    </row>
    <row r="2775" spans="1:5" ht="15" x14ac:dyDescent="0.2">
      <c r="A2775" s="1" t="s">
        <v>95</v>
      </c>
      <c r="B2775" t="s">
        <v>38</v>
      </c>
      <c r="C2775" t="s">
        <v>60</v>
      </c>
      <c r="D2775">
        <v>73889</v>
      </c>
      <c r="E2775" s="2">
        <v>1184422024.6900001</v>
      </c>
    </row>
    <row r="2776" spans="1:5" ht="15" x14ac:dyDescent="0.2">
      <c r="A2776" s="1" t="s">
        <v>98</v>
      </c>
      <c r="B2776" t="s">
        <v>34</v>
      </c>
      <c r="C2776" t="s">
        <v>60</v>
      </c>
      <c r="D2776">
        <v>73889</v>
      </c>
      <c r="E2776" s="2">
        <v>351044364.67000002</v>
      </c>
    </row>
    <row r="2777" spans="1:5" ht="15" x14ac:dyDescent="0.2">
      <c r="A2777" s="1" t="s">
        <v>100</v>
      </c>
      <c r="B2777" t="s">
        <v>43</v>
      </c>
      <c r="C2777" t="s">
        <v>60</v>
      </c>
      <c r="D2777">
        <v>73889</v>
      </c>
      <c r="E2777" s="2">
        <v>10505296.23</v>
      </c>
    </row>
    <row r="2778" spans="1:5" ht="15" x14ac:dyDescent="0.2">
      <c r="A2778" s="1" t="s">
        <v>78</v>
      </c>
      <c r="B2778" t="s">
        <v>20</v>
      </c>
      <c r="C2778" t="s">
        <v>60</v>
      </c>
      <c r="D2778">
        <v>73889</v>
      </c>
      <c r="E2778" s="2">
        <v>3513620.76</v>
      </c>
    </row>
    <row r="2779" spans="1:5" ht="15" x14ac:dyDescent="0.2">
      <c r="A2779" s="1" t="s">
        <v>88</v>
      </c>
      <c r="B2779" t="s">
        <v>27</v>
      </c>
      <c r="C2779" t="s">
        <v>60</v>
      </c>
      <c r="D2779">
        <v>73889</v>
      </c>
      <c r="E2779" s="2">
        <v>11681477.449999999</v>
      </c>
    </row>
    <row r="2780" spans="1:5" ht="15" x14ac:dyDescent="0.2">
      <c r="A2780" s="1" t="s">
        <v>105</v>
      </c>
      <c r="B2780" t="s">
        <v>41</v>
      </c>
      <c r="C2780" t="s">
        <v>60</v>
      </c>
      <c r="D2780">
        <v>73889</v>
      </c>
      <c r="E2780" s="2">
        <v>11898245.6</v>
      </c>
    </row>
    <row r="2781" spans="1:5" ht="15" x14ac:dyDescent="0.2">
      <c r="A2781" s="1" t="s">
        <v>70</v>
      </c>
      <c r="B2781" t="s">
        <v>8</v>
      </c>
      <c r="C2781" t="s">
        <v>60</v>
      </c>
      <c r="D2781">
        <v>73889</v>
      </c>
      <c r="E2781" s="2">
        <v>76693327.530000001</v>
      </c>
    </row>
    <row r="2782" spans="1:5" ht="15" x14ac:dyDescent="0.2">
      <c r="A2782" s="1" t="s">
        <v>67</v>
      </c>
      <c r="B2782" t="s">
        <v>5</v>
      </c>
      <c r="C2782" t="s">
        <v>60</v>
      </c>
      <c r="D2782">
        <v>78221</v>
      </c>
      <c r="E2782" s="2">
        <v>-10564312.82</v>
      </c>
    </row>
    <row r="2783" spans="1:5" ht="15" x14ac:dyDescent="0.2">
      <c r="A2783" s="1" t="s">
        <v>89</v>
      </c>
      <c r="B2783" t="s">
        <v>28</v>
      </c>
      <c r="C2783" t="s">
        <v>60</v>
      </c>
      <c r="D2783">
        <v>78221</v>
      </c>
      <c r="E2783" s="2">
        <v>5986206.8099999996</v>
      </c>
    </row>
    <row r="2784" spans="1:5" ht="15" x14ac:dyDescent="0.2">
      <c r="A2784" s="1" t="s">
        <v>95</v>
      </c>
      <c r="B2784" t="s">
        <v>38</v>
      </c>
      <c r="C2784" t="s">
        <v>60</v>
      </c>
      <c r="D2784">
        <v>78221</v>
      </c>
      <c r="E2784" s="2">
        <v>293174841.61000001</v>
      </c>
    </row>
    <row r="2785" spans="1:5" ht="15" x14ac:dyDescent="0.2">
      <c r="A2785" s="1" t="s">
        <v>66</v>
      </c>
      <c r="B2785" t="s">
        <v>47</v>
      </c>
      <c r="C2785" t="s">
        <v>60</v>
      </c>
      <c r="D2785">
        <v>79177</v>
      </c>
      <c r="E2785" s="2">
        <v>8130866.6600000001</v>
      </c>
    </row>
    <row r="2786" spans="1:5" ht="15" x14ac:dyDescent="0.2">
      <c r="A2786" s="1" t="s">
        <v>67</v>
      </c>
      <c r="B2786" t="s">
        <v>5</v>
      </c>
      <c r="C2786" t="s">
        <v>60</v>
      </c>
      <c r="D2786">
        <v>79177</v>
      </c>
      <c r="E2786" s="2">
        <v>-2012108.2</v>
      </c>
    </row>
    <row r="2787" spans="1:5" ht="15" x14ac:dyDescent="0.2">
      <c r="A2787" s="1" t="s">
        <v>75</v>
      </c>
      <c r="B2787" t="s">
        <v>12</v>
      </c>
      <c r="C2787" t="s">
        <v>60</v>
      </c>
      <c r="D2787">
        <v>79177</v>
      </c>
      <c r="E2787" s="2">
        <v>1248.73</v>
      </c>
    </row>
    <row r="2788" spans="1:5" ht="15" x14ac:dyDescent="0.2">
      <c r="A2788" s="1" t="s">
        <v>97</v>
      </c>
      <c r="B2788" t="s">
        <v>42</v>
      </c>
      <c r="C2788" t="s">
        <v>60</v>
      </c>
      <c r="D2788">
        <v>79177</v>
      </c>
      <c r="E2788" s="2">
        <v>4194814.4400000004</v>
      </c>
    </row>
    <row r="2789" spans="1:5" ht="15" x14ac:dyDescent="0.2">
      <c r="A2789" s="1" t="s">
        <v>98</v>
      </c>
      <c r="B2789" t="s">
        <v>34</v>
      </c>
      <c r="C2789" t="s">
        <v>60</v>
      </c>
      <c r="D2789">
        <v>79177</v>
      </c>
      <c r="E2789" s="2">
        <v>73597768.719999999</v>
      </c>
    </row>
    <row r="2790" spans="1:5" ht="15" x14ac:dyDescent="0.2">
      <c r="A2790" s="1" t="s">
        <v>78</v>
      </c>
      <c r="B2790" t="s">
        <v>20</v>
      </c>
      <c r="C2790" t="s">
        <v>60</v>
      </c>
      <c r="D2790">
        <v>79177</v>
      </c>
      <c r="E2790" s="2">
        <v>5301826.99</v>
      </c>
    </row>
    <row r="2791" spans="1:5" ht="15" x14ac:dyDescent="0.2">
      <c r="A2791" s="1" t="s">
        <v>102</v>
      </c>
      <c r="B2791" t="s">
        <v>36</v>
      </c>
      <c r="C2791" t="s">
        <v>60</v>
      </c>
      <c r="D2791">
        <v>79177</v>
      </c>
      <c r="E2791" s="2">
        <v>2230.52</v>
      </c>
    </row>
    <row r="2792" spans="1:5" ht="15" x14ac:dyDescent="0.2">
      <c r="A2792" s="1" t="s">
        <v>69</v>
      </c>
      <c r="B2792" t="s">
        <v>7</v>
      </c>
      <c r="C2792" t="s">
        <v>60</v>
      </c>
      <c r="D2792">
        <v>79177</v>
      </c>
      <c r="E2792" s="2">
        <v>120292212.06</v>
      </c>
    </row>
    <row r="2793" spans="1:5" ht="15" x14ac:dyDescent="0.2">
      <c r="A2793" s="1" t="s">
        <v>71</v>
      </c>
      <c r="B2793" t="s">
        <v>9</v>
      </c>
      <c r="C2793" t="s">
        <v>60</v>
      </c>
      <c r="D2793">
        <v>79177</v>
      </c>
      <c r="E2793" s="2">
        <v>24821972.579999998</v>
      </c>
    </row>
    <row r="2794" spans="1:5" ht="15" x14ac:dyDescent="0.2">
      <c r="A2794" s="1" t="s">
        <v>80</v>
      </c>
      <c r="B2794" t="s">
        <v>22</v>
      </c>
      <c r="C2794" t="s">
        <v>60</v>
      </c>
      <c r="D2794">
        <v>80154</v>
      </c>
      <c r="E2794" s="2">
        <v>21122931.59</v>
      </c>
    </row>
    <row r="2795" spans="1:5" ht="15" x14ac:dyDescent="0.2">
      <c r="A2795" s="1" t="s">
        <v>96</v>
      </c>
      <c r="B2795" t="s">
        <v>44</v>
      </c>
      <c r="C2795" t="s">
        <v>60</v>
      </c>
      <c r="D2795">
        <v>80154</v>
      </c>
      <c r="E2795" s="2">
        <v>7080402.0099999998</v>
      </c>
    </row>
    <row r="2796" spans="1:5" ht="15" x14ac:dyDescent="0.2">
      <c r="A2796" s="1" t="s">
        <v>69</v>
      </c>
      <c r="B2796" t="s">
        <v>7</v>
      </c>
      <c r="C2796" t="s">
        <v>60</v>
      </c>
      <c r="D2796">
        <v>80154</v>
      </c>
      <c r="E2796" s="2">
        <v>201.37</v>
      </c>
    </row>
    <row r="2797" spans="1:5" ht="15" x14ac:dyDescent="0.2">
      <c r="A2797" s="1" t="s">
        <v>76</v>
      </c>
      <c r="B2797" t="s">
        <v>13</v>
      </c>
      <c r="C2797" t="s">
        <v>60</v>
      </c>
      <c r="D2797">
        <v>86095</v>
      </c>
      <c r="E2797" s="2">
        <v>6236947.3200000003</v>
      </c>
    </row>
    <row r="2798" spans="1:5" ht="15" x14ac:dyDescent="0.2">
      <c r="A2798" s="1" t="s">
        <v>74</v>
      </c>
      <c r="B2798" t="s">
        <v>11</v>
      </c>
      <c r="C2798" t="s">
        <v>60</v>
      </c>
      <c r="D2798">
        <v>86095</v>
      </c>
      <c r="E2798" s="2">
        <v>2943669.07</v>
      </c>
    </row>
    <row r="2799" spans="1:5" ht="15" x14ac:dyDescent="0.2">
      <c r="A2799" s="1" t="s">
        <v>96</v>
      </c>
      <c r="B2799" t="s">
        <v>44</v>
      </c>
      <c r="C2799" t="s">
        <v>60</v>
      </c>
      <c r="D2799">
        <v>86095</v>
      </c>
      <c r="E2799" s="2">
        <v>3234379.57</v>
      </c>
    </row>
    <row r="2800" spans="1:5" ht="15" x14ac:dyDescent="0.2">
      <c r="A2800" s="1" t="s">
        <v>97</v>
      </c>
      <c r="B2800" t="s">
        <v>42</v>
      </c>
      <c r="C2800" t="s">
        <v>60</v>
      </c>
      <c r="D2800">
        <v>86095</v>
      </c>
      <c r="E2800" s="2">
        <v>11332878.67</v>
      </c>
    </row>
    <row r="2801" spans="1:5" ht="15" x14ac:dyDescent="0.2">
      <c r="A2801" s="1" t="s">
        <v>75</v>
      </c>
      <c r="B2801" t="s">
        <v>19</v>
      </c>
      <c r="C2801" t="s">
        <v>60</v>
      </c>
      <c r="D2801">
        <v>86095</v>
      </c>
      <c r="E2801" s="2">
        <v>7218800.5300000003</v>
      </c>
    </row>
    <row r="2802" spans="1:5" ht="15" x14ac:dyDescent="0.2">
      <c r="A2802" s="1" t="s">
        <v>105</v>
      </c>
      <c r="B2802" t="s">
        <v>41</v>
      </c>
      <c r="C2802" t="s">
        <v>60</v>
      </c>
      <c r="D2802">
        <v>86095</v>
      </c>
      <c r="E2802" s="2">
        <v>5331602.3</v>
      </c>
    </row>
    <row r="2803" spans="1:5" ht="15" x14ac:dyDescent="0.2">
      <c r="A2803" s="1" t="s">
        <v>70</v>
      </c>
      <c r="B2803" t="s">
        <v>8</v>
      </c>
      <c r="C2803" t="s">
        <v>60</v>
      </c>
      <c r="D2803">
        <v>86095</v>
      </c>
      <c r="E2803" s="2">
        <v>160856604.09999999</v>
      </c>
    </row>
    <row r="2804" spans="1:5" ht="15" x14ac:dyDescent="0.2">
      <c r="A2804" s="1" t="s">
        <v>71</v>
      </c>
      <c r="B2804" t="s">
        <v>9</v>
      </c>
      <c r="C2804" t="s">
        <v>60</v>
      </c>
      <c r="D2804">
        <v>86095</v>
      </c>
      <c r="E2804" s="2">
        <v>42356850.189999998</v>
      </c>
    </row>
    <row r="2805" spans="1:5" ht="15" x14ac:dyDescent="0.2">
      <c r="A2805" s="1" t="s">
        <v>86</v>
      </c>
      <c r="B2805" t="s">
        <v>25</v>
      </c>
      <c r="C2805" t="s">
        <v>60</v>
      </c>
      <c r="D2805">
        <v>87696</v>
      </c>
      <c r="E2805" s="2">
        <v>7715450.7800000003</v>
      </c>
    </row>
    <row r="2806" spans="1:5" ht="15" x14ac:dyDescent="0.2">
      <c r="A2806" s="1" t="s">
        <v>91</v>
      </c>
      <c r="B2806" t="s">
        <v>30</v>
      </c>
      <c r="C2806" t="s">
        <v>60</v>
      </c>
      <c r="D2806">
        <v>87696</v>
      </c>
      <c r="E2806" s="2">
        <v>224294832.65000001</v>
      </c>
    </row>
    <row r="2807" spans="1:5" ht="15" x14ac:dyDescent="0.2">
      <c r="A2807" s="1" t="s">
        <v>83</v>
      </c>
      <c r="B2807" t="s">
        <v>23</v>
      </c>
      <c r="C2807" t="s">
        <v>60</v>
      </c>
      <c r="D2807">
        <v>87696</v>
      </c>
      <c r="E2807" s="2">
        <v>51365765.420000002</v>
      </c>
    </row>
    <row r="2808" spans="1:5" ht="15" x14ac:dyDescent="0.2">
      <c r="A2808" s="1" t="s">
        <v>80</v>
      </c>
      <c r="B2808" t="s">
        <v>22</v>
      </c>
      <c r="C2808" t="s">
        <v>60</v>
      </c>
      <c r="D2808">
        <v>87696</v>
      </c>
      <c r="E2808" s="2">
        <v>9478089.8000000007</v>
      </c>
    </row>
    <row r="2809" spans="1:5" ht="15" x14ac:dyDescent="0.2">
      <c r="A2809" s="1" t="s">
        <v>73</v>
      </c>
      <c r="B2809" t="s">
        <v>17</v>
      </c>
      <c r="C2809" t="s">
        <v>60</v>
      </c>
      <c r="D2809">
        <v>87696</v>
      </c>
      <c r="E2809" s="2">
        <v>2983.36</v>
      </c>
    </row>
    <row r="2810" spans="1:5" ht="15" x14ac:dyDescent="0.2">
      <c r="A2810" s="1" t="s">
        <v>66</v>
      </c>
      <c r="B2810" t="s">
        <v>47</v>
      </c>
      <c r="C2810" t="s">
        <v>60</v>
      </c>
      <c r="D2810">
        <v>87775</v>
      </c>
      <c r="E2810" s="2">
        <v>19869431.18</v>
      </c>
    </row>
    <row r="2811" spans="1:5" ht="15" x14ac:dyDescent="0.2">
      <c r="A2811" s="1" t="s">
        <v>97</v>
      </c>
      <c r="B2811" t="s">
        <v>42</v>
      </c>
      <c r="C2811" t="s">
        <v>60</v>
      </c>
      <c r="D2811">
        <v>87775</v>
      </c>
      <c r="E2811" s="2">
        <v>8823701.0999999996</v>
      </c>
    </row>
    <row r="2812" spans="1:5" ht="15" x14ac:dyDescent="0.2">
      <c r="A2812" s="1" t="s">
        <v>90</v>
      </c>
      <c r="B2812" t="s">
        <v>29</v>
      </c>
      <c r="C2812" t="s">
        <v>60</v>
      </c>
      <c r="D2812">
        <v>87778</v>
      </c>
      <c r="E2812" s="2">
        <v>47826164.350000001</v>
      </c>
    </row>
    <row r="2813" spans="1:5" ht="15" x14ac:dyDescent="0.2">
      <c r="A2813" s="1" t="s">
        <v>87</v>
      </c>
      <c r="B2813" t="s">
        <v>26</v>
      </c>
      <c r="C2813" t="s">
        <v>60</v>
      </c>
      <c r="D2813">
        <v>87778</v>
      </c>
      <c r="E2813" s="2">
        <v>15707825.01</v>
      </c>
    </row>
    <row r="2814" spans="1:5" ht="15" x14ac:dyDescent="0.2">
      <c r="A2814" s="1" t="s">
        <v>102</v>
      </c>
      <c r="B2814" t="s">
        <v>36</v>
      </c>
      <c r="C2814" t="s">
        <v>60</v>
      </c>
      <c r="D2814">
        <v>87778</v>
      </c>
      <c r="E2814" s="2">
        <v>6663847.6600000001</v>
      </c>
    </row>
    <row r="2815" spans="1:5" ht="15" x14ac:dyDescent="0.2">
      <c r="A2815" s="1" t="s">
        <v>70</v>
      </c>
      <c r="B2815" t="s">
        <v>8</v>
      </c>
      <c r="C2815" t="s">
        <v>60</v>
      </c>
      <c r="D2815">
        <v>87778</v>
      </c>
      <c r="E2815" s="2">
        <v>208209549.86000001</v>
      </c>
    </row>
    <row r="2816" spans="1:5" ht="15" x14ac:dyDescent="0.2">
      <c r="A2816" s="1" t="s">
        <v>67</v>
      </c>
      <c r="B2816" t="s">
        <v>5</v>
      </c>
      <c r="C2816" t="s">
        <v>60</v>
      </c>
      <c r="D2816">
        <v>88179</v>
      </c>
      <c r="E2816" s="2">
        <v>-3017022.68</v>
      </c>
    </row>
    <row r="2817" spans="1:5" ht="15" x14ac:dyDescent="0.2">
      <c r="A2817" s="1" t="s">
        <v>64</v>
      </c>
      <c r="B2817" t="s">
        <v>3</v>
      </c>
      <c r="C2817" t="s">
        <v>60</v>
      </c>
      <c r="D2817">
        <v>88179</v>
      </c>
      <c r="E2817" s="2">
        <v>64856701</v>
      </c>
    </row>
    <row r="2818" spans="1:5" ht="15" x14ac:dyDescent="0.2">
      <c r="A2818" s="1" t="s">
        <v>85</v>
      </c>
      <c r="B2818" t="s">
        <v>24</v>
      </c>
      <c r="C2818" t="s">
        <v>60</v>
      </c>
      <c r="D2818">
        <v>88179</v>
      </c>
      <c r="E2818" s="2">
        <v>0.51</v>
      </c>
    </row>
    <row r="2819" spans="1:5" ht="15" x14ac:dyDescent="0.2">
      <c r="A2819" s="1" t="s">
        <v>77</v>
      </c>
      <c r="B2819" t="s">
        <v>18</v>
      </c>
      <c r="C2819" t="s">
        <v>60</v>
      </c>
      <c r="D2819">
        <v>88179</v>
      </c>
      <c r="E2819" s="2">
        <v>26695555.609999999</v>
      </c>
    </row>
    <row r="2820" spans="1:5" ht="15" x14ac:dyDescent="0.2">
      <c r="A2820" s="1" t="s">
        <v>88</v>
      </c>
      <c r="B2820" t="s">
        <v>27</v>
      </c>
      <c r="C2820" t="s">
        <v>60</v>
      </c>
      <c r="D2820">
        <v>88179</v>
      </c>
      <c r="E2820" s="2">
        <v>29191094.68</v>
      </c>
    </row>
    <row r="2821" spans="1:5" ht="15" x14ac:dyDescent="0.2">
      <c r="A2821" s="1" t="s">
        <v>74</v>
      </c>
      <c r="B2821" t="s">
        <v>11</v>
      </c>
      <c r="C2821" t="s">
        <v>60</v>
      </c>
      <c r="D2821">
        <v>89486</v>
      </c>
      <c r="E2821" s="2">
        <v>2176312.65</v>
      </c>
    </row>
    <row r="2822" spans="1:5" ht="15" x14ac:dyDescent="0.2">
      <c r="A2822" s="1" t="s">
        <v>72</v>
      </c>
      <c r="B2822" t="s">
        <v>10</v>
      </c>
      <c r="C2822" t="s">
        <v>60</v>
      </c>
      <c r="D2822">
        <v>89486</v>
      </c>
      <c r="E2822" s="2">
        <v>67145649.340000004</v>
      </c>
    </row>
    <row r="2823" spans="1:5" ht="15" x14ac:dyDescent="0.2">
      <c r="A2823" s="1" t="s">
        <v>81</v>
      </c>
      <c r="B2823" t="s">
        <v>14</v>
      </c>
      <c r="C2823" t="s">
        <v>60</v>
      </c>
      <c r="D2823">
        <v>89486</v>
      </c>
      <c r="E2823" s="2">
        <v>24867285.219999999</v>
      </c>
    </row>
    <row r="2824" spans="1:5" ht="15" x14ac:dyDescent="0.2">
      <c r="A2824" s="1" t="s">
        <v>70</v>
      </c>
      <c r="B2824" t="s">
        <v>8</v>
      </c>
      <c r="C2824" t="s">
        <v>60</v>
      </c>
      <c r="D2824">
        <v>89486</v>
      </c>
      <c r="E2824" s="2">
        <v>152318012.5</v>
      </c>
    </row>
    <row r="2825" spans="1:5" ht="15" x14ac:dyDescent="0.2">
      <c r="A2825" s="1" t="s">
        <v>89</v>
      </c>
      <c r="B2825" t="s">
        <v>28</v>
      </c>
      <c r="C2825" t="s">
        <v>61</v>
      </c>
      <c r="D2825">
        <v>11546</v>
      </c>
      <c r="E2825" s="2">
        <v>7740222.9400000004</v>
      </c>
    </row>
    <row r="2826" spans="1:5" ht="15" x14ac:dyDescent="0.2">
      <c r="A2826" s="1" t="s">
        <v>83</v>
      </c>
      <c r="B2826" t="s">
        <v>23</v>
      </c>
      <c r="C2826" t="s">
        <v>61</v>
      </c>
      <c r="D2826">
        <v>11546</v>
      </c>
      <c r="E2826" s="2">
        <v>0.14000000000000001</v>
      </c>
    </row>
    <row r="2827" spans="1:5" ht="15" x14ac:dyDescent="0.2">
      <c r="A2827" s="1" t="s">
        <v>74</v>
      </c>
      <c r="B2827" t="s">
        <v>11</v>
      </c>
      <c r="C2827" t="s">
        <v>61</v>
      </c>
      <c r="D2827">
        <v>11546</v>
      </c>
      <c r="E2827" s="2">
        <v>1158056.3999999999</v>
      </c>
    </row>
    <row r="2828" spans="1:5" ht="15" x14ac:dyDescent="0.2">
      <c r="A2828" s="1" t="s">
        <v>73</v>
      </c>
      <c r="B2828" t="s">
        <v>17</v>
      </c>
      <c r="C2828" t="s">
        <v>61</v>
      </c>
      <c r="D2828">
        <v>11546</v>
      </c>
      <c r="E2828" s="2">
        <v>3846205.61</v>
      </c>
    </row>
    <row r="2829" spans="1:5" ht="15" x14ac:dyDescent="0.2">
      <c r="A2829" s="1" t="s">
        <v>71</v>
      </c>
      <c r="B2829" t="s">
        <v>9</v>
      </c>
      <c r="C2829" t="s">
        <v>61</v>
      </c>
      <c r="D2829">
        <v>11546</v>
      </c>
      <c r="E2829" s="2">
        <v>17825228.149999999</v>
      </c>
    </row>
    <row r="2830" spans="1:5" ht="15" x14ac:dyDescent="0.2">
      <c r="A2830" s="1" t="s">
        <v>84</v>
      </c>
      <c r="B2830" t="s">
        <v>16</v>
      </c>
      <c r="C2830" t="s">
        <v>61</v>
      </c>
      <c r="D2830">
        <v>13175</v>
      </c>
      <c r="E2830" s="2">
        <v>748.86</v>
      </c>
    </row>
    <row r="2831" spans="1:5" ht="15" x14ac:dyDescent="0.2">
      <c r="A2831" s="1" t="s">
        <v>75</v>
      </c>
      <c r="B2831" t="s">
        <v>12</v>
      </c>
      <c r="C2831" t="s">
        <v>61</v>
      </c>
      <c r="D2831">
        <v>13175</v>
      </c>
      <c r="E2831" s="2">
        <v>7032277.2000000002</v>
      </c>
    </row>
    <row r="2832" spans="1:5" ht="15" x14ac:dyDescent="0.2">
      <c r="A2832" s="1" t="s">
        <v>78</v>
      </c>
      <c r="B2832" t="s">
        <v>20</v>
      </c>
      <c r="C2832" t="s">
        <v>61</v>
      </c>
      <c r="D2832">
        <v>13175</v>
      </c>
      <c r="E2832" s="2">
        <v>3612181.77</v>
      </c>
    </row>
    <row r="2833" spans="1:5" ht="15" x14ac:dyDescent="0.2">
      <c r="A2833" s="1" t="s">
        <v>102</v>
      </c>
      <c r="B2833" t="s">
        <v>36</v>
      </c>
      <c r="C2833" t="s">
        <v>61</v>
      </c>
      <c r="D2833">
        <v>13175</v>
      </c>
      <c r="E2833" s="2">
        <v>13755052.35</v>
      </c>
    </row>
    <row r="2834" spans="1:5" ht="15" x14ac:dyDescent="0.2">
      <c r="A2834" s="1" t="s">
        <v>69</v>
      </c>
      <c r="B2834" t="s">
        <v>7</v>
      </c>
      <c r="C2834" t="s">
        <v>61</v>
      </c>
      <c r="D2834">
        <v>13175</v>
      </c>
      <c r="E2834" s="2">
        <v>28517266.23</v>
      </c>
    </row>
    <row r="2835" spans="1:5" ht="15" x14ac:dyDescent="0.2">
      <c r="A2835" s="1" t="s">
        <v>64</v>
      </c>
      <c r="B2835" t="s">
        <v>3</v>
      </c>
      <c r="C2835" t="s">
        <v>61</v>
      </c>
      <c r="D2835">
        <v>15595</v>
      </c>
      <c r="E2835" s="2">
        <v>4788020.07</v>
      </c>
    </row>
    <row r="2836" spans="1:5" ht="15" x14ac:dyDescent="0.2">
      <c r="A2836" s="1" t="s">
        <v>84</v>
      </c>
      <c r="B2836" t="s">
        <v>16</v>
      </c>
      <c r="C2836" t="s">
        <v>61</v>
      </c>
      <c r="D2836">
        <v>15595</v>
      </c>
      <c r="E2836" s="2">
        <v>6866328.1399999997</v>
      </c>
    </row>
    <row r="2837" spans="1:5" ht="15" x14ac:dyDescent="0.2">
      <c r="A2837" s="1" t="s">
        <v>74</v>
      </c>
      <c r="B2837" t="s">
        <v>11</v>
      </c>
      <c r="C2837" t="s">
        <v>61</v>
      </c>
      <c r="D2837">
        <v>15595</v>
      </c>
      <c r="E2837" s="2">
        <v>2406352.12</v>
      </c>
    </row>
    <row r="2838" spans="1:5" ht="15" x14ac:dyDescent="0.2">
      <c r="A2838" s="1" t="s">
        <v>96</v>
      </c>
      <c r="B2838" t="s">
        <v>44</v>
      </c>
      <c r="C2838" t="s">
        <v>61</v>
      </c>
      <c r="D2838">
        <v>15595</v>
      </c>
      <c r="E2838" s="2">
        <v>13181712.640000001</v>
      </c>
    </row>
    <row r="2839" spans="1:5" ht="15" x14ac:dyDescent="0.2">
      <c r="A2839" s="1" t="s">
        <v>68</v>
      </c>
      <c r="B2839" t="s">
        <v>6</v>
      </c>
      <c r="C2839" t="s">
        <v>61</v>
      </c>
      <c r="D2839">
        <v>15595</v>
      </c>
      <c r="E2839" s="2">
        <v>5831642.0199999996</v>
      </c>
    </row>
    <row r="2840" spans="1:5" ht="15" x14ac:dyDescent="0.2">
      <c r="A2840" s="1" t="s">
        <v>71</v>
      </c>
      <c r="B2840" t="s">
        <v>9</v>
      </c>
      <c r="C2840" t="s">
        <v>61</v>
      </c>
      <c r="D2840">
        <v>15595</v>
      </c>
      <c r="E2840" s="2">
        <v>0.72</v>
      </c>
    </row>
    <row r="2841" spans="1:5" ht="15" x14ac:dyDescent="0.2">
      <c r="A2841" s="1" t="s">
        <v>72</v>
      </c>
      <c r="B2841" t="s">
        <v>10</v>
      </c>
      <c r="C2841" t="s">
        <v>61</v>
      </c>
      <c r="D2841">
        <v>17845</v>
      </c>
      <c r="E2841" s="2">
        <v>13710085.390000001</v>
      </c>
    </row>
    <row r="2842" spans="1:5" ht="15" x14ac:dyDescent="0.2">
      <c r="A2842" s="1" t="s">
        <v>77</v>
      </c>
      <c r="B2842" t="s">
        <v>18</v>
      </c>
      <c r="C2842" t="s">
        <v>61</v>
      </c>
      <c r="D2842">
        <v>17845</v>
      </c>
      <c r="E2842" s="2">
        <v>12464443.789999999</v>
      </c>
    </row>
    <row r="2843" spans="1:5" ht="15" x14ac:dyDescent="0.2">
      <c r="A2843" s="1" t="s">
        <v>91</v>
      </c>
      <c r="B2843" t="s">
        <v>30</v>
      </c>
      <c r="C2843" t="s">
        <v>61</v>
      </c>
      <c r="D2843">
        <v>20294</v>
      </c>
      <c r="E2843" s="2">
        <v>217600535.5</v>
      </c>
    </row>
    <row r="2844" spans="1:5" ht="15" x14ac:dyDescent="0.2">
      <c r="A2844" s="1" t="s">
        <v>96</v>
      </c>
      <c r="B2844" t="s">
        <v>44</v>
      </c>
      <c r="C2844" t="s">
        <v>61</v>
      </c>
      <c r="D2844">
        <v>20294</v>
      </c>
      <c r="E2844" s="2">
        <v>5402085.21</v>
      </c>
    </row>
    <row r="2845" spans="1:5" ht="15" x14ac:dyDescent="0.2">
      <c r="A2845" s="1" t="s">
        <v>64</v>
      </c>
      <c r="B2845" t="s">
        <v>3</v>
      </c>
      <c r="C2845" t="s">
        <v>61</v>
      </c>
      <c r="D2845">
        <v>23089</v>
      </c>
      <c r="E2845" s="2">
        <v>37502770.109999999</v>
      </c>
    </row>
    <row r="2846" spans="1:5" ht="15" x14ac:dyDescent="0.2">
      <c r="A2846" s="1" t="s">
        <v>78</v>
      </c>
      <c r="B2846" t="s">
        <v>20</v>
      </c>
      <c r="C2846" t="s">
        <v>61</v>
      </c>
      <c r="D2846">
        <v>23089</v>
      </c>
      <c r="E2846" s="2">
        <v>1456854.61</v>
      </c>
    </row>
    <row r="2847" spans="1:5" ht="15" x14ac:dyDescent="0.2">
      <c r="A2847" s="1" t="s">
        <v>82</v>
      </c>
      <c r="B2847" t="s">
        <v>15</v>
      </c>
      <c r="C2847" t="s">
        <v>61</v>
      </c>
      <c r="D2847">
        <v>23089</v>
      </c>
      <c r="E2847" s="2">
        <v>7299883.71</v>
      </c>
    </row>
    <row r="2848" spans="1:5" ht="15" x14ac:dyDescent="0.2">
      <c r="A2848" s="1" t="s">
        <v>79</v>
      </c>
      <c r="B2848" t="s">
        <v>21</v>
      </c>
      <c r="C2848" t="s">
        <v>61</v>
      </c>
      <c r="D2848">
        <v>24014</v>
      </c>
      <c r="E2848" s="2">
        <v>8328661.3600000003</v>
      </c>
    </row>
    <row r="2849" spans="1:5" ht="15" x14ac:dyDescent="0.2">
      <c r="A2849" s="1" t="s">
        <v>89</v>
      </c>
      <c r="B2849" t="s">
        <v>28</v>
      </c>
      <c r="C2849" t="s">
        <v>61</v>
      </c>
      <c r="D2849">
        <v>24014</v>
      </c>
      <c r="E2849" s="2">
        <v>9426169.4299999997</v>
      </c>
    </row>
    <row r="2850" spans="1:5" ht="15" x14ac:dyDescent="0.2">
      <c r="A2850" s="1" t="s">
        <v>85</v>
      </c>
      <c r="B2850" t="s">
        <v>24</v>
      </c>
      <c r="C2850" t="s">
        <v>61</v>
      </c>
      <c r="D2850">
        <v>24014</v>
      </c>
      <c r="E2850" s="2">
        <v>5634.17</v>
      </c>
    </row>
    <row r="2851" spans="1:5" ht="15" x14ac:dyDescent="0.2">
      <c r="A2851" s="1" t="s">
        <v>84</v>
      </c>
      <c r="B2851" t="s">
        <v>16</v>
      </c>
      <c r="C2851" t="s">
        <v>61</v>
      </c>
      <c r="D2851">
        <v>24014</v>
      </c>
      <c r="E2851" s="2">
        <v>7260235.7800000003</v>
      </c>
    </row>
    <row r="2852" spans="1:5" ht="15" x14ac:dyDescent="0.2">
      <c r="A2852" s="1" t="s">
        <v>102</v>
      </c>
      <c r="B2852" t="s">
        <v>36</v>
      </c>
      <c r="C2852" t="s">
        <v>61</v>
      </c>
      <c r="D2852">
        <v>24014</v>
      </c>
      <c r="E2852" s="2">
        <v>6101857.4800000004</v>
      </c>
    </row>
    <row r="2853" spans="1:5" ht="15" x14ac:dyDescent="0.2">
      <c r="A2853" s="1" t="s">
        <v>70</v>
      </c>
      <c r="B2853" t="s">
        <v>8</v>
      </c>
      <c r="C2853" t="s">
        <v>61</v>
      </c>
      <c r="D2853">
        <v>24014</v>
      </c>
      <c r="E2853" s="2">
        <v>111284399.62</v>
      </c>
    </row>
    <row r="2854" spans="1:5" ht="15" x14ac:dyDescent="0.2">
      <c r="A2854" s="1" t="s">
        <v>67</v>
      </c>
      <c r="B2854" t="s">
        <v>5</v>
      </c>
      <c r="C2854" t="s">
        <v>61</v>
      </c>
      <c r="D2854">
        <v>27896</v>
      </c>
      <c r="E2854" s="2">
        <v>-3764095.36</v>
      </c>
    </row>
    <row r="2855" spans="1:5" ht="15" x14ac:dyDescent="0.2">
      <c r="A2855" s="1" t="s">
        <v>79</v>
      </c>
      <c r="B2855" t="s">
        <v>21</v>
      </c>
      <c r="C2855" t="s">
        <v>61</v>
      </c>
      <c r="D2855">
        <v>27896</v>
      </c>
      <c r="E2855" s="2">
        <v>13140165.109999999</v>
      </c>
    </row>
    <row r="2856" spans="1:5" ht="15" x14ac:dyDescent="0.2">
      <c r="A2856" s="1" t="s">
        <v>103</v>
      </c>
      <c r="B2856" t="s">
        <v>37</v>
      </c>
      <c r="C2856" t="s">
        <v>61</v>
      </c>
      <c r="D2856">
        <v>27896</v>
      </c>
      <c r="E2856" s="2">
        <v>20528872.75</v>
      </c>
    </row>
    <row r="2857" spans="1:5" ht="15" x14ac:dyDescent="0.2">
      <c r="A2857" s="1" t="s">
        <v>70</v>
      </c>
      <c r="B2857" t="s">
        <v>8</v>
      </c>
      <c r="C2857" t="s">
        <v>61</v>
      </c>
      <c r="D2857">
        <v>27896</v>
      </c>
      <c r="E2857" s="2">
        <v>1014.98</v>
      </c>
    </row>
    <row r="2858" spans="1:5" ht="15" x14ac:dyDescent="0.2">
      <c r="A2858" s="1" t="s">
        <v>71</v>
      </c>
      <c r="B2858" t="s">
        <v>9</v>
      </c>
      <c r="C2858" t="s">
        <v>61</v>
      </c>
      <c r="D2858">
        <v>27896</v>
      </c>
      <c r="E2858" s="2">
        <v>22292211.260000002</v>
      </c>
    </row>
    <row r="2859" spans="1:5" ht="15" x14ac:dyDescent="0.2">
      <c r="A2859" s="1" t="s">
        <v>67</v>
      </c>
      <c r="B2859" t="s">
        <v>5</v>
      </c>
      <c r="C2859" t="s">
        <v>61</v>
      </c>
      <c r="D2859">
        <v>28350</v>
      </c>
      <c r="E2859" s="2">
        <v>-3068432.72</v>
      </c>
    </row>
    <row r="2860" spans="1:5" ht="15" x14ac:dyDescent="0.2">
      <c r="A2860" s="1" t="s">
        <v>79</v>
      </c>
      <c r="B2860" t="s">
        <v>21</v>
      </c>
      <c r="C2860" t="s">
        <v>61</v>
      </c>
      <c r="D2860">
        <v>28350</v>
      </c>
      <c r="E2860" s="2">
        <v>10272574.460000001</v>
      </c>
    </row>
    <row r="2861" spans="1:5" ht="15" x14ac:dyDescent="0.2">
      <c r="A2861" s="1" t="s">
        <v>64</v>
      </c>
      <c r="B2861" t="s">
        <v>3</v>
      </c>
      <c r="C2861" t="s">
        <v>61</v>
      </c>
      <c r="D2861">
        <v>28350</v>
      </c>
      <c r="E2861" s="2">
        <v>17041474.52</v>
      </c>
    </row>
    <row r="2862" spans="1:5" ht="15" x14ac:dyDescent="0.2">
      <c r="A2862" s="1" t="s">
        <v>84</v>
      </c>
      <c r="B2862" t="s">
        <v>16</v>
      </c>
      <c r="C2862" t="s">
        <v>61</v>
      </c>
      <c r="D2862">
        <v>28350</v>
      </c>
      <c r="E2862" s="2">
        <v>4601975.01</v>
      </c>
    </row>
    <row r="2863" spans="1:5" ht="15" x14ac:dyDescent="0.2">
      <c r="A2863" s="1" t="s">
        <v>78</v>
      </c>
      <c r="B2863" t="s">
        <v>20</v>
      </c>
      <c r="C2863" t="s">
        <v>61</v>
      </c>
      <c r="D2863">
        <v>28350</v>
      </c>
      <c r="E2863" s="2">
        <v>0.96</v>
      </c>
    </row>
    <row r="2864" spans="1:5" ht="15" x14ac:dyDescent="0.2">
      <c r="A2864" s="1" t="s">
        <v>87</v>
      </c>
      <c r="B2864" t="s">
        <v>26</v>
      </c>
      <c r="C2864" t="s">
        <v>61</v>
      </c>
      <c r="D2864">
        <v>28350</v>
      </c>
      <c r="E2864" s="2">
        <v>23998607.620000001</v>
      </c>
    </row>
    <row r="2865" spans="1:5" ht="15" x14ac:dyDescent="0.2">
      <c r="A2865" s="1" t="s">
        <v>73</v>
      </c>
      <c r="B2865" t="s">
        <v>17</v>
      </c>
      <c r="C2865" t="s">
        <v>61</v>
      </c>
      <c r="D2865">
        <v>28350</v>
      </c>
      <c r="E2865" s="2">
        <v>1229.6500000000001</v>
      </c>
    </row>
    <row r="2866" spans="1:5" ht="15" x14ac:dyDescent="0.2">
      <c r="A2866" s="1" t="s">
        <v>99</v>
      </c>
      <c r="B2866" t="s">
        <v>35</v>
      </c>
      <c r="C2866" t="s">
        <v>61</v>
      </c>
      <c r="D2866">
        <v>29282</v>
      </c>
      <c r="E2866" s="2">
        <v>33735294.990000002</v>
      </c>
    </row>
    <row r="2867" spans="1:5" ht="15" x14ac:dyDescent="0.2">
      <c r="A2867" s="1" t="s">
        <v>86</v>
      </c>
      <c r="B2867" t="s">
        <v>25</v>
      </c>
      <c r="C2867" t="s">
        <v>61</v>
      </c>
      <c r="D2867">
        <v>30310</v>
      </c>
      <c r="E2867" s="2">
        <v>6776215.21</v>
      </c>
    </row>
    <row r="2868" spans="1:5" ht="15" x14ac:dyDescent="0.2">
      <c r="A2868" s="1" t="s">
        <v>90</v>
      </c>
      <c r="B2868" t="s">
        <v>29</v>
      </c>
      <c r="C2868" t="s">
        <v>61</v>
      </c>
      <c r="D2868">
        <v>30310</v>
      </c>
      <c r="E2868" s="2">
        <v>28182381.760000002</v>
      </c>
    </row>
    <row r="2869" spans="1:5" ht="15" x14ac:dyDescent="0.2">
      <c r="A2869" s="1" t="s">
        <v>64</v>
      </c>
      <c r="B2869" t="s">
        <v>3</v>
      </c>
      <c r="C2869" t="s">
        <v>61</v>
      </c>
      <c r="D2869">
        <v>30310</v>
      </c>
      <c r="E2869" s="2">
        <v>36257410.140000001</v>
      </c>
    </row>
    <row r="2870" spans="1:5" ht="15" x14ac:dyDescent="0.2">
      <c r="A2870" s="1" t="s">
        <v>85</v>
      </c>
      <c r="B2870" t="s">
        <v>24</v>
      </c>
      <c r="C2870" t="s">
        <v>61</v>
      </c>
      <c r="D2870">
        <v>30310</v>
      </c>
      <c r="E2870" s="2">
        <v>1.4</v>
      </c>
    </row>
    <row r="2871" spans="1:5" ht="15" x14ac:dyDescent="0.2">
      <c r="A2871" s="1" t="s">
        <v>68</v>
      </c>
      <c r="B2871" t="s">
        <v>6</v>
      </c>
      <c r="C2871" t="s">
        <v>61</v>
      </c>
      <c r="D2871">
        <v>30310</v>
      </c>
      <c r="E2871" s="2">
        <v>8737306.6999999993</v>
      </c>
    </row>
    <row r="2872" spans="1:5" ht="15" x14ac:dyDescent="0.2">
      <c r="A2872" s="1" t="s">
        <v>103</v>
      </c>
      <c r="B2872" t="s">
        <v>37</v>
      </c>
      <c r="C2872" t="s">
        <v>61</v>
      </c>
      <c r="D2872">
        <v>30310</v>
      </c>
      <c r="E2872" s="2">
        <v>7548007.0300000003</v>
      </c>
    </row>
    <row r="2873" spans="1:5" ht="15" x14ac:dyDescent="0.2">
      <c r="A2873" s="1" t="s">
        <v>69</v>
      </c>
      <c r="B2873" t="s">
        <v>7</v>
      </c>
      <c r="C2873" t="s">
        <v>61</v>
      </c>
      <c r="D2873">
        <v>30310</v>
      </c>
      <c r="E2873" s="2">
        <v>22551026.289999999</v>
      </c>
    </row>
    <row r="2874" spans="1:5" ht="15" x14ac:dyDescent="0.2">
      <c r="A2874" s="1" t="s">
        <v>67</v>
      </c>
      <c r="B2874" t="s">
        <v>5</v>
      </c>
      <c r="C2874" t="s">
        <v>61</v>
      </c>
      <c r="D2874">
        <v>35143</v>
      </c>
      <c r="E2874" s="2">
        <v>-4181105.14</v>
      </c>
    </row>
    <row r="2875" spans="1:5" ht="15" x14ac:dyDescent="0.2">
      <c r="A2875" s="1" t="s">
        <v>94</v>
      </c>
      <c r="B2875" t="s">
        <v>33</v>
      </c>
      <c r="C2875" t="s">
        <v>61</v>
      </c>
      <c r="D2875">
        <v>35143</v>
      </c>
      <c r="E2875" s="2">
        <v>77022539.459999993</v>
      </c>
    </row>
    <row r="2876" spans="1:5" ht="15" x14ac:dyDescent="0.2">
      <c r="A2876" s="1" t="s">
        <v>81</v>
      </c>
      <c r="B2876" t="s">
        <v>14</v>
      </c>
      <c r="C2876" t="s">
        <v>61</v>
      </c>
      <c r="D2876">
        <v>35143</v>
      </c>
      <c r="E2876" s="2">
        <v>14528619.99</v>
      </c>
    </row>
    <row r="2877" spans="1:5" ht="15" x14ac:dyDescent="0.2">
      <c r="A2877" s="1" t="s">
        <v>88</v>
      </c>
      <c r="B2877" t="s">
        <v>27</v>
      </c>
      <c r="C2877" t="s">
        <v>61</v>
      </c>
      <c r="D2877">
        <v>35143</v>
      </c>
      <c r="E2877" s="2">
        <v>8434849.25</v>
      </c>
    </row>
    <row r="2878" spans="1:5" ht="15" x14ac:dyDescent="0.2">
      <c r="A2878" s="1" t="s">
        <v>105</v>
      </c>
      <c r="B2878" t="s">
        <v>41</v>
      </c>
      <c r="C2878" t="s">
        <v>61</v>
      </c>
      <c r="D2878">
        <v>35143</v>
      </c>
      <c r="E2878" s="2">
        <v>10005890.1</v>
      </c>
    </row>
    <row r="2879" spans="1:5" ht="15" x14ac:dyDescent="0.2">
      <c r="A2879" s="1" t="s">
        <v>70</v>
      </c>
      <c r="B2879" t="s">
        <v>8</v>
      </c>
      <c r="C2879" t="s">
        <v>61</v>
      </c>
      <c r="D2879">
        <v>35143</v>
      </c>
      <c r="E2879" s="2">
        <v>43365987.25</v>
      </c>
    </row>
    <row r="2880" spans="1:5" ht="15" x14ac:dyDescent="0.2">
      <c r="A2880" s="1" t="s">
        <v>89</v>
      </c>
      <c r="B2880" t="s">
        <v>28</v>
      </c>
      <c r="C2880" t="s">
        <v>61</v>
      </c>
      <c r="D2880">
        <v>35207</v>
      </c>
      <c r="E2880" s="2">
        <v>789288.73</v>
      </c>
    </row>
    <row r="2881" spans="1:5" ht="15" x14ac:dyDescent="0.2">
      <c r="A2881" s="1" t="s">
        <v>90</v>
      </c>
      <c r="B2881" t="s">
        <v>29</v>
      </c>
      <c r="C2881" t="s">
        <v>61</v>
      </c>
      <c r="D2881">
        <v>35207</v>
      </c>
      <c r="E2881" s="2">
        <v>12063794.890000001</v>
      </c>
    </row>
    <row r="2882" spans="1:5" ht="15" x14ac:dyDescent="0.2">
      <c r="A2882" s="1" t="s">
        <v>74</v>
      </c>
      <c r="B2882" t="s">
        <v>11</v>
      </c>
      <c r="C2882" t="s">
        <v>61</v>
      </c>
      <c r="D2882">
        <v>35207</v>
      </c>
      <c r="E2882" s="2">
        <v>2021430.96</v>
      </c>
    </row>
    <row r="2883" spans="1:5" ht="15" x14ac:dyDescent="0.2">
      <c r="A2883" s="1" t="s">
        <v>78</v>
      </c>
      <c r="B2883" t="s">
        <v>20</v>
      </c>
      <c r="C2883" t="s">
        <v>61</v>
      </c>
      <c r="D2883">
        <v>35207</v>
      </c>
      <c r="E2883" s="2">
        <v>1399472.94</v>
      </c>
    </row>
    <row r="2884" spans="1:5" ht="15" x14ac:dyDescent="0.2">
      <c r="A2884" s="1" t="s">
        <v>75</v>
      </c>
      <c r="B2884" t="s">
        <v>19</v>
      </c>
      <c r="C2884" t="s">
        <v>61</v>
      </c>
      <c r="D2884">
        <v>35207</v>
      </c>
      <c r="E2884" s="2">
        <v>13166537.279999999</v>
      </c>
    </row>
    <row r="2885" spans="1:5" ht="15" x14ac:dyDescent="0.2">
      <c r="A2885" s="1" t="s">
        <v>82</v>
      </c>
      <c r="B2885" t="s">
        <v>15</v>
      </c>
      <c r="C2885" t="s">
        <v>61</v>
      </c>
      <c r="D2885">
        <v>35207</v>
      </c>
      <c r="E2885" s="2">
        <v>10572705.279999999</v>
      </c>
    </row>
    <row r="2886" spans="1:5" ht="15" x14ac:dyDescent="0.2">
      <c r="A2886" s="1" t="s">
        <v>90</v>
      </c>
      <c r="B2886" t="s">
        <v>29</v>
      </c>
      <c r="C2886" t="s">
        <v>61</v>
      </c>
      <c r="D2886">
        <v>36135</v>
      </c>
      <c r="E2886" s="2">
        <v>14742659.52</v>
      </c>
    </row>
    <row r="2887" spans="1:5" ht="15" x14ac:dyDescent="0.2">
      <c r="A2887" s="1" t="s">
        <v>87</v>
      </c>
      <c r="B2887" t="s">
        <v>26</v>
      </c>
      <c r="C2887" t="s">
        <v>61</v>
      </c>
      <c r="D2887">
        <v>36135</v>
      </c>
      <c r="E2887" s="2">
        <v>8198822.54</v>
      </c>
    </row>
    <row r="2888" spans="1:5" ht="15" x14ac:dyDescent="0.2">
      <c r="A2888" s="1" t="s">
        <v>85</v>
      </c>
      <c r="B2888" t="s">
        <v>24</v>
      </c>
      <c r="C2888" t="s">
        <v>61</v>
      </c>
      <c r="D2888">
        <v>36768</v>
      </c>
      <c r="E2888" s="2">
        <v>2038.25</v>
      </c>
    </row>
    <row r="2889" spans="1:5" ht="15" x14ac:dyDescent="0.2">
      <c r="A2889" s="1" t="s">
        <v>84</v>
      </c>
      <c r="B2889" t="s">
        <v>16</v>
      </c>
      <c r="C2889" t="s">
        <v>61</v>
      </c>
      <c r="D2889">
        <v>36768</v>
      </c>
      <c r="E2889" s="2">
        <v>12716949.220000001</v>
      </c>
    </row>
    <row r="2890" spans="1:5" ht="15" x14ac:dyDescent="0.2">
      <c r="A2890" s="1" t="s">
        <v>97</v>
      </c>
      <c r="B2890" t="s">
        <v>42</v>
      </c>
      <c r="C2890" t="s">
        <v>61</v>
      </c>
      <c r="D2890">
        <v>36768</v>
      </c>
      <c r="E2890" s="2">
        <v>3689980</v>
      </c>
    </row>
    <row r="2891" spans="1:5" ht="15" x14ac:dyDescent="0.2">
      <c r="A2891" s="1" t="s">
        <v>88</v>
      </c>
      <c r="B2891" t="s">
        <v>27</v>
      </c>
      <c r="C2891" t="s">
        <v>61</v>
      </c>
      <c r="D2891">
        <v>36768</v>
      </c>
      <c r="E2891" s="2">
        <v>29443394.27</v>
      </c>
    </row>
    <row r="2892" spans="1:5" ht="15" x14ac:dyDescent="0.2">
      <c r="A2892" s="1" t="s">
        <v>71</v>
      </c>
      <c r="B2892" t="s">
        <v>9</v>
      </c>
      <c r="C2892" t="s">
        <v>61</v>
      </c>
      <c r="D2892">
        <v>36768</v>
      </c>
      <c r="E2892" s="2">
        <v>39452098.920000002</v>
      </c>
    </row>
    <row r="2893" spans="1:5" ht="15" x14ac:dyDescent="0.2">
      <c r="A2893" s="1" t="s">
        <v>90</v>
      </c>
      <c r="B2893" t="s">
        <v>29</v>
      </c>
      <c r="C2893" t="s">
        <v>61</v>
      </c>
      <c r="D2893">
        <v>37424</v>
      </c>
      <c r="E2893" s="2">
        <v>7740452.2300000004</v>
      </c>
    </row>
    <row r="2894" spans="1:5" ht="15" x14ac:dyDescent="0.2">
      <c r="A2894" s="1" t="s">
        <v>94</v>
      </c>
      <c r="B2894" t="s">
        <v>33</v>
      </c>
      <c r="C2894" t="s">
        <v>61</v>
      </c>
      <c r="D2894">
        <v>37424</v>
      </c>
      <c r="E2894" s="2">
        <v>73082855.730000004</v>
      </c>
    </row>
    <row r="2895" spans="1:5" ht="15" x14ac:dyDescent="0.2">
      <c r="A2895" s="1" t="s">
        <v>76</v>
      </c>
      <c r="B2895" t="s">
        <v>13</v>
      </c>
      <c r="C2895" t="s">
        <v>61</v>
      </c>
      <c r="D2895">
        <v>37424</v>
      </c>
      <c r="E2895" s="2">
        <v>14850134.640000001</v>
      </c>
    </row>
    <row r="2896" spans="1:5" ht="15" x14ac:dyDescent="0.2">
      <c r="A2896" s="1" t="s">
        <v>83</v>
      </c>
      <c r="B2896" t="s">
        <v>23</v>
      </c>
      <c r="C2896" t="s">
        <v>61</v>
      </c>
      <c r="D2896">
        <v>37424</v>
      </c>
      <c r="E2896" s="2">
        <v>20575871.57</v>
      </c>
    </row>
    <row r="2897" spans="1:5" ht="15" x14ac:dyDescent="0.2">
      <c r="A2897" s="1" t="s">
        <v>97</v>
      </c>
      <c r="B2897" t="s">
        <v>42</v>
      </c>
      <c r="C2897" t="s">
        <v>61</v>
      </c>
      <c r="D2897">
        <v>37424</v>
      </c>
      <c r="E2897" s="2">
        <v>10694878.810000001</v>
      </c>
    </row>
    <row r="2898" spans="1:5" ht="15" x14ac:dyDescent="0.2">
      <c r="A2898" s="1" t="s">
        <v>75</v>
      </c>
      <c r="B2898" t="s">
        <v>19</v>
      </c>
      <c r="C2898" t="s">
        <v>61</v>
      </c>
      <c r="D2898">
        <v>37424</v>
      </c>
      <c r="E2898" s="2">
        <v>7869178.2300000004</v>
      </c>
    </row>
    <row r="2899" spans="1:5" ht="15" x14ac:dyDescent="0.2">
      <c r="A2899" s="1" t="s">
        <v>71</v>
      </c>
      <c r="B2899" t="s">
        <v>9</v>
      </c>
      <c r="C2899" t="s">
        <v>61</v>
      </c>
      <c r="D2899">
        <v>37424</v>
      </c>
      <c r="E2899" s="2">
        <v>16313474.98</v>
      </c>
    </row>
    <row r="2900" spans="1:5" ht="15" x14ac:dyDescent="0.2">
      <c r="A2900" s="1" t="s">
        <v>80</v>
      </c>
      <c r="B2900" t="s">
        <v>22</v>
      </c>
      <c r="C2900" t="s">
        <v>61</v>
      </c>
      <c r="D2900">
        <v>38696</v>
      </c>
      <c r="E2900" s="2">
        <v>5617626.7999999998</v>
      </c>
    </row>
    <row r="2901" spans="1:5" ht="15" x14ac:dyDescent="0.2">
      <c r="A2901" s="1" t="s">
        <v>74</v>
      </c>
      <c r="B2901" t="s">
        <v>11</v>
      </c>
      <c r="C2901" t="s">
        <v>61</v>
      </c>
      <c r="D2901">
        <v>38696</v>
      </c>
      <c r="E2901" s="2">
        <v>1582080.96</v>
      </c>
    </row>
    <row r="2902" spans="1:5" ht="15" x14ac:dyDescent="0.2">
      <c r="A2902" s="1" t="s">
        <v>85</v>
      </c>
      <c r="B2902" t="s">
        <v>24</v>
      </c>
      <c r="C2902" t="s">
        <v>61</v>
      </c>
      <c r="D2902">
        <v>41143</v>
      </c>
      <c r="E2902" s="2">
        <v>17133821.129999999</v>
      </c>
    </row>
    <row r="2903" spans="1:5" ht="15" x14ac:dyDescent="0.2">
      <c r="A2903" s="1" t="s">
        <v>68</v>
      </c>
      <c r="B2903" t="s">
        <v>6</v>
      </c>
      <c r="C2903" t="s">
        <v>61</v>
      </c>
      <c r="D2903">
        <v>41143</v>
      </c>
      <c r="E2903" s="2">
        <v>5312773.45</v>
      </c>
    </row>
    <row r="2904" spans="1:5" ht="15" x14ac:dyDescent="0.2">
      <c r="A2904" s="1" t="s">
        <v>69</v>
      </c>
      <c r="B2904" t="s">
        <v>7</v>
      </c>
      <c r="C2904" t="s">
        <v>61</v>
      </c>
      <c r="D2904">
        <v>41143</v>
      </c>
      <c r="E2904" s="2">
        <v>3290665.32</v>
      </c>
    </row>
    <row r="2905" spans="1:5" ht="15" x14ac:dyDescent="0.2">
      <c r="A2905" s="1" t="s">
        <v>71</v>
      </c>
      <c r="B2905" t="s">
        <v>9</v>
      </c>
      <c r="C2905" t="s">
        <v>61</v>
      </c>
      <c r="D2905">
        <v>41143</v>
      </c>
      <c r="E2905" s="2">
        <v>994.92</v>
      </c>
    </row>
    <row r="2906" spans="1:5" ht="15" x14ac:dyDescent="0.2">
      <c r="A2906" s="1" t="s">
        <v>97</v>
      </c>
      <c r="B2906" t="s">
        <v>42</v>
      </c>
      <c r="C2906" t="s">
        <v>61</v>
      </c>
      <c r="D2906">
        <v>43566</v>
      </c>
      <c r="E2906" s="2">
        <v>6861406.6200000001</v>
      </c>
    </row>
    <row r="2907" spans="1:5" ht="15" x14ac:dyDescent="0.2">
      <c r="A2907" s="1" t="s">
        <v>77</v>
      </c>
      <c r="B2907" t="s">
        <v>18</v>
      </c>
      <c r="C2907" t="s">
        <v>61</v>
      </c>
      <c r="D2907">
        <v>43566</v>
      </c>
      <c r="E2907" s="2">
        <v>81947972.450000003</v>
      </c>
    </row>
    <row r="2908" spans="1:5" ht="15" x14ac:dyDescent="0.2">
      <c r="A2908" s="1" t="s">
        <v>87</v>
      </c>
      <c r="B2908" t="s">
        <v>26</v>
      </c>
      <c r="C2908" t="s">
        <v>61</v>
      </c>
      <c r="D2908">
        <v>43566</v>
      </c>
      <c r="E2908" s="2">
        <v>8214685.79</v>
      </c>
    </row>
    <row r="2909" spans="1:5" ht="15" x14ac:dyDescent="0.2">
      <c r="A2909" s="1" t="s">
        <v>105</v>
      </c>
      <c r="B2909" t="s">
        <v>41</v>
      </c>
      <c r="C2909" t="s">
        <v>61</v>
      </c>
      <c r="D2909">
        <v>43566</v>
      </c>
      <c r="E2909" s="2">
        <v>4202574.45</v>
      </c>
    </row>
    <row r="2910" spans="1:5" ht="15" x14ac:dyDescent="0.2">
      <c r="A2910" s="1" t="s">
        <v>69</v>
      </c>
      <c r="B2910" t="s">
        <v>7</v>
      </c>
      <c r="C2910" t="s">
        <v>61</v>
      </c>
      <c r="D2910">
        <v>43566</v>
      </c>
      <c r="E2910" s="2">
        <v>22590532.870000001</v>
      </c>
    </row>
    <row r="2911" spans="1:5" ht="15" x14ac:dyDescent="0.2">
      <c r="A2911" s="1" t="s">
        <v>86</v>
      </c>
      <c r="B2911" t="s">
        <v>25</v>
      </c>
      <c r="C2911" t="s">
        <v>61</v>
      </c>
      <c r="D2911">
        <v>44852</v>
      </c>
      <c r="E2911" s="2">
        <v>0.55000000000000004</v>
      </c>
    </row>
    <row r="2912" spans="1:5" ht="15" x14ac:dyDescent="0.2">
      <c r="A2912" s="1" t="s">
        <v>89</v>
      </c>
      <c r="B2912" t="s">
        <v>28</v>
      </c>
      <c r="C2912" t="s">
        <v>61</v>
      </c>
      <c r="D2912">
        <v>44852</v>
      </c>
      <c r="E2912" s="2">
        <v>11478415.1</v>
      </c>
    </row>
    <row r="2913" spans="1:5" ht="15" x14ac:dyDescent="0.2">
      <c r="A2913" s="1" t="s">
        <v>90</v>
      </c>
      <c r="B2913" t="s">
        <v>29</v>
      </c>
      <c r="C2913" t="s">
        <v>61</v>
      </c>
      <c r="D2913">
        <v>44852</v>
      </c>
      <c r="E2913" s="2">
        <v>16998677.359999999</v>
      </c>
    </row>
    <row r="2914" spans="1:5" ht="15" x14ac:dyDescent="0.2">
      <c r="A2914" s="1" t="s">
        <v>94</v>
      </c>
      <c r="B2914" t="s">
        <v>33</v>
      </c>
      <c r="C2914" t="s">
        <v>61</v>
      </c>
      <c r="D2914">
        <v>44852</v>
      </c>
      <c r="E2914" s="2">
        <v>107024330.54000001</v>
      </c>
    </row>
    <row r="2915" spans="1:5" ht="15" x14ac:dyDescent="0.2">
      <c r="A2915" s="1" t="s">
        <v>84</v>
      </c>
      <c r="B2915" t="s">
        <v>16</v>
      </c>
      <c r="C2915" t="s">
        <v>61</v>
      </c>
      <c r="D2915">
        <v>44852</v>
      </c>
      <c r="E2915" s="2">
        <v>6529611.3600000003</v>
      </c>
    </row>
    <row r="2916" spans="1:5" ht="15" x14ac:dyDescent="0.2">
      <c r="A2916" s="1" t="s">
        <v>82</v>
      </c>
      <c r="B2916" t="s">
        <v>15</v>
      </c>
      <c r="C2916" t="s">
        <v>61</v>
      </c>
      <c r="D2916">
        <v>44852</v>
      </c>
      <c r="E2916" s="2">
        <v>13363444.890000001</v>
      </c>
    </row>
    <row r="2917" spans="1:5" ht="15" x14ac:dyDescent="0.2">
      <c r="A2917" s="1" t="s">
        <v>86</v>
      </c>
      <c r="B2917" t="s">
        <v>25</v>
      </c>
      <c r="C2917" t="s">
        <v>61</v>
      </c>
      <c r="D2917">
        <v>45792</v>
      </c>
      <c r="E2917" s="2">
        <v>28441171.969999999</v>
      </c>
    </row>
    <row r="2918" spans="1:5" ht="15" x14ac:dyDescent="0.2">
      <c r="A2918" s="1" t="s">
        <v>80</v>
      </c>
      <c r="B2918" t="s">
        <v>22</v>
      </c>
      <c r="C2918" t="s">
        <v>61</v>
      </c>
      <c r="D2918">
        <v>45792</v>
      </c>
      <c r="E2918" s="2">
        <v>11803232.33</v>
      </c>
    </row>
    <row r="2919" spans="1:5" ht="15" x14ac:dyDescent="0.2">
      <c r="A2919" s="1" t="s">
        <v>87</v>
      </c>
      <c r="B2919" t="s">
        <v>26</v>
      </c>
      <c r="C2919" t="s">
        <v>61</v>
      </c>
      <c r="D2919">
        <v>45792</v>
      </c>
      <c r="E2919" s="2">
        <v>9980906.9199999999</v>
      </c>
    </row>
    <row r="2920" spans="1:5" ht="15" x14ac:dyDescent="0.2">
      <c r="A2920" s="1" t="s">
        <v>105</v>
      </c>
      <c r="B2920" t="s">
        <v>41</v>
      </c>
      <c r="C2920" t="s">
        <v>61</v>
      </c>
      <c r="D2920">
        <v>45792</v>
      </c>
      <c r="E2920" s="2">
        <v>11312318.359999999</v>
      </c>
    </row>
    <row r="2921" spans="1:5" ht="15" x14ac:dyDescent="0.2">
      <c r="A2921" s="1" t="s">
        <v>86</v>
      </c>
      <c r="B2921" t="s">
        <v>25</v>
      </c>
      <c r="C2921" t="s">
        <v>61</v>
      </c>
      <c r="D2921">
        <v>47097</v>
      </c>
      <c r="E2921" s="2">
        <v>178.6</v>
      </c>
    </row>
    <row r="2922" spans="1:5" ht="15" x14ac:dyDescent="0.2">
      <c r="A2922" s="1" t="s">
        <v>79</v>
      </c>
      <c r="B2922" t="s">
        <v>21</v>
      </c>
      <c r="C2922" t="s">
        <v>61</v>
      </c>
      <c r="D2922">
        <v>47097</v>
      </c>
      <c r="E2922" s="2">
        <v>22155033.300000001</v>
      </c>
    </row>
    <row r="2923" spans="1:5" ht="15" x14ac:dyDescent="0.2">
      <c r="A2923" s="1" t="s">
        <v>89</v>
      </c>
      <c r="B2923" t="s">
        <v>28</v>
      </c>
      <c r="C2923" t="s">
        <v>61</v>
      </c>
      <c r="D2923">
        <v>47097</v>
      </c>
      <c r="E2923" s="2">
        <v>9823369.4800000004</v>
      </c>
    </row>
    <row r="2924" spans="1:5" ht="15" x14ac:dyDescent="0.2">
      <c r="A2924" s="1" t="s">
        <v>83</v>
      </c>
      <c r="B2924" t="s">
        <v>23</v>
      </c>
      <c r="C2924" t="s">
        <v>61</v>
      </c>
      <c r="D2924">
        <v>47097</v>
      </c>
      <c r="E2924" s="2">
        <v>11289537.65</v>
      </c>
    </row>
    <row r="2925" spans="1:5" ht="15" x14ac:dyDescent="0.2">
      <c r="A2925" s="1" t="s">
        <v>100</v>
      </c>
      <c r="B2925" t="s">
        <v>43</v>
      </c>
      <c r="C2925" t="s">
        <v>61</v>
      </c>
      <c r="D2925">
        <v>47097</v>
      </c>
      <c r="E2925" s="2">
        <v>4178089.23</v>
      </c>
    </row>
    <row r="2926" spans="1:5" ht="15" x14ac:dyDescent="0.2">
      <c r="A2926" s="1" t="s">
        <v>88</v>
      </c>
      <c r="B2926" t="s">
        <v>27</v>
      </c>
      <c r="C2926" t="s">
        <v>61</v>
      </c>
      <c r="D2926">
        <v>47097</v>
      </c>
      <c r="E2926" s="2">
        <v>13488376.449999999</v>
      </c>
    </row>
    <row r="2927" spans="1:5" ht="15" x14ac:dyDescent="0.2">
      <c r="A2927" s="1" t="s">
        <v>73</v>
      </c>
      <c r="B2927" t="s">
        <v>17</v>
      </c>
      <c r="C2927" t="s">
        <v>61</v>
      </c>
      <c r="D2927">
        <v>47097</v>
      </c>
      <c r="E2927" s="2">
        <v>6415669.9100000001</v>
      </c>
    </row>
    <row r="2928" spans="1:5" ht="15" x14ac:dyDescent="0.2">
      <c r="A2928" s="1" t="s">
        <v>70</v>
      </c>
      <c r="B2928" t="s">
        <v>8</v>
      </c>
      <c r="C2928" t="s">
        <v>61</v>
      </c>
      <c r="D2928">
        <v>47097</v>
      </c>
      <c r="E2928" s="2">
        <v>74231964.540000007</v>
      </c>
    </row>
    <row r="2929" spans="1:5" ht="15" x14ac:dyDescent="0.2">
      <c r="A2929" s="1" t="s">
        <v>86</v>
      </c>
      <c r="B2929" t="s">
        <v>25</v>
      </c>
      <c r="C2929" t="s">
        <v>61</v>
      </c>
      <c r="D2929">
        <v>51457</v>
      </c>
      <c r="E2929" s="2">
        <v>14995368.560000001</v>
      </c>
    </row>
    <row r="2930" spans="1:5" ht="15" x14ac:dyDescent="0.2">
      <c r="A2930" s="1" t="s">
        <v>94</v>
      </c>
      <c r="B2930" t="s">
        <v>33</v>
      </c>
      <c r="C2930" t="s">
        <v>61</v>
      </c>
      <c r="D2930">
        <v>51457</v>
      </c>
      <c r="E2930" s="2">
        <v>39662673.560000002</v>
      </c>
    </row>
    <row r="2931" spans="1:5" ht="15" x14ac:dyDescent="0.2">
      <c r="A2931" s="1" t="s">
        <v>64</v>
      </c>
      <c r="B2931" t="s">
        <v>3</v>
      </c>
      <c r="C2931" t="s">
        <v>61</v>
      </c>
      <c r="D2931">
        <v>51457</v>
      </c>
      <c r="E2931" s="2">
        <v>26853091.739999998</v>
      </c>
    </row>
    <row r="2932" spans="1:5" ht="15" x14ac:dyDescent="0.2">
      <c r="A2932" s="1" t="s">
        <v>99</v>
      </c>
      <c r="B2932" t="s">
        <v>35</v>
      </c>
      <c r="C2932" t="s">
        <v>61</v>
      </c>
      <c r="D2932">
        <v>51457</v>
      </c>
      <c r="E2932" s="2">
        <v>61393244.149999999</v>
      </c>
    </row>
    <row r="2933" spans="1:5" ht="15" x14ac:dyDescent="0.2">
      <c r="A2933" s="1" t="s">
        <v>78</v>
      </c>
      <c r="B2933" t="s">
        <v>20</v>
      </c>
      <c r="C2933" t="s">
        <v>61</v>
      </c>
      <c r="D2933">
        <v>51457</v>
      </c>
      <c r="E2933" s="2">
        <v>1.33</v>
      </c>
    </row>
    <row r="2934" spans="1:5" ht="15" x14ac:dyDescent="0.2">
      <c r="A2934" s="1" t="s">
        <v>88</v>
      </c>
      <c r="B2934" t="s">
        <v>27</v>
      </c>
      <c r="C2934" t="s">
        <v>61</v>
      </c>
      <c r="D2934">
        <v>51457</v>
      </c>
      <c r="E2934" s="2">
        <v>11521731.859999999</v>
      </c>
    </row>
    <row r="2935" spans="1:5" ht="15" x14ac:dyDescent="0.2">
      <c r="A2935" s="1" t="s">
        <v>90</v>
      </c>
      <c r="B2935" t="s">
        <v>29</v>
      </c>
      <c r="C2935" t="s">
        <v>61</v>
      </c>
      <c r="D2935">
        <v>53789</v>
      </c>
      <c r="E2935" s="2">
        <v>14418390.699999999</v>
      </c>
    </row>
    <row r="2936" spans="1:5" ht="15" x14ac:dyDescent="0.2">
      <c r="A2936" s="1" t="s">
        <v>85</v>
      </c>
      <c r="B2936" t="s">
        <v>24</v>
      </c>
      <c r="C2936" t="s">
        <v>61</v>
      </c>
      <c r="D2936">
        <v>53789</v>
      </c>
      <c r="E2936" s="2">
        <v>14655.33</v>
      </c>
    </row>
    <row r="2937" spans="1:5" ht="15" x14ac:dyDescent="0.2">
      <c r="A2937" s="1" t="s">
        <v>87</v>
      </c>
      <c r="B2937" t="s">
        <v>26</v>
      </c>
      <c r="C2937" t="s">
        <v>61</v>
      </c>
      <c r="D2937">
        <v>53789</v>
      </c>
      <c r="E2937" s="2">
        <v>696.17</v>
      </c>
    </row>
    <row r="2938" spans="1:5" ht="15" x14ac:dyDescent="0.2">
      <c r="A2938" s="1" t="s">
        <v>75</v>
      </c>
      <c r="B2938" t="s">
        <v>19</v>
      </c>
      <c r="C2938" t="s">
        <v>61</v>
      </c>
      <c r="D2938">
        <v>53789</v>
      </c>
      <c r="E2938" s="2">
        <v>10179669.460000001</v>
      </c>
    </row>
    <row r="2939" spans="1:5" ht="15" x14ac:dyDescent="0.2">
      <c r="A2939" s="1" t="s">
        <v>69</v>
      </c>
      <c r="B2939" t="s">
        <v>7</v>
      </c>
      <c r="C2939" t="s">
        <v>61</v>
      </c>
      <c r="D2939">
        <v>53789</v>
      </c>
      <c r="E2939" s="2">
        <v>23214232.059999999</v>
      </c>
    </row>
    <row r="2940" spans="1:5" ht="15" x14ac:dyDescent="0.2">
      <c r="A2940" s="1" t="s">
        <v>94</v>
      </c>
      <c r="B2940" t="s">
        <v>33</v>
      </c>
      <c r="C2940" t="s">
        <v>61</v>
      </c>
      <c r="D2940">
        <v>56073</v>
      </c>
      <c r="E2940" s="2">
        <v>63074541.409999996</v>
      </c>
    </row>
    <row r="2941" spans="1:5" ht="15" x14ac:dyDescent="0.2">
      <c r="A2941" s="1" t="s">
        <v>85</v>
      </c>
      <c r="B2941" t="s">
        <v>24</v>
      </c>
      <c r="C2941" t="s">
        <v>61</v>
      </c>
      <c r="D2941">
        <v>56073</v>
      </c>
      <c r="E2941" s="2">
        <v>45546619.229999997</v>
      </c>
    </row>
    <row r="2942" spans="1:5" ht="15" x14ac:dyDescent="0.2">
      <c r="A2942" s="1" t="s">
        <v>97</v>
      </c>
      <c r="B2942" t="s">
        <v>42</v>
      </c>
      <c r="C2942" t="s">
        <v>61</v>
      </c>
      <c r="D2942">
        <v>56073</v>
      </c>
      <c r="E2942" s="2">
        <v>0.49</v>
      </c>
    </row>
    <row r="2943" spans="1:5" ht="15" x14ac:dyDescent="0.2">
      <c r="A2943" s="1" t="s">
        <v>87</v>
      </c>
      <c r="B2943" t="s">
        <v>26</v>
      </c>
      <c r="C2943" t="s">
        <v>61</v>
      </c>
      <c r="D2943">
        <v>56073</v>
      </c>
      <c r="E2943" s="2">
        <v>5063403.96</v>
      </c>
    </row>
    <row r="2944" spans="1:5" ht="15" x14ac:dyDescent="0.2">
      <c r="A2944" s="1" t="s">
        <v>75</v>
      </c>
      <c r="B2944" t="s">
        <v>19</v>
      </c>
      <c r="C2944" t="s">
        <v>61</v>
      </c>
      <c r="D2944">
        <v>56073</v>
      </c>
      <c r="E2944" s="2">
        <v>7429843.7800000003</v>
      </c>
    </row>
    <row r="2945" spans="1:5" ht="15" x14ac:dyDescent="0.2">
      <c r="A2945" s="1" t="s">
        <v>104</v>
      </c>
      <c r="B2945" t="s">
        <v>40</v>
      </c>
      <c r="C2945" t="s">
        <v>61</v>
      </c>
      <c r="D2945">
        <v>56073</v>
      </c>
      <c r="E2945" s="2">
        <v>0.69</v>
      </c>
    </row>
    <row r="2946" spans="1:5" ht="15" x14ac:dyDescent="0.2">
      <c r="A2946" s="1" t="s">
        <v>79</v>
      </c>
      <c r="B2946" t="s">
        <v>21</v>
      </c>
      <c r="C2946" t="s">
        <v>61</v>
      </c>
      <c r="D2946">
        <v>56917</v>
      </c>
      <c r="E2946" s="2">
        <v>14897943.060000001</v>
      </c>
    </row>
    <row r="2947" spans="1:5" ht="15" x14ac:dyDescent="0.2">
      <c r="A2947" s="1" t="s">
        <v>91</v>
      </c>
      <c r="B2947" t="s">
        <v>30</v>
      </c>
      <c r="C2947" t="s">
        <v>61</v>
      </c>
      <c r="D2947">
        <v>56917</v>
      </c>
      <c r="E2947" s="2">
        <v>229314785.52000001</v>
      </c>
    </row>
    <row r="2948" spans="1:5" ht="15" x14ac:dyDescent="0.2">
      <c r="A2948" s="1" t="s">
        <v>96</v>
      </c>
      <c r="B2948" t="s">
        <v>44</v>
      </c>
      <c r="C2948" t="s">
        <v>61</v>
      </c>
      <c r="D2948">
        <v>56917</v>
      </c>
      <c r="E2948" s="2">
        <v>1820347.03</v>
      </c>
    </row>
    <row r="2949" spans="1:5" ht="15" x14ac:dyDescent="0.2">
      <c r="A2949" s="1" t="s">
        <v>100</v>
      </c>
      <c r="B2949" t="s">
        <v>43</v>
      </c>
      <c r="C2949" t="s">
        <v>61</v>
      </c>
      <c r="D2949">
        <v>56917</v>
      </c>
      <c r="E2949" s="2">
        <v>10454080.550000001</v>
      </c>
    </row>
    <row r="2950" spans="1:5" ht="15" x14ac:dyDescent="0.2">
      <c r="A2950" s="1" t="s">
        <v>81</v>
      </c>
      <c r="B2950" t="s">
        <v>14</v>
      </c>
      <c r="C2950" t="s">
        <v>61</v>
      </c>
      <c r="D2950">
        <v>56917</v>
      </c>
      <c r="E2950" s="2">
        <v>13614679.199999999</v>
      </c>
    </row>
    <row r="2951" spans="1:5" ht="15" x14ac:dyDescent="0.2">
      <c r="A2951" s="1" t="s">
        <v>82</v>
      </c>
      <c r="B2951" t="s">
        <v>15</v>
      </c>
      <c r="C2951" t="s">
        <v>61</v>
      </c>
      <c r="D2951">
        <v>56917</v>
      </c>
      <c r="E2951" s="2">
        <v>2861864.54</v>
      </c>
    </row>
    <row r="2952" spans="1:5" ht="15" x14ac:dyDescent="0.2">
      <c r="A2952" s="1" t="s">
        <v>79</v>
      </c>
      <c r="B2952" t="s">
        <v>21</v>
      </c>
      <c r="C2952" t="s">
        <v>61</v>
      </c>
      <c r="D2952">
        <v>63405</v>
      </c>
      <c r="E2952" s="2">
        <v>4868.55</v>
      </c>
    </row>
    <row r="2953" spans="1:5" ht="15" x14ac:dyDescent="0.2">
      <c r="A2953" s="1" t="s">
        <v>89</v>
      </c>
      <c r="B2953" t="s">
        <v>28</v>
      </c>
      <c r="C2953" t="s">
        <v>61</v>
      </c>
      <c r="D2953">
        <v>63405</v>
      </c>
      <c r="E2953" s="2">
        <v>3073564.95</v>
      </c>
    </row>
    <row r="2954" spans="1:5" ht="15" x14ac:dyDescent="0.2">
      <c r="A2954" s="1" t="s">
        <v>80</v>
      </c>
      <c r="B2954" t="s">
        <v>22</v>
      </c>
      <c r="C2954" t="s">
        <v>61</v>
      </c>
      <c r="D2954">
        <v>63405</v>
      </c>
      <c r="E2954" s="2">
        <v>26230090.170000002</v>
      </c>
    </row>
    <row r="2955" spans="1:5" ht="15" x14ac:dyDescent="0.2">
      <c r="A2955" s="1" t="s">
        <v>72</v>
      </c>
      <c r="B2955" t="s">
        <v>10</v>
      </c>
      <c r="C2955" t="s">
        <v>61</v>
      </c>
      <c r="D2955">
        <v>63405</v>
      </c>
      <c r="E2955" s="2">
        <v>17489029.239999998</v>
      </c>
    </row>
    <row r="2956" spans="1:5" ht="15" x14ac:dyDescent="0.2">
      <c r="A2956" s="1" t="s">
        <v>81</v>
      </c>
      <c r="B2956" t="s">
        <v>14</v>
      </c>
      <c r="C2956" t="s">
        <v>61</v>
      </c>
      <c r="D2956">
        <v>63405</v>
      </c>
      <c r="E2956" s="2">
        <v>20937689.940000001</v>
      </c>
    </row>
    <row r="2957" spans="1:5" ht="15" x14ac:dyDescent="0.2">
      <c r="A2957" s="1" t="s">
        <v>69</v>
      </c>
      <c r="B2957" t="s">
        <v>7</v>
      </c>
      <c r="C2957" t="s">
        <v>61</v>
      </c>
      <c r="D2957">
        <v>63405</v>
      </c>
      <c r="E2957" s="2">
        <v>14023847.720000001</v>
      </c>
    </row>
    <row r="2958" spans="1:5" ht="15" x14ac:dyDescent="0.2">
      <c r="A2958" s="1" t="s">
        <v>70</v>
      </c>
      <c r="B2958" t="s">
        <v>8</v>
      </c>
      <c r="C2958" t="s">
        <v>61</v>
      </c>
      <c r="D2958">
        <v>63405</v>
      </c>
      <c r="E2958" s="2">
        <v>152377152.5</v>
      </c>
    </row>
    <row r="2959" spans="1:5" ht="15" x14ac:dyDescent="0.2">
      <c r="A2959" s="1" t="s">
        <v>64</v>
      </c>
      <c r="B2959" t="s">
        <v>3</v>
      </c>
      <c r="C2959" t="s">
        <v>61</v>
      </c>
      <c r="D2959">
        <v>64705</v>
      </c>
      <c r="E2959" s="2">
        <v>6600214.71</v>
      </c>
    </row>
    <row r="2960" spans="1:5" ht="15" x14ac:dyDescent="0.2">
      <c r="A2960" s="1" t="s">
        <v>75</v>
      </c>
      <c r="B2960" t="s">
        <v>12</v>
      </c>
      <c r="C2960" t="s">
        <v>61</v>
      </c>
      <c r="D2960">
        <v>64705</v>
      </c>
      <c r="E2960" s="2">
        <v>15569021.380000001</v>
      </c>
    </row>
    <row r="2961" spans="1:5" ht="15" x14ac:dyDescent="0.2">
      <c r="A2961" s="1" t="s">
        <v>96</v>
      </c>
      <c r="B2961" t="s">
        <v>44</v>
      </c>
      <c r="C2961" t="s">
        <v>61</v>
      </c>
      <c r="D2961">
        <v>64705</v>
      </c>
      <c r="E2961" s="2">
        <v>0.84</v>
      </c>
    </row>
    <row r="2962" spans="1:5" ht="15" x14ac:dyDescent="0.2">
      <c r="A2962" s="1" t="s">
        <v>100</v>
      </c>
      <c r="B2962" t="s">
        <v>43</v>
      </c>
      <c r="C2962" t="s">
        <v>61</v>
      </c>
      <c r="D2962">
        <v>64705</v>
      </c>
      <c r="E2962" s="2">
        <v>6869891.6200000001</v>
      </c>
    </row>
    <row r="2963" spans="1:5" ht="15" x14ac:dyDescent="0.2">
      <c r="A2963" s="1" t="s">
        <v>81</v>
      </c>
      <c r="B2963" t="s">
        <v>14</v>
      </c>
      <c r="C2963" t="s">
        <v>61</v>
      </c>
      <c r="D2963">
        <v>64705</v>
      </c>
      <c r="E2963" s="2">
        <v>9500298.5500000007</v>
      </c>
    </row>
    <row r="2964" spans="1:5" ht="15" x14ac:dyDescent="0.2">
      <c r="A2964" s="1" t="s">
        <v>102</v>
      </c>
      <c r="B2964" t="s">
        <v>36</v>
      </c>
      <c r="C2964" t="s">
        <v>61</v>
      </c>
      <c r="D2964">
        <v>64705</v>
      </c>
      <c r="E2964" s="2">
        <v>4202404.25</v>
      </c>
    </row>
    <row r="2965" spans="1:5" ht="15" x14ac:dyDescent="0.2">
      <c r="A2965" s="1" t="s">
        <v>103</v>
      </c>
      <c r="B2965" t="s">
        <v>37</v>
      </c>
      <c r="C2965" t="s">
        <v>61</v>
      </c>
      <c r="D2965">
        <v>64705</v>
      </c>
      <c r="E2965" s="2">
        <v>23504264.289999999</v>
      </c>
    </row>
    <row r="2966" spans="1:5" ht="15" x14ac:dyDescent="0.2">
      <c r="A2966" s="1" t="s">
        <v>73</v>
      </c>
      <c r="B2966" t="s">
        <v>17</v>
      </c>
      <c r="C2966" t="s">
        <v>61</v>
      </c>
      <c r="D2966">
        <v>64705</v>
      </c>
      <c r="E2966" s="2">
        <v>6349688.1299999999</v>
      </c>
    </row>
    <row r="2967" spans="1:5" ht="15" x14ac:dyDescent="0.2">
      <c r="A2967" s="1" t="s">
        <v>105</v>
      </c>
      <c r="B2967" t="s">
        <v>41</v>
      </c>
      <c r="C2967" t="s">
        <v>61</v>
      </c>
      <c r="D2967">
        <v>64705</v>
      </c>
      <c r="E2967" s="2">
        <v>13037268</v>
      </c>
    </row>
    <row r="2968" spans="1:5" ht="15" x14ac:dyDescent="0.2">
      <c r="A2968" s="1" t="s">
        <v>85</v>
      </c>
      <c r="B2968" t="s">
        <v>24</v>
      </c>
      <c r="C2968" t="s">
        <v>61</v>
      </c>
      <c r="D2968">
        <v>65050</v>
      </c>
      <c r="E2968" s="2">
        <v>34886019.950000003</v>
      </c>
    </row>
    <row r="2969" spans="1:5" ht="15" x14ac:dyDescent="0.2">
      <c r="A2969" s="1" t="s">
        <v>84</v>
      </c>
      <c r="B2969" t="s">
        <v>16</v>
      </c>
      <c r="C2969" t="s">
        <v>61</v>
      </c>
      <c r="D2969">
        <v>65050</v>
      </c>
      <c r="E2969" s="2">
        <v>2979519.29</v>
      </c>
    </row>
    <row r="2970" spans="1:5" ht="15" x14ac:dyDescent="0.2">
      <c r="A2970" s="1" t="s">
        <v>76</v>
      </c>
      <c r="B2970" t="s">
        <v>13</v>
      </c>
      <c r="C2970" t="s">
        <v>61</v>
      </c>
      <c r="D2970">
        <v>65050</v>
      </c>
      <c r="E2970" s="2">
        <v>7843115.71</v>
      </c>
    </row>
    <row r="2971" spans="1:5" ht="15" x14ac:dyDescent="0.2">
      <c r="A2971" s="1" t="s">
        <v>100</v>
      </c>
      <c r="B2971" t="s">
        <v>43</v>
      </c>
      <c r="C2971" t="s">
        <v>61</v>
      </c>
      <c r="D2971">
        <v>65050</v>
      </c>
      <c r="E2971" s="2">
        <v>10571042.720000001</v>
      </c>
    </row>
    <row r="2972" spans="1:5" ht="15" x14ac:dyDescent="0.2">
      <c r="A2972" s="1" t="s">
        <v>70</v>
      </c>
      <c r="B2972" t="s">
        <v>8</v>
      </c>
      <c r="C2972" t="s">
        <v>61</v>
      </c>
      <c r="D2972">
        <v>65050</v>
      </c>
      <c r="E2972" s="2">
        <v>106565468.61</v>
      </c>
    </row>
    <row r="2973" spans="1:5" ht="15" x14ac:dyDescent="0.2">
      <c r="A2973" s="1" t="s">
        <v>86</v>
      </c>
      <c r="B2973" t="s">
        <v>25</v>
      </c>
      <c r="C2973" t="s">
        <v>61</v>
      </c>
      <c r="D2973">
        <v>66919</v>
      </c>
      <c r="E2973" s="2">
        <v>18867362.07</v>
      </c>
    </row>
    <row r="2974" spans="1:5" ht="15" x14ac:dyDescent="0.2">
      <c r="A2974" s="1" t="s">
        <v>91</v>
      </c>
      <c r="B2974" t="s">
        <v>30</v>
      </c>
      <c r="C2974" t="s">
        <v>61</v>
      </c>
      <c r="D2974">
        <v>66919</v>
      </c>
      <c r="E2974" s="2">
        <v>162060365.77000001</v>
      </c>
    </row>
    <row r="2975" spans="1:5" ht="15" x14ac:dyDescent="0.2">
      <c r="A2975" s="1" t="s">
        <v>74</v>
      </c>
      <c r="B2975" t="s">
        <v>11</v>
      </c>
      <c r="C2975" t="s">
        <v>61</v>
      </c>
      <c r="D2975">
        <v>66919</v>
      </c>
      <c r="E2975" s="2">
        <v>636355.39</v>
      </c>
    </row>
    <row r="2976" spans="1:5" ht="15" x14ac:dyDescent="0.2">
      <c r="A2976" s="1" t="s">
        <v>99</v>
      </c>
      <c r="B2976" t="s">
        <v>35</v>
      </c>
      <c r="C2976" t="s">
        <v>61</v>
      </c>
      <c r="D2976">
        <v>66919</v>
      </c>
      <c r="E2976" s="2">
        <v>43233402.189999998</v>
      </c>
    </row>
    <row r="2977" spans="1:5" ht="15" x14ac:dyDescent="0.2">
      <c r="A2977" s="1" t="s">
        <v>78</v>
      </c>
      <c r="B2977" t="s">
        <v>20</v>
      </c>
      <c r="C2977" t="s">
        <v>61</v>
      </c>
      <c r="D2977">
        <v>66919</v>
      </c>
      <c r="E2977" s="2">
        <v>1826236.97</v>
      </c>
    </row>
    <row r="2978" spans="1:5" ht="15" x14ac:dyDescent="0.2">
      <c r="A2978" s="1" t="s">
        <v>89</v>
      </c>
      <c r="B2978" t="s">
        <v>28</v>
      </c>
      <c r="C2978" t="s">
        <v>61</v>
      </c>
      <c r="D2978">
        <v>72187</v>
      </c>
      <c r="E2978" s="2">
        <v>2719435.01</v>
      </c>
    </row>
    <row r="2979" spans="1:5" ht="15" x14ac:dyDescent="0.2">
      <c r="A2979" s="1" t="s">
        <v>76</v>
      </c>
      <c r="B2979" t="s">
        <v>13</v>
      </c>
      <c r="C2979" t="s">
        <v>61</v>
      </c>
      <c r="D2979">
        <v>72187</v>
      </c>
      <c r="E2979" s="2">
        <v>16713751.82</v>
      </c>
    </row>
    <row r="2980" spans="1:5" ht="15" x14ac:dyDescent="0.2">
      <c r="A2980" s="1" t="s">
        <v>97</v>
      </c>
      <c r="B2980" t="s">
        <v>42</v>
      </c>
      <c r="C2980" t="s">
        <v>61</v>
      </c>
      <c r="D2980">
        <v>72187</v>
      </c>
      <c r="E2980" s="2">
        <v>5427694.9699999997</v>
      </c>
    </row>
    <row r="2981" spans="1:5" ht="15" x14ac:dyDescent="0.2">
      <c r="A2981" s="1" t="s">
        <v>68</v>
      </c>
      <c r="B2981" t="s">
        <v>6</v>
      </c>
      <c r="C2981" t="s">
        <v>61</v>
      </c>
      <c r="D2981">
        <v>72187</v>
      </c>
      <c r="E2981" s="2">
        <v>5132337.62</v>
      </c>
    </row>
    <row r="2982" spans="1:5" ht="15" x14ac:dyDescent="0.2">
      <c r="A2982" s="1" t="s">
        <v>78</v>
      </c>
      <c r="B2982" t="s">
        <v>20</v>
      </c>
      <c r="C2982" t="s">
        <v>61</v>
      </c>
      <c r="D2982">
        <v>72187</v>
      </c>
      <c r="E2982" s="2">
        <v>5303151.33</v>
      </c>
    </row>
    <row r="2983" spans="1:5" ht="15" x14ac:dyDescent="0.2">
      <c r="A2983" s="1" t="s">
        <v>102</v>
      </c>
      <c r="B2983" t="s">
        <v>36</v>
      </c>
      <c r="C2983" t="s">
        <v>61</v>
      </c>
      <c r="D2983">
        <v>72187</v>
      </c>
      <c r="E2983" s="2">
        <v>857.01</v>
      </c>
    </row>
    <row r="2984" spans="1:5" ht="15" x14ac:dyDescent="0.2">
      <c r="A2984" s="1" t="s">
        <v>71</v>
      </c>
      <c r="B2984" t="s">
        <v>9</v>
      </c>
      <c r="C2984" t="s">
        <v>61</v>
      </c>
      <c r="D2984">
        <v>72187</v>
      </c>
      <c r="E2984" s="2">
        <v>30141251.829999998</v>
      </c>
    </row>
    <row r="2985" spans="1:5" ht="15" x14ac:dyDescent="0.2">
      <c r="A2985" s="1" t="s">
        <v>90</v>
      </c>
      <c r="B2985" t="s">
        <v>29</v>
      </c>
      <c r="C2985" t="s">
        <v>61</v>
      </c>
      <c r="D2985">
        <v>72919</v>
      </c>
      <c r="E2985" s="2">
        <v>16583887.710000001</v>
      </c>
    </row>
    <row r="2986" spans="1:5" ht="15" x14ac:dyDescent="0.2">
      <c r="A2986" s="1" t="s">
        <v>94</v>
      </c>
      <c r="B2986" t="s">
        <v>33</v>
      </c>
      <c r="C2986" t="s">
        <v>61</v>
      </c>
      <c r="D2986">
        <v>72919</v>
      </c>
      <c r="E2986" s="2">
        <v>75840970.840000004</v>
      </c>
    </row>
    <row r="2987" spans="1:5" ht="15" x14ac:dyDescent="0.2">
      <c r="A2987" s="1" t="s">
        <v>76</v>
      </c>
      <c r="B2987" t="s">
        <v>13</v>
      </c>
      <c r="C2987" t="s">
        <v>61</v>
      </c>
      <c r="D2987">
        <v>72919</v>
      </c>
      <c r="E2987" s="2">
        <v>13557.07</v>
      </c>
    </row>
    <row r="2988" spans="1:5" ht="15" x14ac:dyDescent="0.2">
      <c r="A2988" s="1" t="s">
        <v>83</v>
      </c>
      <c r="B2988" t="s">
        <v>23</v>
      </c>
      <c r="C2988" t="s">
        <v>61</v>
      </c>
      <c r="D2988">
        <v>72919</v>
      </c>
      <c r="E2988" s="2">
        <v>31517989.98</v>
      </c>
    </row>
    <row r="2989" spans="1:5" ht="15" x14ac:dyDescent="0.2">
      <c r="A2989" s="1" t="s">
        <v>80</v>
      </c>
      <c r="B2989" t="s">
        <v>22</v>
      </c>
      <c r="C2989" t="s">
        <v>61</v>
      </c>
      <c r="D2989">
        <v>72919</v>
      </c>
      <c r="E2989" s="2">
        <v>12366427.050000001</v>
      </c>
    </row>
    <row r="2990" spans="1:5" ht="15" x14ac:dyDescent="0.2">
      <c r="A2990" s="1" t="s">
        <v>78</v>
      </c>
      <c r="B2990" t="s">
        <v>20</v>
      </c>
      <c r="C2990" t="s">
        <v>61</v>
      </c>
      <c r="D2990">
        <v>72919</v>
      </c>
      <c r="E2990" s="2">
        <v>2385191.25</v>
      </c>
    </row>
    <row r="2991" spans="1:5" ht="15" x14ac:dyDescent="0.2">
      <c r="A2991" s="1" t="s">
        <v>104</v>
      </c>
      <c r="B2991" t="s">
        <v>40</v>
      </c>
      <c r="C2991" t="s">
        <v>61</v>
      </c>
      <c r="D2991">
        <v>72919</v>
      </c>
      <c r="E2991" s="2">
        <v>54337286.380000003</v>
      </c>
    </row>
    <row r="2992" spans="1:5" ht="15" x14ac:dyDescent="0.2">
      <c r="A2992" s="1" t="s">
        <v>105</v>
      </c>
      <c r="B2992" t="s">
        <v>41</v>
      </c>
      <c r="C2992" t="s">
        <v>61</v>
      </c>
      <c r="D2992">
        <v>72919</v>
      </c>
      <c r="E2992" s="2">
        <v>8222.92</v>
      </c>
    </row>
    <row r="2993" spans="1:5" ht="15" x14ac:dyDescent="0.2">
      <c r="A2993" s="1" t="s">
        <v>82</v>
      </c>
      <c r="B2993" t="s">
        <v>15</v>
      </c>
      <c r="C2993" t="s">
        <v>61</v>
      </c>
      <c r="D2993">
        <v>72919</v>
      </c>
      <c r="E2993" s="2">
        <v>6595290.4100000001</v>
      </c>
    </row>
    <row r="2994" spans="1:5" ht="15" x14ac:dyDescent="0.2">
      <c r="A2994" s="1" t="s">
        <v>68</v>
      </c>
      <c r="B2994" t="s">
        <v>6</v>
      </c>
      <c r="C2994" t="s">
        <v>61</v>
      </c>
      <c r="D2994">
        <v>74336</v>
      </c>
      <c r="E2994" s="2">
        <v>4211658.7699999996</v>
      </c>
    </row>
    <row r="2995" spans="1:5" ht="15" x14ac:dyDescent="0.2">
      <c r="A2995" s="1" t="s">
        <v>100</v>
      </c>
      <c r="B2995" t="s">
        <v>43</v>
      </c>
      <c r="C2995" t="s">
        <v>61</v>
      </c>
      <c r="D2995">
        <v>74336</v>
      </c>
      <c r="E2995" s="2">
        <v>2480649.36</v>
      </c>
    </row>
    <row r="2996" spans="1:5" ht="15" x14ac:dyDescent="0.2">
      <c r="A2996" s="1" t="s">
        <v>86</v>
      </c>
      <c r="B2996" t="s">
        <v>25</v>
      </c>
      <c r="C2996" t="s">
        <v>61</v>
      </c>
      <c r="D2996">
        <v>74713</v>
      </c>
      <c r="E2996" s="2">
        <v>11752635.98</v>
      </c>
    </row>
    <row r="2997" spans="1:5" ht="15" x14ac:dyDescent="0.2">
      <c r="A2997" s="1" t="s">
        <v>95</v>
      </c>
      <c r="B2997" t="s">
        <v>38</v>
      </c>
      <c r="C2997" t="s">
        <v>61</v>
      </c>
      <c r="D2997">
        <v>74713</v>
      </c>
      <c r="E2997" s="2">
        <v>685087898.22000003</v>
      </c>
    </row>
    <row r="2998" spans="1:5" ht="15" x14ac:dyDescent="0.2">
      <c r="A2998" s="1" t="s">
        <v>74</v>
      </c>
      <c r="B2998" t="s">
        <v>11</v>
      </c>
      <c r="C2998" t="s">
        <v>61</v>
      </c>
      <c r="D2998">
        <v>74713</v>
      </c>
      <c r="E2998" s="2">
        <v>880640.63</v>
      </c>
    </row>
    <row r="2999" spans="1:5" ht="15" x14ac:dyDescent="0.2">
      <c r="A2999" s="1" t="s">
        <v>81</v>
      </c>
      <c r="B2999" t="s">
        <v>14</v>
      </c>
      <c r="C2999" t="s">
        <v>61</v>
      </c>
      <c r="D2999">
        <v>74713</v>
      </c>
      <c r="E2999" s="2">
        <v>19153278.460000001</v>
      </c>
    </row>
    <row r="3000" spans="1:5" ht="15" x14ac:dyDescent="0.2">
      <c r="A3000" s="1" t="s">
        <v>73</v>
      </c>
      <c r="B3000" t="s">
        <v>17</v>
      </c>
      <c r="C3000" t="s">
        <v>61</v>
      </c>
      <c r="D3000">
        <v>74713</v>
      </c>
      <c r="E3000" s="2">
        <v>9187400.1899999995</v>
      </c>
    </row>
    <row r="3001" spans="1:5" ht="15" x14ac:dyDescent="0.2">
      <c r="A3001" s="1" t="s">
        <v>67</v>
      </c>
      <c r="B3001" t="s">
        <v>5</v>
      </c>
      <c r="C3001" t="s">
        <v>61</v>
      </c>
      <c r="D3001">
        <v>75257</v>
      </c>
      <c r="E3001" s="2">
        <v>-3538944.01</v>
      </c>
    </row>
    <row r="3002" spans="1:5" ht="15" x14ac:dyDescent="0.2">
      <c r="A3002" s="1" t="s">
        <v>76</v>
      </c>
      <c r="B3002" t="s">
        <v>13</v>
      </c>
      <c r="C3002" t="s">
        <v>61</v>
      </c>
      <c r="D3002">
        <v>75257</v>
      </c>
      <c r="E3002" s="2">
        <v>579.55999999999995</v>
      </c>
    </row>
    <row r="3003" spans="1:5" ht="15" x14ac:dyDescent="0.2">
      <c r="A3003" s="1" t="s">
        <v>97</v>
      </c>
      <c r="B3003" t="s">
        <v>42</v>
      </c>
      <c r="C3003" t="s">
        <v>61</v>
      </c>
      <c r="D3003">
        <v>75257</v>
      </c>
      <c r="E3003" s="2">
        <v>4760232.54</v>
      </c>
    </row>
    <row r="3004" spans="1:5" ht="15" x14ac:dyDescent="0.2">
      <c r="A3004" s="1" t="s">
        <v>68</v>
      </c>
      <c r="B3004" t="s">
        <v>6</v>
      </c>
      <c r="C3004" t="s">
        <v>61</v>
      </c>
      <c r="D3004">
        <v>75257</v>
      </c>
      <c r="E3004" s="2">
        <v>8241166.3899999997</v>
      </c>
    </row>
    <row r="3005" spans="1:5" ht="15" x14ac:dyDescent="0.2">
      <c r="A3005" s="1" t="s">
        <v>77</v>
      </c>
      <c r="B3005" t="s">
        <v>18</v>
      </c>
      <c r="C3005" t="s">
        <v>61</v>
      </c>
      <c r="D3005">
        <v>75257</v>
      </c>
      <c r="E3005" s="2">
        <v>585.07000000000005</v>
      </c>
    </row>
    <row r="3006" spans="1:5" ht="15" x14ac:dyDescent="0.2">
      <c r="A3006" s="1" t="s">
        <v>105</v>
      </c>
      <c r="B3006" t="s">
        <v>41</v>
      </c>
      <c r="C3006" t="s">
        <v>61</v>
      </c>
      <c r="D3006">
        <v>75257</v>
      </c>
      <c r="E3006" s="2">
        <v>8141155.7699999996</v>
      </c>
    </row>
    <row r="3007" spans="1:5" ht="15" x14ac:dyDescent="0.2">
      <c r="A3007" s="1" t="s">
        <v>69</v>
      </c>
      <c r="B3007" t="s">
        <v>7</v>
      </c>
      <c r="C3007" t="s">
        <v>61</v>
      </c>
      <c r="D3007">
        <v>75257</v>
      </c>
      <c r="E3007" s="2">
        <v>20767728.75</v>
      </c>
    </row>
    <row r="3008" spans="1:5" ht="15" x14ac:dyDescent="0.2">
      <c r="A3008" s="1" t="s">
        <v>67</v>
      </c>
      <c r="B3008" t="s">
        <v>5</v>
      </c>
      <c r="C3008" t="s">
        <v>61</v>
      </c>
      <c r="D3008">
        <v>78398</v>
      </c>
      <c r="E3008" s="2">
        <v>-5502317.1600000001</v>
      </c>
    </row>
    <row r="3009" spans="1:5" ht="15" x14ac:dyDescent="0.2">
      <c r="A3009" s="1" t="s">
        <v>79</v>
      </c>
      <c r="B3009" t="s">
        <v>21</v>
      </c>
      <c r="C3009" t="s">
        <v>61</v>
      </c>
      <c r="D3009">
        <v>78398</v>
      </c>
      <c r="E3009" s="2">
        <v>3275998.86</v>
      </c>
    </row>
    <row r="3010" spans="1:5" ht="15" x14ac:dyDescent="0.2">
      <c r="A3010" s="1" t="s">
        <v>90</v>
      </c>
      <c r="B3010" t="s">
        <v>29</v>
      </c>
      <c r="C3010" t="s">
        <v>61</v>
      </c>
      <c r="D3010">
        <v>78398</v>
      </c>
      <c r="E3010" s="2">
        <v>16090424.43</v>
      </c>
    </row>
    <row r="3011" spans="1:5" ht="15" x14ac:dyDescent="0.2">
      <c r="A3011" s="1" t="s">
        <v>95</v>
      </c>
      <c r="B3011" t="s">
        <v>38</v>
      </c>
      <c r="C3011" t="s">
        <v>61</v>
      </c>
      <c r="D3011">
        <v>78398</v>
      </c>
      <c r="E3011" s="2">
        <v>689796078.38</v>
      </c>
    </row>
    <row r="3012" spans="1:5" ht="15" x14ac:dyDescent="0.2">
      <c r="A3012" s="1" t="s">
        <v>76</v>
      </c>
      <c r="B3012" t="s">
        <v>13</v>
      </c>
      <c r="C3012" t="s">
        <v>61</v>
      </c>
      <c r="D3012">
        <v>78398</v>
      </c>
      <c r="E3012" s="2">
        <v>33300517.719999999</v>
      </c>
    </row>
    <row r="3013" spans="1:5" ht="15" x14ac:dyDescent="0.2">
      <c r="A3013" s="1" t="s">
        <v>68</v>
      </c>
      <c r="B3013" t="s">
        <v>6</v>
      </c>
      <c r="C3013" t="s">
        <v>61</v>
      </c>
      <c r="D3013">
        <v>78398</v>
      </c>
      <c r="E3013" s="2">
        <v>6802035.0999999996</v>
      </c>
    </row>
    <row r="3014" spans="1:5" ht="15" x14ac:dyDescent="0.2">
      <c r="A3014" s="1" t="s">
        <v>77</v>
      </c>
      <c r="B3014" t="s">
        <v>18</v>
      </c>
      <c r="C3014" t="s">
        <v>61</v>
      </c>
      <c r="D3014">
        <v>78398</v>
      </c>
      <c r="E3014" s="2">
        <v>10790561.66</v>
      </c>
    </row>
    <row r="3015" spans="1:5" ht="15" x14ac:dyDescent="0.2">
      <c r="A3015" s="1" t="s">
        <v>100</v>
      </c>
      <c r="B3015" t="s">
        <v>43</v>
      </c>
      <c r="C3015" t="s">
        <v>61</v>
      </c>
      <c r="D3015">
        <v>78601</v>
      </c>
      <c r="E3015" s="2">
        <v>8581.2199999999993</v>
      </c>
    </row>
    <row r="3016" spans="1:5" ht="15" x14ac:dyDescent="0.2">
      <c r="A3016" s="1" t="s">
        <v>81</v>
      </c>
      <c r="B3016" t="s">
        <v>14</v>
      </c>
      <c r="C3016" t="s">
        <v>61</v>
      </c>
      <c r="D3016">
        <v>78601</v>
      </c>
      <c r="E3016" s="2">
        <v>1258.05</v>
      </c>
    </row>
    <row r="3017" spans="1:5" ht="15" x14ac:dyDescent="0.2">
      <c r="A3017" s="1" t="s">
        <v>103</v>
      </c>
      <c r="B3017" t="s">
        <v>37</v>
      </c>
      <c r="C3017" t="s">
        <v>61</v>
      </c>
      <c r="D3017">
        <v>78601</v>
      </c>
      <c r="E3017" s="2">
        <v>5838.32</v>
      </c>
    </row>
    <row r="3018" spans="1:5" ht="15" x14ac:dyDescent="0.2">
      <c r="A3018" s="1" t="s">
        <v>73</v>
      </c>
      <c r="B3018" t="s">
        <v>17</v>
      </c>
      <c r="C3018" t="s">
        <v>61</v>
      </c>
      <c r="D3018">
        <v>78601</v>
      </c>
      <c r="E3018" s="2">
        <v>3092392.99</v>
      </c>
    </row>
    <row r="3019" spans="1:5" ht="15" x14ac:dyDescent="0.2">
      <c r="A3019" s="1" t="s">
        <v>75</v>
      </c>
      <c r="B3019" t="s">
        <v>19</v>
      </c>
      <c r="C3019" t="s">
        <v>61</v>
      </c>
      <c r="D3019">
        <v>78601</v>
      </c>
      <c r="E3019" s="2">
        <v>9149137.1099999994</v>
      </c>
    </row>
    <row r="3020" spans="1:5" ht="15" x14ac:dyDescent="0.2">
      <c r="A3020" s="1" t="s">
        <v>84</v>
      </c>
      <c r="B3020" t="s">
        <v>16</v>
      </c>
      <c r="C3020" t="s">
        <v>61</v>
      </c>
      <c r="D3020">
        <v>81857</v>
      </c>
      <c r="E3020" s="2">
        <v>19168392.039999999</v>
      </c>
    </row>
    <row r="3021" spans="1:5" ht="15" x14ac:dyDescent="0.2">
      <c r="A3021" s="1" t="s">
        <v>80</v>
      </c>
      <c r="B3021" t="s">
        <v>22</v>
      </c>
      <c r="C3021" t="s">
        <v>61</v>
      </c>
      <c r="D3021">
        <v>81857</v>
      </c>
      <c r="E3021" s="2">
        <v>8561502.6699999999</v>
      </c>
    </row>
    <row r="3022" spans="1:5" ht="15" x14ac:dyDescent="0.2">
      <c r="A3022" s="1" t="s">
        <v>96</v>
      </c>
      <c r="B3022" t="s">
        <v>44</v>
      </c>
      <c r="C3022" t="s">
        <v>61</v>
      </c>
      <c r="D3022">
        <v>81857</v>
      </c>
      <c r="E3022" s="2">
        <v>4662331.5999999996</v>
      </c>
    </row>
    <row r="3023" spans="1:5" ht="15" x14ac:dyDescent="0.2">
      <c r="A3023" s="1" t="s">
        <v>81</v>
      </c>
      <c r="B3023" t="s">
        <v>14</v>
      </c>
      <c r="C3023" t="s">
        <v>61</v>
      </c>
      <c r="D3023">
        <v>81857</v>
      </c>
      <c r="E3023" s="2">
        <v>22798263.440000001</v>
      </c>
    </row>
    <row r="3024" spans="1:5" ht="15" x14ac:dyDescent="0.2">
      <c r="A3024" s="1" t="s">
        <v>73</v>
      </c>
      <c r="B3024" t="s">
        <v>17</v>
      </c>
      <c r="C3024" t="s">
        <v>61</v>
      </c>
      <c r="D3024">
        <v>81857</v>
      </c>
      <c r="E3024" s="2">
        <v>1190.27</v>
      </c>
    </row>
    <row r="3025" spans="1:5" ht="15" x14ac:dyDescent="0.2">
      <c r="A3025" s="1" t="s">
        <v>70</v>
      </c>
      <c r="B3025" t="s">
        <v>8</v>
      </c>
      <c r="C3025" t="s">
        <v>61</v>
      </c>
      <c r="D3025">
        <v>81857</v>
      </c>
      <c r="E3025" s="2">
        <v>78801150.109999999</v>
      </c>
    </row>
    <row r="3026" spans="1:5" ht="15" x14ac:dyDescent="0.2">
      <c r="A3026" s="1" t="s">
        <v>71</v>
      </c>
      <c r="B3026" t="s">
        <v>9</v>
      </c>
      <c r="C3026" t="s">
        <v>61</v>
      </c>
      <c r="D3026">
        <v>81857</v>
      </c>
      <c r="E3026" s="2">
        <v>58474203.850000001</v>
      </c>
    </row>
    <row r="3027" spans="1:5" ht="15" x14ac:dyDescent="0.2">
      <c r="A3027" s="1" t="s">
        <v>85</v>
      </c>
      <c r="B3027" t="s">
        <v>24</v>
      </c>
      <c r="C3027" t="s">
        <v>61</v>
      </c>
      <c r="D3027">
        <v>82313</v>
      </c>
      <c r="E3027" s="2">
        <v>81000499.260000005</v>
      </c>
    </row>
    <row r="3028" spans="1:5" ht="15" x14ac:dyDescent="0.2">
      <c r="A3028" s="1" t="s">
        <v>96</v>
      </c>
      <c r="B3028" t="s">
        <v>44</v>
      </c>
      <c r="C3028" t="s">
        <v>61</v>
      </c>
      <c r="D3028">
        <v>82313</v>
      </c>
      <c r="E3028" s="2">
        <v>2923.89</v>
      </c>
    </row>
    <row r="3029" spans="1:5" ht="15" x14ac:dyDescent="0.2">
      <c r="A3029" s="1" t="s">
        <v>104</v>
      </c>
      <c r="B3029" t="s">
        <v>40</v>
      </c>
      <c r="C3029" t="s">
        <v>61</v>
      </c>
      <c r="D3029">
        <v>82313</v>
      </c>
      <c r="E3029" s="2">
        <v>146603566.19999999</v>
      </c>
    </row>
    <row r="3030" spans="1:5" ht="15" x14ac:dyDescent="0.2">
      <c r="A3030" s="1" t="s">
        <v>105</v>
      </c>
      <c r="B3030" t="s">
        <v>41</v>
      </c>
      <c r="C3030" t="s">
        <v>61</v>
      </c>
      <c r="D3030">
        <v>82313</v>
      </c>
      <c r="E3030" s="2">
        <v>585.23</v>
      </c>
    </row>
    <row r="3031" spans="1:5" ht="15" x14ac:dyDescent="0.2">
      <c r="A3031" s="1" t="s">
        <v>67</v>
      </c>
      <c r="B3031" t="s">
        <v>5</v>
      </c>
      <c r="C3031" t="s">
        <v>61</v>
      </c>
      <c r="D3031">
        <v>88813</v>
      </c>
      <c r="E3031" s="2">
        <v>980.6</v>
      </c>
    </row>
    <row r="3032" spans="1:5" ht="15" x14ac:dyDescent="0.2">
      <c r="A3032" s="1" t="s">
        <v>89</v>
      </c>
      <c r="B3032" t="s">
        <v>28</v>
      </c>
      <c r="C3032" t="s">
        <v>61</v>
      </c>
      <c r="D3032">
        <v>88813</v>
      </c>
      <c r="E3032" s="2">
        <v>12328945.17</v>
      </c>
    </row>
    <row r="3033" spans="1:5" ht="15" x14ac:dyDescent="0.2">
      <c r="A3033" s="1" t="s">
        <v>64</v>
      </c>
      <c r="B3033" t="s">
        <v>3</v>
      </c>
      <c r="C3033" t="s">
        <v>61</v>
      </c>
      <c r="D3033">
        <v>88813</v>
      </c>
      <c r="E3033" s="2">
        <v>33102459.43</v>
      </c>
    </row>
    <row r="3034" spans="1:5" ht="15" x14ac:dyDescent="0.2">
      <c r="A3034" s="1" t="s">
        <v>75</v>
      </c>
      <c r="B3034" t="s">
        <v>12</v>
      </c>
      <c r="C3034" t="s">
        <v>61</v>
      </c>
      <c r="D3034">
        <v>88813</v>
      </c>
      <c r="E3034" s="2">
        <v>25646860.32</v>
      </c>
    </row>
    <row r="3035" spans="1:5" ht="15" x14ac:dyDescent="0.2">
      <c r="A3035" s="1" t="s">
        <v>95</v>
      </c>
      <c r="B3035" t="s">
        <v>38</v>
      </c>
      <c r="C3035" t="s">
        <v>61</v>
      </c>
      <c r="D3035">
        <v>88813</v>
      </c>
      <c r="E3035" s="2">
        <v>392520111.80000001</v>
      </c>
    </row>
    <row r="3036" spans="1:5" ht="15" x14ac:dyDescent="0.2">
      <c r="A3036" s="1" t="s">
        <v>72</v>
      </c>
      <c r="B3036" t="s">
        <v>10</v>
      </c>
      <c r="C3036" t="s">
        <v>61</v>
      </c>
      <c r="D3036">
        <v>88813</v>
      </c>
      <c r="E3036" s="2">
        <v>39844614.600000001</v>
      </c>
    </row>
  </sheetData>
  <autoFilter ref="A1:E3036" xr:uid="{DE3B0A77-6DC2-450A-BE6A-97498412B9AB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C05D8-2992-44EA-B51E-A04E7381F260}">
  <sheetPr codeName="Sheet3"/>
  <dimension ref="A1:E1013"/>
  <sheetViews>
    <sheetView zoomScale="130" zoomScaleNormal="130" workbookViewId="0">
      <selection activeCell="C15" sqref="C15"/>
    </sheetView>
  </sheetViews>
  <sheetFormatPr baseColWidth="10" defaultColWidth="8.83203125" defaultRowHeight="15" x14ac:dyDescent="0.2"/>
  <cols>
    <col min="1" max="1" width="34.1640625" bestFit="1" customWidth="1"/>
    <col min="2" max="2" width="34.1640625" customWidth="1"/>
    <col min="3" max="3" width="26.5" customWidth="1"/>
    <col min="4" max="4" width="26.5" bestFit="1" customWidth="1"/>
    <col min="5" max="5" width="52.33203125" bestFit="1" customWidth="1"/>
  </cols>
  <sheetData>
    <row r="1" spans="1:5" x14ac:dyDescent="0.2">
      <c r="A1" s="6" t="s">
        <v>111</v>
      </c>
      <c r="B1" s="6" t="s">
        <v>112</v>
      </c>
      <c r="C1" s="7" t="s">
        <v>107</v>
      </c>
      <c r="D1" s="6" t="s">
        <v>108</v>
      </c>
      <c r="E1" s="6" t="s">
        <v>109</v>
      </c>
    </row>
    <row r="2" spans="1:5" x14ac:dyDescent="0.2">
      <c r="A2" t="s">
        <v>115</v>
      </c>
      <c r="B2" t="s">
        <v>113</v>
      </c>
      <c r="C2" t="str">
        <f>CONCATENATE(A2, " (", B2, ")")</f>
        <v>US (Consulting)</v>
      </c>
      <c r="D2">
        <v>10151</v>
      </c>
      <c r="E2" t="s">
        <v>8</v>
      </c>
    </row>
    <row r="3" spans="1:5" x14ac:dyDescent="0.2">
      <c r="A3" t="s">
        <v>114</v>
      </c>
      <c r="B3" t="s">
        <v>113</v>
      </c>
      <c r="C3" t="str">
        <f t="shared" ref="C3:C66" si="0">CONCATENATE(A3, " (", B3, ")")</f>
        <v>Africa (Consulting)</v>
      </c>
      <c r="D3">
        <v>42461</v>
      </c>
      <c r="E3" t="s">
        <v>11</v>
      </c>
    </row>
    <row r="4" spans="1:5" x14ac:dyDescent="0.2">
      <c r="A4" t="s">
        <v>115</v>
      </c>
      <c r="B4" t="s">
        <v>119</v>
      </c>
      <c r="C4" t="str">
        <f t="shared" si="0"/>
        <v>US (Facilities Management)</v>
      </c>
      <c r="D4">
        <v>35143</v>
      </c>
      <c r="E4" t="s">
        <v>9</v>
      </c>
    </row>
    <row r="5" spans="1:5" x14ac:dyDescent="0.2">
      <c r="A5" t="s">
        <v>116</v>
      </c>
      <c r="B5" t="s">
        <v>119</v>
      </c>
      <c r="C5" t="str">
        <f t="shared" si="0"/>
        <v>Europe (Facilities Management)</v>
      </c>
      <c r="D5">
        <v>78398</v>
      </c>
      <c r="E5" t="s">
        <v>40</v>
      </c>
    </row>
    <row r="6" spans="1:5" x14ac:dyDescent="0.2">
      <c r="A6" t="s">
        <v>117</v>
      </c>
      <c r="B6" t="s">
        <v>119</v>
      </c>
      <c r="C6" t="str">
        <f t="shared" si="0"/>
        <v>Middle-East (Facilities Management)</v>
      </c>
      <c r="D6">
        <v>14275</v>
      </c>
      <c r="E6" t="s">
        <v>38</v>
      </c>
    </row>
    <row r="7" spans="1:5" x14ac:dyDescent="0.2">
      <c r="A7" t="s">
        <v>115</v>
      </c>
      <c r="B7" t="s">
        <v>113</v>
      </c>
      <c r="C7" t="str">
        <f t="shared" si="0"/>
        <v>US (Consulting)</v>
      </c>
      <c r="D7">
        <v>67412</v>
      </c>
      <c r="E7" t="s">
        <v>21</v>
      </c>
    </row>
    <row r="8" spans="1:5" x14ac:dyDescent="0.2">
      <c r="A8" t="s">
        <v>117</v>
      </c>
      <c r="B8" t="s">
        <v>119</v>
      </c>
      <c r="C8" t="str">
        <f t="shared" si="0"/>
        <v>Middle-East (Facilities Management)</v>
      </c>
      <c r="D8">
        <v>38696</v>
      </c>
      <c r="E8" t="s">
        <v>14</v>
      </c>
    </row>
    <row r="9" spans="1:5" x14ac:dyDescent="0.2">
      <c r="A9" t="s">
        <v>116</v>
      </c>
      <c r="B9" t="s">
        <v>120</v>
      </c>
      <c r="C9" t="str">
        <f t="shared" si="0"/>
        <v>Europe (Investments)</v>
      </c>
      <c r="D9">
        <v>39706</v>
      </c>
      <c r="E9" t="s">
        <v>110</v>
      </c>
    </row>
    <row r="10" spans="1:5" x14ac:dyDescent="0.2">
      <c r="A10" t="s">
        <v>116</v>
      </c>
      <c r="B10" t="s">
        <v>120</v>
      </c>
      <c r="C10" t="str">
        <f t="shared" si="0"/>
        <v>Europe (Investments)</v>
      </c>
      <c r="D10">
        <v>53681</v>
      </c>
      <c r="E10" t="s">
        <v>21</v>
      </c>
    </row>
    <row r="11" spans="1:5" x14ac:dyDescent="0.2">
      <c r="A11" t="s">
        <v>114</v>
      </c>
      <c r="B11" t="s">
        <v>119</v>
      </c>
      <c r="C11" t="str">
        <f t="shared" si="0"/>
        <v>Africa (Facilities Management)</v>
      </c>
      <c r="D11">
        <v>48636</v>
      </c>
      <c r="E11" t="s">
        <v>24</v>
      </c>
    </row>
    <row r="12" spans="1:5" x14ac:dyDescent="0.2">
      <c r="A12" t="s">
        <v>114</v>
      </c>
      <c r="B12" t="s">
        <v>113</v>
      </c>
      <c r="C12" t="str">
        <f t="shared" si="0"/>
        <v>Africa (Consulting)</v>
      </c>
      <c r="D12">
        <v>30776</v>
      </c>
      <c r="E12" t="s">
        <v>13</v>
      </c>
    </row>
    <row r="13" spans="1:5" x14ac:dyDescent="0.2">
      <c r="A13" t="s">
        <v>117</v>
      </c>
      <c r="B13" t="s">
        <v>120</v>
      </c>
      <c r="C13" t="str">
        <f t="shared" si="0"/>
        <v>Middle-East (Investments)</v>
      </c>
      <c r="D13">
        <v>61551</v>
      </c>
      <c r="E13" t="s">
        <v>15</v>
      </c>
    </row>
    <row r="14" spans="1:5" x14ac:dyDescent="0.2">
      <c r="A14" t="s">
        <v>117</v>
      </c>
      <c r="B14" t="s">
        <v>113</v>
      </c>
      <c r="C14" t="str">
        <f t="shared" si="0"/>
        <v>Middle-East (Consulting)</v>
      </c>
      <c r="D14">
        <v>20218</v>
      </c>
      <c r="E14" t="s">
        <v>40</v>
      </c>
    </row>
    <row r="15" spans="1:5" x14ac:dyDescent="0.2">
      <c r="A15" t="s">
        <v>114</v>
      </c>
      <c r="B15" t="s">
        <v>113</v>
      </c>
      <c r="C15" t="str">
        <f t="shared" si="0"/>
        <v>Africa (Consulting)</v>
      </c>
      <c r="D15">
        <v>75250</v>
      </c>
      <c r="E15" t="s">
        <v>16</v>
      </c>
    </row>
    <row r="16" spans="1:5" x14ac:dyDescent="0.2">
      <c r="A16" t="s">
        <v>117</v>
      </c>
      <c r="B16" t="s">
        <v>113</v>
      </c>
      <c r="C16" t="str">
        <f t="shared" si="0"/>
        <v>Middle-East (Consulting)</v>
      </c>
      <c r="D16">
        <v>35207</v>
      </c>
      <c r="E16" t="s">
        <v>15</v>
      </c>
    </row>
    <row r="17" spans="1:5" x14ac:dyDescent="0.2">
      <c r="A17" t="s">
        <v>117</v>
      </c>
      <c r="B17" t="s">
        <v>120</v>
      </c>
      <c r="C17" t="str">
        <f t="shared" si="0"/>
        <v>Middle-East (Investments)</v>
      </c>
      <c r="D17">
        <v>61551</v>
      </c>
      <c r="E17" t="s">
        <v>14</v>
      </c>
    </row>
    <row r="18" spans="1:5" x14ac:dyDescent="0.2">
      <c r="A18" t="s">
        <v>114</v>
      </c>
      <c r="B18" t="s">
        <v>113</v>
      </c>
      <c r="C18" t="str">
        <f t="shared" si="0"/>
        <v>Africa (Consulting)</v>
      </c>
      <c r="D18">
        <v>79863</v>
      </c>
      <c r="E18" t="s">
        <v>28</v>
      </c>
    </row>
    <row r="19" spans="1:5" x14ac:dyDescent="0.2">
      <c r="A19" t="s">
        <v>114</v>
      </c>
      <c r="B19" t="s">
        <v>119</v>
      </c>
      <c r="C19" t="str">
        <f t="shared" si="0"/>
        <v>Africa (Facilities Management)</v>
      </c>
      <c r="D19">
        <v>53027</v>
      </c>
      <c r="E19" t="s">
        <v>36</v>
      </c>
    </row>
    <row r="20" spans="1:5" x14ac:dyDescent="0.2">
      <c r="A20" t="s">
        <v>118</v>
      </c>
      <c r="B20" t="s">
        <v>113</v>
      </c>
      <c r="C20" t="str">
        <f t="shared" si="0"/>
        <v>Asia-Pacific (Consulting)</v>
      </c>
      <c r="D20">
        <v>51198</v>
      </c>
      <c r="E20" t="s">
        <v>15</v>
      </c>
    </row>
    <row r="21" spans="1:5" x14ac:dyDescent="0.2">
      <c r="A21" t="s">
        <v>115</v>
      </c>
      <c r="B21" t="s">
        <v>119</v>
      </c>
      <c r="C21" t="str">
        <f t="shared" si="0"/>
        <v>US (Facilities Management)</v>
      </c>
      <c r="D21">
        <v>32784</v>
      </c>
      <c r="E21" t="s">
        <v>34</v>
      </c>
    </row>
    <row r="22" spans="1:5" x14ac:dyDescent="0.2">
      <c r="A22" t="s">
        <v>115</v>
      </c>
      <c r="B22" t="s">
        <v>120</v>
      </c>
      <c r="C22" t="str">
        <f t="shared" si="0"/>
        <v>US (Investments)</v>
      </c>
      <c r="D22">
        <v>51457</v>
      </c>
      <c r="E22" t="s">
        <v>25</v>
      </c>
    </row>
    <row r="23" spans="1:5" x14ac:dyDescent="0.2">
      <c r="A23" t="s">
        <v>115</v>
      </c>
      <c r="B23" t="s">
        <v>113</v>
      </c>
      <c r="C23" t="str">
        <f t="shared" si="0"/>
        <v>US (Consulting)</v>
      </c>
      <c r="D23">
        <v>45792</v>
      </c>
      <c r="E23" t="s">
        <v>38</v>
      </c>
    </row>
    <row r="24" spans="1:5" x14ac:dyDescent="0.2">
      <c r="A24" t="s">
        <v>115</v>
      </c>
      <c r="B24" t="s">
        <v>119</v>
      </c>
      <c r="C24" t="str">
        <f t="shared" si="0"/>
        <v>US (Facilities Management)</v>
      </c>
      <c r="D24">
        <v>87778</v>
      </c>
      <c r="E24" t="s">
        <v>29</v>
      </c>
    </row>
    <row r="25" spans="1:5" x14ac:dyDescent="0.2">
      <c r="A25" t="s">
        <v>118</v>
      </c>
      <c r="B25" t="s">
        <v>119</v>
      </c>
      <c r="C25" t="str">
        <f t="shared" si="0"/>
        <v>Asia-Pacific (Facilities Management)</v>
      </c>
      <c r="D25">
        <v>86095</v>
      </c>
      <c r="E25" t="s">
        <v>33</v>
      </c>
    </row>
    <row r="26" spans="1:5" x14ac:dyDescent="0.2">
      <c r="A26" t="s">
        <v>117</v>
      </c>
      <c r="B26" t="s">
        <v>119</v>
      </c>
      <c r="C26" t="str">
        <f t="shared" si="0"/>
        <v>Middle-East (Facilities Management)</v>
      </c>
      <c r="D26">
        <v>21575</v>
      </c>
      <c r="E26" t="s">
        <v>42</v>
      </c>
    </row>
    <row r="27" spans="1:5" x14ac:dyDescent="0.2">
      <c r="A27" t="s">
        <v>118</v>
      </c>
      <c r="B27" t="s">
        <v>113</v>
      </c>
      <c r="C27" t="str">
        <f t="shared" si="0"/>
        <v>Asia-Pacific (Consulting)</v>
      </c>
      <c r="D27">
        <v>67561</v>
      </c>
      <c r="E27" t="s">
        <v>9</v>
      </c>
    </row>
    <row r="28" spans="1:5" x14ac:dyDescent="0.2">
      <c r="A28" t="s">
        <v>114</v>
      </c>
      <c r="B28" t="s">
        <v>113</v>
      </c>
      <c r="C28" t="str">
        <f t="shared" si="0"/>
        <v>Africa (Consulting)</v>
      </c>
      <c r="D28">
        <v>63220</v>
      </c>
      <c r="E28" t="s">
        <v>110</v>
      </c>
    </row>
    <row r="29" spans="1:5" x14ac:dyDescent="0.2">
      <c r="A29" t="s">
        <v>118</v>
      </c>
      <c r="B29" t="s">
        <v>113</v>
      </c>
      <c r="C29" t="str">
        <f t="shared" si="0"/>
        <v>Asia-Pacific (Consulting)</v>
      </c>
      <c r="D29">
        <v>67103</v>
      </c>
      <c r="E29" t="s">
        <v>18</v>
      </c>
    </row>
    <row r="30" spans="1:5" x14ac:dyDescent="0.2">
      <c r="A30" t="s">
        <v>115</v>
      </c>
      <c r="B30" t="s">
        <v>113</v>
      </c>
      <c r="C30" t="str">
        <f t="shared" si="0"/>
        <v>US (Consulting)</v>
      </c>
      <c r="D30">
        <v>73889</v>
      </c>
      <c r="E30" t="s">
        <v>110</v>
      </c>
    </row>
    <row r="31" spans="1:5" x14ac:dyDescent="0.2">
      <c r="A31" t="s">
        <v>114</v>
      </c>
      <c r="B31" t="s">
        <v>119</v>
      </c>
      <c r="C31" t="str">
        <f t="shared" si="0"/>
        <v>Africa (Facilities Management)</v>
      </c>
      <c r="D31">
        <v>79177</v>
      </c>
      <c r="E31" t="s">
        <v>39</v>
      </c>
    </row>
    <row r="32" spans="1:5" x14ac:dyDescent="0.2">
      <c r="A32" t="s">
        <v>117</v>
      </c>
      <c r="B32" t="s">
        <v>119</v>
      </c>
      <c r="C32" t="str">
        <f t="shared" si="0"/>
        <v>Middle-East (Facilities Management)</v>
      </c>
      <c r="D32">
        <v>64705</v>
      </c>
      <c r="E32" t="s">
        <v>22</v>
      </c>
    </row>
    <row r="33" spans="1:5" x14ac:dyDescent="0.2">
      <c r="A33" t="s">
        <v>115</v>
      </c>
      <c r="B33" t="s">
        <v>120</v>
      </c>
      <c r="C33" t="str">
        <f t="shared" si="0"/>
        <v>US (Investments)</v>
      </c>
      <c r="D33">
        <v>45792</v>
      </c>
      <c r="E33" t="s">
        <v>110</v>
      </c>
    </row>
    <row r="34" spans="1:5" x14ac:dyDescent="0.2">
      <c r="A34" t="s">
        <v>117</v>
      </c>
      <c r="B34" t="s">
        <v>120</v>
      </c>
      <c r="C34" t="str">
        <f t="shared" si="0"/>
        <v>Middle-East (Investments)</v>
      </c>
      <c r="D34">
        <v>46969</v>
      </c>
      <c r="E34" t="s">
        <v>19</v>
      </c>
    </row>
    <row r="35" spans="1:5" x14ac:dyDescent="0.2">
      <c r="A35" t="s">
        <v>115</v>
      </c>
      <c r="B35" t="s">
        <v>120</v>
      </c>
      <c r="C35" t="str">
        <f t="shared" si="0"/>
        <v>US (Investments)</v>
      </c>
      <c r="D35">
        <v>20294</v>
      </c>
      <c r="E35" t="s">
        <v>110</v>
      </c>
    </row>
    <row r="36" spans="1:5" x14ac:dyDescent="0.2">
      <c r="A36" t="s">
        <v>118</v>
      </c>
      <c r="B36" t="s">
        <v>120</v>
      </c>
      <c r="C36" t="str">
        <f t="shared" si="0"/>
        <v>Asia-Pacific (Investments)</v>
      </c>
      <c r="D36">
        <v>43340</v>
      </c>
      <c r="E36" t="s">
        <v>5</v>
      </c>
    </row>
    <row r="37" spans="1:5" x14ac:dyDescent="0.2">
      <c r="A37" t="s">
        <v>116</v>
      </c>
      <c r="B37" t="s">
        <v>113</v>
      </c>
      <c r="C37" t="str">
        <f t="shared" si="0"/>
        <v>Europe (Consulting)</v>
      </c>
      <c r="D37">
        <v>29282</v>
      </c>
      <c r="E37" t="s">
        <v>23</v>
      </c>
    </row>
    <row r="38" spans="1:5" x14ac:dyDescent="0.2">
      <c r="A38" t="s">
        <v>116</v>
      </c>
      <c r="B38" t="s">
        <v>113</v>
      </c>
      <c r="C38" t="str">
        <f t="shared" si="0"/>
        <v>Europe (Consulting)</v>
      </c>
      <c r="D38">
        <v>50768</v>
      </c>
      <c r="E38" t="s">
        <v>34</v>
      </c>
    </row>
    <row r="39" spans="1:5" x14ac:dyDescent="0.2">
      <c r="A39" t="s">
        <v>114</v>
      </c>
      <c r="B39" t="s">
        <v>119</v>
      </c>
      <c r="C39" t="str">
        <f t="shared" si="0"/>
        <v>Africa (Facilities Management)</v>
      </c>
      <c r="D39">
        <v>79177</v>
      </c>
      <c r="E39" t="s">
        <v>22</v>
      </c>
    </row>
    <row r="40" spans="1:5" x14ac:dyDescent="0.2">
      <c r="A40" t="s">
        <v>118</v>
      </c>
      <c r="B40" t="s">
        <v>120</v>
      </c>
      <c r="C40" t="str">
        <f t="shared" si="0"/>
        <v>Asia-Pacific (Investments)</v>
      </c>
      <c r="D40">
        <v>25937</v>
      </c>
      <c r="E40" t="s">
        <v>8</v>
      </c>
    </row>
    <row r="41" spans="1:5" x14ac:dyDescent="0.2">
      <c r="A41" t="s">
        <v>115</v>
      </c>
      <c r="B41" t="s">
        <v>113</v>
      </c>
      <c r="C41" t="str">
        <f t="shared" si="0"/>
        <v>US (Consulting)</v>
      </c>
      <c r="D41">
        <v>38696</v>
      </c>
      <c r="E41" t="s">
        <v>42</v>
      </c>
    </row>
    <row r="42" spans="1:5" x14ac:dyDescent="0.2">
      <c r="A42" t="s">
        <v>118</v>
      </c>
      <c r="B42" t="s">
        <v>119</v>
      </c>
      <c r="C42" t="str">
        <f t="shared" si="0"/>
        <v>Asia-Pacific (Facilities Management)</v>
      </c>
      <c r="D42">
        <v>81857</v>
      </c>
      <c r="E42" t="s">
        <v>5</v>
      </c>
    </row>
    <row r="43" spans="1:5" x14ac:dyDescent="0.2">
      <c r="A43" t="s">
        <v>116</v>
      </c>
      <c r="B43" t="s">
        <v>119</v>
      </c>
      <c r="C43" t="str">
        <f t="shared" si="0"/>
        <v>Europe (Facilities Management)</v>
      </c>
      <c r="D43">
        <v>63220</v>
      </c>
      <c r="E43" t="s">
        <v>5</v>
      </c>
    </row>
    <row r="44" spans="1:5" x14ac:dyDescent="0.2">
      <c r="A44" t="s">
        <v>115</v>
      </c>
      <c r="B44" t="s">
        <v>119</v>
      </c>
      <c r="C44" t="str">
        <f t="shared" si="0"/>
        <v>US (Facilities Management)</v>
      </c>
      <c r="D44">
        <v>15285</v>
      </c>
      <c r="E44" t="s">
        <v>6</v>
      </c>
    </row>
    <row r="45" spans="1:5" x14ac:dyDescent="0.2">
      <c r="A45" t="s">
        <v>114</v>
      </c>
      <c r="B45" t="s">
        <v>113</v>
      </c>
      <c r="C45" t="str">
        <f t="shared" si="0"/>
        <v>Africa (Consulting)</v>
      </c>
      <c r="D45">
        <v>21736</v>
      </c>
      <c r="E45" t="s">
        <v>28</v>
      </c>
    </row>
    <row r="46" spans="1:5" x14ac:dyDescent="0.2">
      <c r="A46" t="s">
        <v>115</v>
      </c>
      <c r="B46" t="s">
        <v>119</v>
      </c>
      <c r="C46" t="str">
        <f t="shared" si="0"/>
        <v>US (Facilities Management)</v>
      </c>
      <c r="D46">
        <v>48636</v>
      </c>
      <c r="E46" t="s">
        <v>16</v>
      </c>
    </row>
    <row r="47" spans="1:5" x14ac:dyDescent="0.2">
      <c r="A47" t="s">
        <v>116</v>
      </c>
      <c r="B47" t="s">
        <v>113</v>
      </c>
      <c r="C47" t="str">
        <f t="shared" si="0"/>
        <v>Europe (Consulting)</v>
      </c>
      <c r="D47">
        <v>81857</v>
      </c>
      <c r="E47" t="s">
        <v>29</v>
      </c>
    </row>
    <row r="48" spans="1:5" x14ac:dyDescent="0.2">
      <c r="A48" t="s">
        <v>114</v>
      </c>
      <c r="B48" t="s">
        <v>113</v>
      </c>
      <c r="C48" t="str">
        <f t="shared" si="0"/>
        <v>Africa (Consulting)</v>
      </c>
      <c r="D48">
        <v>81857</v>
      </c>
      <c r="E48" t="s">
        <v>25</v>
      </c>
    </row>
    <row r="49" spans="1:5" x14ac:dyDescent="0.2">
      <c r="A49" t="s">
        <v>115</v>
      </c>
      <c r="B49" t="s">
        <v>119</v>
      </c>
      <c r="C49" t="str">
        <f t="shared" si="0"/>
        <v>US (Facilities Management)</v>
      </c>
      <c r="D49">
        <v>24014</v>
      </c>
      <c r="E49" t="s">
        <v>36</v>
      </c>
    </row>
    <row r="50" spans="1:5" x14ac:dyDescent="0.2">
      <c r="A50" t="s">
        <v>117</v>
      </c>
      <c r="B50" t="s">
        <v>119</v>
      </c>
      <c r="C50" t="str">
        <f t="shared" si="0"/>
        <v>Middle-East (Facilities Management)</v>
      </c>
      <c r="D50">
        <v>69407</v>
      </c>
      <c r="E50" t="s">
        <v>24</v>
      </c>
    </row>
    <row r="51" spans="1:5" x14ac:dyDescent="0.2">
      <c r="A51" t="s">
        <v>117</v>
      </c>
      <c r="B51" t="s">
        <v>119</v>
      </c>
      <c r="C51" t="str">
        <f t="shared" si="0"/>
        <v>Middle-East (Facilities Management)</v>
      </c>
      <c r="D51">
        <v>61551</v>
      </c>
      <c r="E51" t="s">
        <v>43</v>
      </c>
    </row>
    <row r="52" spans="1:5" x14ac:dyDescent="0.2">
      <c r="A52" t="s">
        <v>114</v>
      </c>
      <c r="B52" t="s">
        <v>119</v>
      </c>
      <c r="C52" t="str">
        <f t="shared" si="0"/>
        <v>Africa (Facilities Management)</v>
      </c>
      <c r="D52">
        <v>46187</v>
      </c>
      <c r="E52" t="s">
        <v>7</v>
      </c>
    </row>
    <row r="53" spans="1:5" x14ac:dyDescent="0.2">
      <c r="A53" t="s">
        <v>115</v>
      </c>
      <c r="B53" t="s">
        <v>120</v>
      </c>
      <c r="C53" t="str">
        <f t="shared" si="0"/>
        <v>US (Investments)</v>
      </c>
      <c r="D53">
        <v>37424</v>
      </c>
      <c r="E53" t="s">
        <v>33</v>
      </c>
    </row>
    <row r="54" spans="1:5" x14ac:dyDescent="0.2">
      <c r="A54" t="s">
        <v>115</v>
      </c>
      <c r="B54" t="s">
        <v>119</v>
      </c>
      <c r="C54" t="str">
        <f t="shared" si="0"/>
        <v>US (Facilities Management)</v>
      </c>
      <c r="D54">
        <v>22559</v>
      </c>
      <c r="E54" t="s">
        <v>44</v>
      </c>
    </row>
    <row r="55" spans="1:5" x14ac:dyDescent="0.2">
      <c r="A55" t="s">
        <v>114</v>
      </c>
      <c r="B55" t="s">
        <v>120</v>
      </c>
      <c r="C55" t="str">
        <f t="shared" si="0"/>
        <v>Africa (Investments)</v>
      </c>
      <c r="D55">
        <v>46969</v>
      </c>
      <c r="E55" t="s">
        <v>32</v>
      </c>
    </row>
    <row r="56" spans="1:5" x14ac:dyDescent="0.2">
      <c r="A56" t="s">
        <v>114</v>
      </c>
      <c r="B56" t="s">
        <v>119</v>
      </c>
      <c r="C56" t="str">
        <f t="shared" si="0"/>
        <v>Africa (Facilities Management)</v>
      </c>
      <c r="D56">
        <v>23259</v>
      </c>
      <c r="E56" t="s">
        <v>40</v>
      </c>
    </row>
    <row r="57" spans="1:5" x14ac:dyDescent="0.2">
      <c r="A57" t="s">
        <v>116</v>
      </c>
      <c r="B57" t="s">
        <v>113</v>
      </c>
      <c r="C57" t="str">
        <f t="shared" si="0"/>
        <v>Europe (Consulting)</v>
      </c>
      <c r="D57">
        <v>77596</v>
      </c>
      <c r="E57" t="s">
        <v>22</v>
      </c>
    </row>
    <row r="58" spans="1:5" x14ac:dyDescent="0.2">
      <c r="A58" t="s">
        <v>114</v>
      </c>
      <c r="B58" t="s">
        <v>119</v>
      </c>
      <c r="C58" t="str">
        <f t="shared" si="0"/>
        <v>Africa (Facilities Management)</v>
      </c>
      <c r="D58">
        <v>47097</v>
      </c>
      <c r="E58" t="s">
        <v>42</v>
      </c>
    </row>
    <row r="59" spans="1:5" x14ac:dyDescent="0.2">
      <c r="A59" t="s">
        <v>116</v>
      </c>
      <c r="B59" t="s">
        <v>120</v>
      </c>
      <c r="C59" t="str">
        <f t="shared" si="0"/>
        <v>Europe (Investments)</v>
      </c>
      <c r="D59">
        <v>73889</v>
      </c>
      <c r="E59" t="s">
        <v>12</v>
      </c>
    </row>
    <row r="60" spans="1:5" x14ac:dyDescent="0.2">
      <c r="A60" t="s">
        <v>114</v>
      </c>
      <c r="B60" t="s">
        <v>120</v>
      </c>
      <c r="C60" t="str">
        <f t="shared" si="0"/>
        <v>Africa (Investments)</v>
      </c>
      <c r="D60">
        <v>23326</v>
      </c>
      <c r="E60" t="s">
        <v>33</v>
      </c>
    </row>
    <row r="61" spans="1:5" x14ac:dyDescent="0.2">
      <c r="A61" t="s">
        <v>117</v>
      </c>
      <c r="B61" t="s">
        <v>113</v>
      </c>
      <c r="C61" t="str">
        <f t="shared" si="0"/>
        <v>Middle-East (Consulting)</v>
      </c>
      <c r="D61">
        <v>35207</v>
      </c>
      <c r="E61" t="s">
        <v>44</v>
      </c>
    </row>
    <row r="62" spans="1:5" x14ac:dyDescent="0.2">
      <c r="A62" t="s">
        <v>116</v>
      </c>
      <c r="B62" t="s">
        <v>113</v>
      </c>
      <c r="C62" t="str">
        <f t="shared" si="0"/>
        <v>Europe (Consulting)</v>
      </c>
      <c r="D62">
        <v>36055</v>
      </c>
      <c r="E62" t="s">
        <v>21</v>
      </c>
    </row>
    <row r="63" spans="1:5" x14ac:dyDescent="0.2">
      <c r="A63" t="s">
        <v>114</v>
      </c>
      <c r="B63" t="s">
        <v>113</v>
      </c>
      <c r="C63" t="str">
        <f t="shared" si="0"/>
        <v>Africa (Consulting)</v>
      </c>
      <c r="D63">
        <v>21736</v>
      </c>
      <c r="E63" t="s">
        <v>10</v>
      </c>
    </row>
    <row r="64" spans="1:5" x14ac:dyDescent="0.2">
      <c r="A64" t="s">
        <v>117</v>
      </c>
      <c r="B64" t="s">
        <v>113</v>
      </c>
      <c r="C64" t="str">
        <f t="shared" si="0"/>
        <v>Middle-East (Consulting)</v>
      </c>
      <c r="D64">
        <v>86385</v>
      </c>
      <c r="E64" t="s">
        <v>13</v>
      </c>
    </row>
    <row r="65" spans="1:5" x14ac:dyDescent="0.2">
      <c r="A65" t="s">
        <v>114</v>
      </c>
      <c r="B65" t="s">
        <v>113</v>
      </c>
      <c r="C65" t="str">
        <f t="shared" si="0"/>
        <v>Africa (Consulting)</v>
      </c>
      <c r="D65">
        <v>63220</v>
      </c>
      <c r="E65" t="s">
        <v>20</v>
      </c>
    </row>
    <row r="66" spans="1:5" x14ac:dyDescent="0.2">
      <c r="A66" t="s">
        <v>116</v>
      </c>
      <c r="B66" t="s">
        <v>119</v>
      </c>
      <c r="C66" t="str">
        <f t="shared" si="0"/>
        <v>Europe (Facilities Management)</v>
      </c>
      <c r="D66">
        <v>75884</v>
      </c>
      <c r="E66" t="s">
        <v>20</v>
      </c>
    </row>
    <row r="67" spans="1:5" x14ac:dyDescent="0.2">
      <c r="A67" t="s">
        <v>115</v>
      </c>
      <c r="B67" t="s">
        <v>119</v>
      </c>
      <c r="C67" t="str">
        <f t="shared" ref="C67:C130" si="1">CONCATENATE(A67, " (", B67, ")")</f>
        <v>US (Facilities Management)</v>
      </c>
      <c r="D67">
        <v>30776</v>
      </c>
      <c r="E67" t="s">
        <v>47</v>
      </c>
    </row>
    <row r="68" spans="1:5" x14ac:dyDescent="0.2">
      <c r="A68" t="s">
        <v>117</v>
      </c>
      <c r="B68" t="s">
        <v>120</v>
      </c>
      <c r="C68" t="str">
        <f t="shared" si="1"/>
        <v>Middle-East (Investments)</v>
      </c>
      <c r="D68">
        <v>77596</v>
      </c>
      <c r="E68" t="s">
        <v>3</v>
      </c>
    </row>
    <row r="69" spans="1:5" x14ac:dyDescent="0.2">
      <c r="A69" t="s">
        <v>117</v>
      </c>
      <c r="B69" t="s">
        <v>120</v>
      </c>
      <c r="C69" t="str">
        <f t="shared" si="1"/>
        <v>Middle-East (Investments)</v>
      </c>
      <c r="D69">
        <v>28291</v>
      </c>
      <c r="E69" t="s">
        <v>34</v>
      </c>
    </row>
    <row r="70" spans="1:5" x14ac:dyDescent="0.2">
      <c r="A70" t="s">
        <v>116</v>
      </c>
      <c r="B70" t="s">
        <v>120</v>
      </c>
      <c r="C70" t="str">
        <f t="shared" si="1"/>
        <v>Europe (Investments)</v>
      </c>
      <c r="D70">
        <v>41143</v>
      </c>
      <c r="E70" t="s">
        <v>40</v>
      </c>
    </row>
    <row r="71" spans="1:5" x14ac:dyDescent="0.2">
      <c r="A71" t="s">
        <v>117</v>
      </c>
      <c r="B71" t="s">
        <v>120</v>
      </c>
      <c r="C71" t="str">
        <f t="shared" si="1"/>
        <v>Middle-East (Investments)</v>
      </c>
      <c r="D71">
        <v>87775</v>
      </c>
      <c r="E71" t="s">
        <v>37</v>
      </c>
    </row>
    <row r="72" spans="1:5" x14ac:dyDescent="0.2">
      <c r="A72" t="s">
        <v>115</v>
      </c>
      <c r="B72" t="s">
        <v>119</v>
      </c>
      <c r="C72" t="str">
        <f t="shared" si="1"/>
        <v>US (Facilities Management)</v>
      </c>
      <c r="D72">
        <v>50240</v>
      </c>
      <c r="E72" t="s">
        <v>35</v>
      </c>
    </row>
    <row r="73" spans="1:5" x14ac:dyDescent="0.2">
      <c r="A73" t="s">
        <v>114</v>
      </c>
      <c r="B73" t="s">
        <v>119</v>
      </c>
      <c r="C73" t="str">
        <f t="shared" si="1"/>
        <v>Africa (Facilities Management)</v>
      </c>
      <c r="D73">
        <v>24905</v>
      </c>
      <c r="E73" t="s">
        <v>40</v>
      </c>
    </row>
    <row r="74" spans="1:5" x14ac:dyDescent="0.2">
      <c r="A74" t="s">
        <v>118</v>
      </c>
      <c r="B74" t="s">
        <v>119</v>
      </c>
      <c r="C74" t="str">
        <f t="shared" si="1"/>
        <v>Asia-Pacific (Facilities Management)</v>
      </c>
      <c r="D74">
        <v>78601</v>
      </c>
      <c r="E74" t="s">
        <v>7</v>
      </c>
    </row>
    <row r="75" spans="1:5" x14ac:dyDescent="0.2">
      <c r="A75" t="s">
        <v>118</v>
      </c>
      <c r="B75" t="s">
        <v>113</v>
      </c>
      <c r="C75" t="str">
        <f t="shared" si="1"/>
        <v>Asia-Pacific (Consulting)</v>
      </c>
      <c r="D75">
        <v>74713</v>
      </c>
      <c r="E75" t="s">
        <v>17</v>
      </c>
    </row>
    <row r="76" spans="1:5" x14ac:dyDescent="0.2">
      <c r="A76" t="s">
        <v>115</v>
      </c>
      <c r="B76" t="s">
        <v>120</v>
      </c>
      <c r="C76" t="str">
        <f t="shared" si="1"/>
        <v>US (Investments)</v>
      </c>
      <c r="D76">
        <v>74336</v>
      </c>
      <c r="E76" t="s">
        <v>6</v>
      </c>
    </row>
    <row r="77" spans="1:5" x14ac:dyDescent="0.2">
      <c r="A77" t="s">
        <v>114</v>
      </c>
      <c r="B77" t="s">
        <v>113</v>
      </c>
      <c r="C77" t="str">
        <f t="shared" si="1"/>
        <v>Africa (Consulting)</v>
      </c>
      <c r="D77">
        <v>10151</v>
      </c>
      <c r="E77" t="s">
        <v>24</v>
      </c>
    </row>
    <row r="78" spans="1:5" x14ac:dyDescent="0.2">
      <c r="A78" t="s">
        <v>117</v>
      </c>
      <c r="B78" t="s">
        <v>113</v>
      </c>
      <c r="C78" t="str">
        <f t="shared" si="1"/>
        <v>Middle-East (Consulting)</v>
      </c>
      <c r="D78">
        <v>87778</v>
      </c>
      <c r="E78" t="s">
        <v>12</v>
      </c>
    </row>
    <row r="79" spans="1:5" x14ac:dyDescent="0.2">
      <c r="A79" t="s">
        <v>117</v>
      </c>
      <c r="B79" t="s">
        <v>119</v>
      </c>
      <c r="C79" t="str">
        <f t="shared" si="1"/>
        <v>Middle-East (Facilities Management)</v>
      </c>
      <c r="D79">
        <v>50410</v>
      </c>
      <c r="E79" t="s">
        <v>19</v>
      </c>
    </row>
    <row r="80" spans="1:5" x14ac:dyDescent="0.2">
      <c r="A80" t="s">
        <v>114</v>
      </c>
      <c r="B80" t="s">
        <v>119</v>
      </c>
      <c r="C80" t="str">
        <f t="shared" si="1"/>
        <v>Africa (Facilities Management)</v>
      </c>
      <c r="D80">
        <v>39706</v>
      </c>
      <c r="E80" t="s">
        <v>42</v>
      </c>
    </row>
    <row r="81" spans="1:5" x14ac:dyDescent="0.2">
      <c r="A81" t="s">
        <v>115</v>
      </c>
      <c r="B81" t="s">
        <v>119</v>
      </c>
      <c r="C81" t="str">
        <f t="shared" si="1"/>
        <v>US (Facilities Management)</v>
      </c>
      <c r="D81">
        <v>35143</v>
      </c>
      <c r="E81" t="s">
        <v>22</v>
      </c>
    </row>
    <row r="82" spans="1:5" x14ac:dyDescent="0.2">
      <c r="A82" t="s">
        <v>115</v>
      </c>
      <c r="B82" t="s">
        <v>120</v>
      </c>
      <c r="C82" t="str">
        <f t="shared" si="1"/>
        <v>US (Investments)</v>
      </c>
      <c r="D82">
        <v>53789</v>
      </c>
      <c r="E82" t="s">
        <v>26</v>
      </c>
    </row>
    <row r="83" spans="1:5" x14ac:dyDescent="0.2">
      <c r="A83" t="s">
        <v>116</v>
      </c>
      <c r="B83" t="s">
        <v>113</v>
      </c>
      <c r="C83" t="str">
        <f t="shared" si="1"/>
        <v>Europe (Consulting)</v>
      </c>
      <c r="D83">
        <v>63220</v>
      </c>
      <c r="E83" t="s">
        <v>8</v>
      </c>
    </row>
    <row r="84" spans="1:5" x14ac:dyDescent="0.2">
      <c r="A84" t="s">
        <v>118</v>
      </c>
      <c r="B84" t="s">
        <v>113</v>
      </c>
      <c r="C84" t="str">
        <f t="shared" si="1"/>
        <v>Asia-Pacific (Consulting)</v>
      </c>
      <c r="D84">
        <v>36135</v>
      </c>
      <c r="E84" t="s">
        <v>17</v>
      </c>
    </row>
    <row r="85" spans="1:5" x14ac:dyDescent="0.2">
      <c r="A85" t="s">
        <v>114</v>
      </c>
      <c r="B85" t="s">
        <v>120</v>
      </c>
      <c r="C85" t="str">
        <f t="shared" si="1"/>
        <v>Africa (Investments)</v>
      </c>
      <c r="D85">
        <v>53789</v>
      </c>
      <c r="E85" t="s">
        <v>27</v>
      </c>
    </row>
    <row r="86" spans="1:5" x14ac:dyDescent="0.2">
      <c r="A86" t="s">
        <v>114</v>
      </c>
      <c r="B86" t="s">
        <v>113</v>
      </c>
      <c r="C86" t="str">
        <f t="shared" si="1"/>
        <v>Africa (Consulting)</v>
      </c>
      <c r="D86">
        <v>53027</v>
      </c>
      <c r="E86" t="s">
        <v>31</v>
      </c>
    </row>
    <row r="87" spans="1:5" x14ac:dyDescent="0.2">
      <c r="A87" t="s">
        <v>116</v>
      </c>
      <c r="B87" t="s">
        <v>119</v>
      </c>
      <c r="C87" t="str">
        <f t="shared" si="1"/>
        <v>Europe (Facilities Management)</v>
      </c>
      <c r="D87">
        <v>75257</v>
      </c>
      <c r="E87" t="s">
        <v>30</v>
      </c>
    </row>
    <row r="88" spans="1:5" x14ac:dyDescent="0.2">
      <c r="A88" t="s">
        <v>117</v>
      </c>
      <c r="B88" t="s">
        <v>119</v>
      </c>
      <c r="C88" t="str">
        <f t="shared" si="1"/>
        <v>Middle-East (Facilities Management)</v>
      </c>
      <c r="D88">
        <v>79089</v>
      </c>
      <c r="E88" t="s">
        <v>41</v>
      </c>
    </row>
    <row r="89" spans="1:5" x14ac:dyDescent="0.2">
      <c r="A89" t="s">
        <v>115</v>
      </c>
      <c r="B89" t="s">
        <v>119</v>
      </c>
      <c r="C89" t="str">
        <f t="shared" si="1"/>
        <v>US (Facilities Management)</v>
      </c>
      <c r="D89">
        <v>66919</v>
      </c>
      <c r="E89" t="s">
        <v>41</v>
      </c>
    </row>
    <row r="90" spans="1:5" x14ac:dyDescent="0.2">
      <c r="A90" t="s">
        <v>115</v>
      </c>
      <c r="B90" t="s">
        <v>119</v>
      </c>
      <c r="C90" t="str">
        <f t="shared" si="1"/>
        <v>US (Facilities Management)</v>
      </c>
      <c r="D90">
        <v>79177</v>
      </c>
      <c r="E90" t="s">
        <v>12</v>
      </c>
    </row>
    <row r="91" spans="1:5" x14ac:dyDescent="0.2">
      <c r="A91" t="s">
        <v>114</v>
      </c>
      <c r="B91" t="s">
        <v>113</v>
      </c>
      <c r="C91" t="str">
        <f t="shared" si="1"/>
        <v>Africa (Consulting)</v>
      </c>
      <c r="D91">
        <v>11546</v>
      </c>
      <c r="E91" t="s">
        <v>38</v>
      </c>
    </row>
    <row r="92" spans="1:5" x14ac:dyDescent="0.2">
      <c r="A92" t="s">
        <v>114</v>
      </c>
      <c r="B92" t="s">
        <v>120</v>
      </c>
      <c r="C92" t="str">
        <f t="shared" si="1"/>
        <v>Africa (Investments)</v>
      </c>
      <c r="D92">
        <v>23326</v>
      </c>
      <c r="E92" t="s">
        <v>110</v>
      </c>
    </row>
    <row r="93" spans="1:5" x14ac:dyDescent="0.2">
      <c r="A93" t="s">
        <v>114</v>
      </c>
      <c r="B93" t="s">
        <v>120</v>
      </c>
      <c r="C93" t="str">
        <f t="shared" si="1"/>
        <v>Africa (Investments)</v>
      </c>
      <c r="D93">
        <v>63220</v>
      </c>
      <c r="E93" t="s">
        <v>36</v>
      </c>
    </row>
    <row r="94" spans="1:5" x14ac:dyDescent="0.2">
      <c r="A94" t="s">
        <v>116</v>
      </c>
      <c r="B94" t="s">
        <v>120</v>
      </c>
      <c r="C94" t="str">
        <f t="shared" si="1"/>
        <v>Europe (Investments)</v>
      </c>
      <c r="D94">
        <v>68945</v>
      </c>
      <c r="E94" t="s">
        <v>35</v>
      </c>
    </row>
    <row r="95" spans="1:5" x14ac:dyDescent="0.2">
      <c r="A95" t="s">
        <v>114</v>
      </c>
      <c r="B95" t="s">
        <v>119</v>
      </c>
      <c r="C95" t="str">
        <f t="shared" si="1"/>
        <v>Africa (Facilities Management)</v>
      </c>
      <c r="D95">
        <v>48636</v>
      </c>
      <c r="E95" t="s">
        <v>9</v>
      </c>
    </row>
    <row r="96" spans="1:5" x14ac:dyDescent="0.2">
      <c r="A96" t="s">
        <v>117</v>
      </c>
      <c r="B96" t="s">
        <v>120</v>
      </c>
      <c r="C96" t="str">
        <f t="shared" si="1"/>
        <v>Middle-East (Investments)</v>
      </c>
      <c r="D96">
        <v>28128</v>
      </c>
      <c r="E96" t="s">
        <v>26</v>
      </c>
    </row>
    <row r="97" spans="1:5" x14ac:dyDescent="0.2">
      <c r="A97" t="s">
        <v>116</v>
      </c>
      <c r="B97" t="s">
        <v>120</v>
      </c>
      <c r="C97" t="str">
        <f t="shared" si="1"/>
        <v>Europe (Investments)</v>
      </c>
      <c r="D97">
        <v>75884</v>
      </c>
      <c r="E97" t="s">
        <v>110</v>
      </c>
    </row>
    <row r="98" spans="1:5" x14ac:dyDescent="0.2">
      <c r="A98" t="s">
        <v>118</v>
      </c>
      <c r="B98" t="s">
        <v>113</v>
      </c>
      <c r="C98" t="str">
        <f t="shared" si="1"/>
        <v>Asia-Pacific (Consulting)</v>
      </c>
      <c r="D98">
        <v>64705</v>
      </c>
      <c r="E98" t="s">
        <v>110</v>
      </c>
    </row>
    <row r="99" spans="1:5" x14ac:dyDescent="0.2">
      <c r="A99" t="s">
        <v>114</v>
      </c>
      <c r="B99" t="s">
        <v>119</v>
      </c>
      <c r="C99" t="str">
        <f t="shared" si="1"/>
        <v>Africa (Facilities Management)</v>
      </c>
      <c r="D99">
        <v>53027</v>
      </c>
      <c r="E99" t="s">
        <v>18</v>
      </c>
    </row>
    <row r="100" spans="1:5" x14ac:dyDescent="0.2">
      <c r="A100" t="s">
        <v>118</v>
      </c>
      <c r="B100" t="s">
        <v>113</v>
      </c>
      <c r="C100" t="str">
        <f t="shared" si="1"/>
        <v>Asia-Pacific (Consulting)</v>
      </c>
      <c r="D100">
        <v>64705</v>
      </c>
      <c r="E100" t="s">
        <v>6</v>
      </c>
    </row>
    <row r="101" spans="1:5" x14ac:dyDescent="0.2">
      <c r="A101" t="s">
        <v>117</v>
      </c>
      <c r="B101" t="s">
        <v>113</v>
      </c>
      <c r="C101" t="str">
        <f t="shared" si="1"/>
        <v>Middle-East (Consulting)</v>
      </c>
      <c r="D101">
        <v>24003</v>
      </c>
      <c r="E101" t="s">
        <v>8</v>
      </c>
    </row>
    <row r="102" spans="1:5" x14ac:dyDescent="0.2">
      <c r="A102" t="s">
        <v>117</v>
      </c>
      <c r="B102" t="s">
        <v>119</v>
      </c>
      <c r="C102" t="str">
        <f t="shared" si="1"/>
        <v>Middle-East (Facilities Management)</v>
      </c>
      <c r="D102">
        <v>66384</v>
      </c>
      <c r="E102" t="s">
        <v>38</v>
      </c>
    </row>
    <row r="103" spans="1:5" x14ac:dyDescent="0.2">
      <c r="A103" t="s">
        <v>114</v>
      </c>
      <c r="B103" t="s">
        <v>113</v>
      </c>
      <c r="C103" t="str">
        <f t="shared" si="1"/>
        <v>Africa (Consulting)</v>
      </c>
      <c r="D103">
        <v>79863</v>
      </c>
      <c r="E103" t="s">
        <v>14</v>
      </c>
    </row>
    <row r="104" spans="1:5" x14ac:dyDescent="0.2">
      <c r="A104" t="s">
        <v>114</v>
      </c>
      <c r="B104" t="s">
        <v>113</v>
      </c>
      <c r="C104" t="str">
        <f t="shared" si="1"/>
        <v>Africa (Consulting)</v>
      </c>
      <c r="D104">
        <v>79863</v>
      </c>
      <c r="E104" t="s">
        <v>16</v>
      </c>
    </row>
    <row r="105" spans="1:5" x14ac:dyDescent="0.2">
      <c r="A105" t="s">
        <v>116</v>
      </c>
      <c r="B105" t="s">
        <v>120</v>
      </c>
      <c r="C105" t="str">
        <f t="shared" si="1"/>
        <v>Europe (Investments)</v>
      </c>
      <c r="D105">
        <v>73889</v>
      </c>
      <c r="E105" t="s">
        <v>15</v>
      </c>
    </row>
    <row r="106" spans="1:5" x14ac:dyDescent="0.2">
      <c r="A106" t="s">
        <v>114</v>
      </c>
      <c r="B106" t="s">
        <v>113</v>
      </c>
      <c r="C106" t="str">
        <f t="shared" si="1"/>
        <v>Africa (Consulting)</v>
      </c>
      <c r="D106">
        <v>21736</v>
      </c>
      <c r="E106" t="s">
        <v>11</v>
      </c>
    </row>
    <row r="107" spans="1:5" x14ac:dyDescent="0.2">
      <c r="A107" t="s">
        <v>114</v>
      </c>
      <c r="B107" t="s">
        <v>120</v>
      </c>
      <c r="C107" t="str">
        <f t="shared" si="1"/>
        <v>Africa (Investments)</v>
      </c>
      <c r="D107">
        <v>73889</v>
      </c>
      <c r="E107" t="s">
        <v>110</v>
      </c>
    </row>
    <row r="108" spans="1:5" x14ac:dyDescent="0.2">
      <c r="A108" t="s">
        <v>114</v>
      </c>
      <c r="B108" t="s">
        <v>120</v>
      </c>
      <c r="C108" t="str">
        <f t="shared" si="1"/>
        <v>Africa (Investments)</v>
      </c>
      <c r="D108">
        <v>75884</v>
      </c>
      <c r="E108" t="s">
        <v>35</v>
      </c>
    </row>
    <row r="109" spans="1:5" x14ac:dyDescent="0.2">
      <c r="A109" t="s">
        <v>114</v>
      </c>
      <c r="B109" t="s">
        <v>113</v>
      </c>
      <c r="C109" t="str">
        <f t="shared" si="1"/>
        <v>Africa (Consulting)</v>
      </c>
      <c r="D109">
        <v>15285</v>
      </c>
      <c r="E109" t="s">
        <v>8</v>
      </c>
    </row>
    <row r="110" spans="1:5" x14ac:dyDescent="0.2">
      <c r="A110" t="s">
        <v>116</v>
      </c>
      <c r="B110" t="s">
        <v>119</v>
      </c>
      <c r="C110" t="str">
        <f t="shared" si="1"/>
        <v>Europe (Facilities Management)</v>
      </c>
      <c r="D110">
        <v>51003</v>
      </c>
      <c r="E110" t="s">
        <v>36</v>
      </c>
    </row>
    <row r="111" spans="1:5" x14ac:dyDescent="0.2">
      <c r="A111" t="s">
        <v>114</v>
      </c>
      <c r="B111" t="s">
        <v>119</v>
      </c>
      <c r="C111" t="str">
        <f t="shared" si="1"/>
        <v>Africa (Facilities Management)</v>
      </c>
      <c r="D111">
        <v>21736</v>
      </c>
      <c r="E111" t="s">
        <v>37</v>
      </c>
    </row>
    <row r="112" spans="1:5" x14ac:dyDescent="0.2">
      <c r="A112" t="s">
        <v>117</v>
      </c>
      <c r="B112" t="s">
        <v>113</v>
      </c>
      <c r="C112" t="str">
        <f t="shared" si="1"/>
        <v>Middle-East (Consulting)</v>
      </c>
      <c r="D112">
        <v>86385</v>
      </c>
      <c r="E112" t="s">
        <v>36</v>
      </c>
    </row>
    <row r="113" spans="1:5" x14ac:dyDescent="0.2">
      <c r="A113" t="s">
        <v>114</v>
      </c>
      <c r="B113" t="s">
        <v>120</v>
      </c>
      <c r="C113" t="str">
        <f t="shared" si="1"/>
        <v>Africa (Investments)</v>
      </c>
      <c r="D113">
        <v>63220</v>
      </c>
      <c r="E113" t="s">
        <v>31</v>
      </c>
    </row>
    <row r="114" spans="1:5" x14ac:dyDescent="0.2">
      <c r="A114" t="s">
        <v>116</v>
      </c>
      <c r="B114" t="s">
        <v>113</v>
      </c>
      <c r="C114" t="str">
        <f t="shared" si="1"/>
        <v>Europe (Consulting)</v>
      </c>
      <c r="D114">
        <v>50768</v>
      </c>
      <c r="E114" t="s">
        <v>8</v>
      </c>
    </row>
    <row r="115" spans="1:5" x14ac:dyDescent="0.2">
      <c r="A115" t="s">
        <v>116</v>
      </c>
      <c r="B115" t="s">
        <v>120</v>
      </c>
      <c r="C115" t="str">
        <f t="shared" si="1"/>
        <v>Europe (Investments)</v>
      </c>
      <c r="D115">
        <v>68945</v>
      </c>
      <c r="E115" t="s">
        <v>8</v>
      </c>
    </row>
    <row r="116" spans="1:5" x14ac:dyDescent="0.2">
      <c r="A116" t="s">
        <v>118</v>
      </c>
      <c r="B116" t="s">
        <v>119</v>
      </c>
      <c r="C116" t="str">
        <f t="shared" si="1"/>
        <v>Asia-Pacific (Facilities Management)</v>
      </c>
      <c r="D116">
        <v>26271</v>
      </c>
      <c r="E116" t="s">
        <v>20</v>
      </c>
    </row>
    <row r="117" spans="1:5" x14ac:dyDescent="0.2">
      <c r="A117" t="s">
        <v>115</v>
      </c>
      <c r="B117" t="s">
        <v>119</v>
      </c>
      <c r="C117" t="str">
        <f t="shared" si="1"/>
        <v>US (Facilities Management)</v>
      </c>
      <c r="D117">
        <v>33328</v>
      </c>
      <c r="E117" t="s">
        <v>110</v>
      </c>
    </row>
    <row r="118" spans="1:5" x14ac:dyDescent="0.2">
      <c r="A118" t="s">
        <v>114</v>
      </c>
      <c r="B118" t="s">
        <v>113</v>
      </c>
      <c r="C118" t="str">
        <f t="shared" si="1"/>
        <v>Africa (Consulting)</v>
      </c>
      <c r="D118">
        <v>79863</v>
      </c>
      <c r="E118" t="s">
        <v>26</v>
      </c>
    </row>
    <row r="119" spans="1:5" x14ac:dyDescent="0.2">
      <c r="A119" t="s">
        <v>117</v>
      </c>
      <c r="B119" t="s">
        <v>120</v>
      </c>
      <c r="C119" t="str">
        <f t="shared" si="1"/>
        <v>Middle-East (Investments)</v>
      </c>
      <c r="D119">
        <v>66919</v>
      </c>
      <c r="E119" t="s">
        <v>13</v>
      </c>
    </row>
    <row r="120" spans="1:5" x14ac:dyDescent="0.2">
      <c r="A120" t="s">
        <v>114</v>
      </c>
      <c r="B120" t="s">
        <v>119</v>
      </c>
      <c r="C120" t="str">
        <f t="shared" si="1"/>
        <v>Africa (Facilities Management)</v>
      </c>
      <c r="D120">
        <v>21736</v>
      </c>
      <c r="E120" t="s">
        <v>39</v>
      </c>
    </row>
    <row r="121" spans="1:5" x14ac:dyDescent="0.2">
      <c r="A121" t="s">
        <v>117</v>
      </c>
      <c r="B121" t="s">
        <v>120</v>
      </c>
      <c r="C121" t="str">
        <f t="shared" si="1"/>
        <v>Middle-East (Investments)</v>
      </c>
      <c r="D121">
        <v>46969</v>
      </c>
      <c r="E121" t="s">
        <v>41</v>
      </c>
    </row>
    <row r="122" spans="1:5" x14ac:dyDescent="0.2">
      <c r="A122" t="s">
        <v>116</v>
      </c>
      <c r="B122" t="s">
        <v>119</v>
      </c>
      <c r="C122" t="str">
        <f t="shared" si="1"/>
        <v>Europe (Facilities Management)</v>
      </c>
      <c r="D122">
        <v>74336</v>
      </c>
      <c r="E122" t="s">
        <v>18</v>
      </c>
    </row>
    <row r="123" spans="1:5" x14ac:dyDescent="0.2">
      <c r="A123" t="s">
        <v>116</v>
      </c>
      <c r="B123" t="s">
        <v>119</v>
      </c>
      <c r="C123" t="str">
        <f t="shared" si="1"/>
        <v>Europe (Facilities Management)</v>
      </c>
      <c r="D123">
        <v>63220</v>
      </c>
      <c r="E123" t="s">
        <v>39</v>
      </c>
    </row>
    <row r="124" spans="1:5" x14ac:dyDescent="0.2">
      <c r="A124" t="s">
        <v>114</v>
      </c>
      <c r="B124" t="s">
        <v>119</v>
      </c>
      <c r="C124" t="str">
        <f t="shared" si="1"/>
        <v>Africa (Facilities Management)</v>
      </c>
      <c r="D124">
        <v>39706</v>
      </c>
      <c r="E124" t="s">
        <v>28</v>
      </c>
    </row>
    <row r="125" spans="1:5" x14ac:dyDescent="0.2">
      <c r="A125" t="s">
        <v>118</v>
      </c>
      <c r="B125" t="s">
        <v>120</v>
      </c>
      <c r="C125" t="str">
        <f t="shared" si="1"/>
        <v>Asia-Pacific (Investments)</v>
      </c>
      <c r="D125">
        <v>15595</v>
      </c>
      <c r="E125" t="s">
        <v>21</v>
      </c>
    </row>
    <row r="126" spans="1:5" x14ac:dyDescent="0.2">
      <c r="A126" t="s">
        <v>116</v>
      </c>
      <c r="B126" t="s">
        <v>119</v>
      </c>
      <c r="C126" t="str">
        <f t="shared" si="1"/>
        <v>Europe (Facilities Management)</v>
      </c>
      <c r="D126">
        <v>38653</v>
      </c>
      <c r="E126" t="s">
        <v>19</v>
      </c>
    </row>
    <row r="127" spans="1:5" x14ac:dyDescent="0.2">
      <c r="A127" t="s">
        <v>116</v>
      </c>
      <c r="B127" t="s">
        <v>120</v>
      </c>
      <c r="C127" t="str">
        <f t="shared" si="1"/>
        <v>Europe (Investments)</v>
      </c>
      <c r="D127">
        <v>20910</v>
      </c>
      <c r="E127" t="s">
        <v>10</v>
      </c>
    </row>
    <row r="128" spans="1:5" x14ac:dyDescent="0.2">
      <c r="A128" t="s">
        <v>116</v>
      </c>
      <c r="B128" t="s">
        <v>113</v>
      </c>
      <c r="C128" t="str">
        <f t="shared" si="1"/>
        <v>Europe (Consulting)</v>
      </c>
      <c r="D128">
        <v>26287</v>
      </c>
      <c r="E128" t="s">
        <v>26</v>
      </c>
    </row>
    <row r="129" spans="1:5" x14ac:dyDescent="0.2">
      <c r="A129" t="s">
        <v>117</v>
      </c>
      <c r="B129" t="s">
        <v>119</v>
      </c>
      <c r="C129" t="str">
        <f t="shared" si="1"/>
        <v>Middle-East (Facilities Management)</v>
      </c>
      <c r="D129">
        <v>82313</v>
      </c>
      <c r="E129" t="s">
        <v>38</v>
      </c>
    </row>
    <row r="130" spans="1:5" x14ac:dyDescent="0.2">
      <c r="A130" t="s">
        <v>115</v>
      </c>
      <c r="B130" t="s">
        <v>120</v>
      </c>
      <c r="C130" t="str">
        <f t="shared" si="1"/>
        <v>US (Investments)</v>
      </c>
      <c r="D130">
        <v>37424</v>
      </c>
      <c r="E130" t="s">
        <v>19</v>
      </c>
    </row>
    <row r="131" spans="1:5" x14ac:dyDescent="0.2">
      <c r="A131" t="s">
        <v>117</v>
      </c>
      <c r="B131" t="s">
        <v>120</v>
      </c>
      <c r="C131" t="str">
        <f t="shared" ref="C131:C194" si="2">CONCATENATE(A131, " (", B131, ")")</f>
        <v>Middle-East (Investments)</v>
      </c>
      <c r="D131">
        <v>61232</v>
      </c>
      <c r="E131" t="s">
        <v>13</v>
      </c>
    </row>
    <row r="132" spans="1:5" x14ac:dyDescent="0.2">
      <c r="A132" t="s">
        <v>118</v>
      </c>
      <c r="B132" t="s">
        <v>113</v>
      </c>
      <c r="C132" t="str">
        <f t="shared" si="2"/>
        <v>Asia-Pacific (Consulting)</v>
      </c>
      <c r="D132">
        <v>82602</v>
      </c>
      <c r="E132" t="s">
        <v>30</v>
      </c>
    </row>
    <row r="133" spans="1:5" x14ac:dyDescent="0.2">
      <c r="A133" t="s">
        <v>116</v>
      </c>
      <c r="B133" t="s">
        <v>119</v>
      </c>
      <c r="C133" t="str">
        <f t="shared" si="2"/>
        <v>Europe (Facilities Management)</v>
      </c>
      <c r="D133">
        <v>65050</v>
      </c>
      <c r="E133" t="s">
        <v>4</v>
      </c>
    </row>
    <row r="134" spans="1:5" x14ac:dyDescent="0.2">
      <c r="A134" t="s">
        <v>116</v>
      </c>
      <c r="B134" t="s">
        <v>119</v>
      </c>
      <c r="C134" t="str">
        <f t="shared" si="2"/>
        <v>Europe (Facilities Management)</v>
      </c>
      <c r="D134">
        <v>77825</v>
      </c>
      <c r="E134" t="s">
        <v>4</v>
      </c>
    </row>
    <row r="135" spans="1:5" x14ac:dyDescent="0.2">
      <c r="A135" t="s">
        <v>117</v>
      </c>
      <c r="B135" t="s">
        <v>119</v>
      </c>
      <c r="C135" t="str">
        <f t="shared" si="2"/>
        <v>Middle-East (Facilities Management)</v>
      </c>
      <c r="D135">
        <v>66384</v>
      </c>
      <c r="E135" t="s">
        <v>18</v>
      </c>
    </row>
    <row r="136" spans="1:5" x14ac:dyDescent="0.2">
      <c r="A136" t="s">
        <v>118</v>
      </c>
      <c r="B136" t="s">
        <v>113</v>
      </c>
      <c r="C136" t="str">
        <f t="shared" si="2"/>
        <v>Asia-Pacific (Consulting)</v>
      </c>
      <c r="D136">
        <v>46187</v>
      </c>
      <c r="E136" t="s">
        <v>15</v>
      </c>
    </row>
    <row r="137" spans="1:5" x14ac:dyDescent="0.2">
      <c r="A137" t="s">
        <v>117</v>
      </c>
      <c r="B137" t="s">
        <v>119</v>
      </c>
      <c r="C137" t="str">
        <f t="shared" si="2"/>
        <v>Middle-East (Facilities Management)</v>
      </c>
      <c r="D137">
        <v>21575</v>
      </c>
      <c r="E137" t="s">
        <v>18</v>
      </c>
    </row>
    <row r="138" spans="1:5" x14ac:dyDescent="0.2">
      <c r="A138" t="s">
        <v>118</v>
      </c>
      <c r="B138" t="s">
        <v>120</v>
      </c>
      <c r="C138" t="str">
        <f t="shared" si="2"/>
        <v>Asia-Pacific (Investments)</v>
      </c>
      <c r="D138">
        <v>68945</v>
      </c>
      <c r="E138" t="s">
        <v>8</v>
      </c>
    </row>
    <row r="139" spans="1:5" x14ac:dyDescent="0.2">
      <c r="A139" t="s">
        <v>115</v>
      </c>
      <c r="B139" t="s">
        <v>113</v>
      </c>
      <c r="C139" t="str">
        <f t="shared" si="2"/>
        <v>US (Consulting)</v>
      </c>
      <c r="D139">
        <v>23259</v>
      </c>
      <c r="E139" t="s">
        <v>41</v>
      </c>
    </row>
    <row r="140" spans="1:5" x14ac:dyDescent="0.2">
      <c r="A140" t="s">
        <v>116</v>
      </c>
      <c r="B140" t="s">
        <v>120</v>
      </c>
      <c r="C140" t="str">
        <f t="shared" si="2"/>
        <v>Europe (Investments)</v>
      </c>
      <c r="D140">
        <v>53681</v>
      </c>
      <c r="E140" t="s">
        <v>34</v>
      </c>
    </row>
    <row r="141" spans="1:5" x14ac:dyDescent="0.2">
      <c r="A141" t="s">
        <v>114</v>
      </c>
      <c r="B141" t="s">
        <v>120</v>
      </c>
      <c r="C141" t="str">
        <f t="shared" si="2"/>
        <v>Africa (Investments)</v>
      </c>
      <c r="D141">
        <v>51457</v>
      </c>
      <c r="E141" t="s">
        <v>24</v>
      </c>
    </row>
    <row r="142" spans="1:5" x14ac:dyDescent="0.2">
      <c r="A142" t="s">
        <v>115</v>
      </c>
      <c r="B142" t="s">
        <v>119</v>
      </c>
      <c r="C142" t="str">
        <f t="shared" si="2"/>
        <v>US (Facilities Management)</v>
      </c>
      <c r="D142">
        <v>66919</v>
      </c>
      <c r="E142" t="s">
        <v>12</v>
      </c>
    </row>
    <row r="143" spans="1:5" x14ac:dyDescent="0.2">
      <c r="A143" t="s">
        <v>118</v>
      </c>
      <c r="B143" t="s">
        <v>119</v>
      </c>
      <c r="C143" t="str">
        <f t="shared" si="2"/>
        <v>Asia-Pacific (Facilities Management)</v>
      </c>
      <c r="D143">
        <v>46638</v>
      </c>
      <c r="E143" t="s">
        <v>35</v>
      </c>
    </row>
    <row r="144" spans="1:5" x14ac:dyDescent="0.2">
      <c r="A144" t="s">
        <v>114</v>
      </c>
      <c r="B144" t="s">
        <v>119</v>
      </c>
      <c r="C144" t="str">
        <f t="shared" si="2"/>
        <v>Africa (Facilities Management)</v>
      </c>
      <c r="D144">
        <v>79177</v>
      </c>
      <c r="E144" t="s">
        <v>37</v>
      </c>
    </row>
    <row r="145" spans="1:5" x14ac:dyDescent="0.2">
      <c r="A145" t="s">
        <v>114</v>
      </c>
      <c r="B145" t="s">
        <v>120</v>
      </c>
      <c r="C145" t="str">
        <f t="shared" si="2"/>
        <v>Africa (Investments)</v>
      </c>
      <c r="D145">
        <v>43566</v>
      </c>
      <c r="E145" t="s">
        <v>110</v>
      </c>
    </row>
    <row r="146" spans="1:5" x14ac:dyDescent="0.2">
      <c r="A146" t="s">
        <v>116</v>
      </c>
      <c r="B146" t="s">
        <v>119</v>
      </c>
      <c r="C146" t="str">
        <f t="shared" si="2"/>
        <v>Europe (Facilities Management)</v>
      </c>
      <c r="D146">
        <v>23259</v>
      </c>
      <c r="E146" t="s">
        <v>36</v>
      </c>
    </row>
    <row r="147" spans="1:5" x14ac:dyDescent="0.2">
      <c r="A147" t="s">
        <v>114</v>
      </c>
      <c r="B147" t="s">
        <v>113</v>
      </c>
      <c r="C147" t="str">
        <f t="shared" si="2"/>
        <v>Africa (Consulting)</v>
      </c>
      <c r="D147">
        <v>63403</v>
      </c>
      <c r="E147" t="s">
        <v>38</v>
      </c>
    </row>
    <row r="148" spans="1:5" x14ac:dyDescent="0.2">
      <c r="A148" t="s">
        <v>118</v>
      </c>
      <c r="B148" t="s">
        <v>119</v>
      </c>
      <c r="C148" t="str">
        <f t="shared" si="2"/>
        <v>Asia-Pacific (Facilities Management)</v>
      </c>
      <c r="D148">
        <v>82602</v>
      </c>
      <c r="E148" t="s">
        <v>3</v>
      </c>
    </row>
    <row r="149" spans="1:5" x14ac:dyDescent="0.2">
      <c r="A149" t="s">
        <v>117</v>
      </c>
      <c r="B149" t="s">
        <v>119</v>
      </c>
      <c r="C149" t="str">
        <f t="shared" si="2"/>
        <v>Middle-East (Facilities Management)</v>
      </c>
      <c r="D149">
        <v>51198</v>
      </c>
      <c r="E149" t="s">
        <v>44</v>
      </c>
    </row>
    <row r="150" spans="1:5" x14ac:dyDescent="0.2">
      <c r="A150" t="s">
        <v>118</v>
      </c>
      <c r="B150" t="s">
        <v>119</v>
      </c>
      <c r="C150" t="str">
        <f t="shared" si="2"/>
        <v>Asia-Pacific (Facilities Management)</v>
      </c>
      <c r="D150">
        <v>57593</v>
      </c>
      <c r="E150" t="s">
        <v>5</v>
      </c>
    </row>
    <row r="151" spans="1:5" x14ac:dyDescent="0.2">
      <c r="A151" t="s">
        <v>116</v>
      </c>
      <c r="B151" t="s">
        <v>120</v>
      </c>
      <c r="C151" t="str">
        <f t="shared" si="2"/>
        <v>Europe (Investments)</v>
      </c>
      <c r="D151">
        <v>51003</v>
      </c>
      <c r="E151" t="s">
        <v>37</v>
      </c>
    </row>
    <row r="152" spans="1:5" x14ac:dyDescent="0.2">
      <c r="A152" t="s">
        <v>114</v>
      </c>
      <c r="B152" t="s">
        <v>119</v>
      </c>
      <c r="C152" t="str">
        <f t="shared" si="2"/>
        <v>Africa (Facilities Management)</v>
      </c>
      <c r="D152">
        <v>82313</v>
      </c>
      <c r="E152" t="s">
        <v>40</v>
      </c>
    </row>
    <row r="153" spans="1:5" x14ac:dyDescent="0.2">
      <c r="A153" t="s">
        <v>114</v>
      </c>
      <c r="B153" t="s">
        <v>113</v>
      </c>
      <c r="C153" t="str">
        <f t="shared" si="2"/>
        <v>Africa (Consulting)</v>
      </c>
      <c r="D153">
        <v>21736</v>
      </c>
      <c r="E153" t="s">
        <v>30</v>
      </c>
    </row>
    <row r="154" spans="1:5" x14ac:dyDescent="0.2">
      <c r="A154" t="s">
        <v>117</v>
      </c>
      <c r="B154" t="s">
        <v>119</v>
      </c>
      <c r="C154" t="str">
        <f t="shared" si="2"/>
        <v>Middle-East (Facilities Management)</v>
      </c>
      <c r="D154">
        <v>76523</v>
      </c>
      <c r="E154" t="s">
        <v>12</v>
      </c>
    </row>
    <row r="155" spans="1:5" x14ac:dyDescent="0.2">
      <c r="A155" t="s">
        <v>115</v>
      </c>
      <c r="B155" t="s">
        <v>119</v>
      </c>
      <c r="C155" t="str">
        <f t="shared" si="2"/>
        <v>US (Facilities Management)</v>
      </c>
      <c r="D155">
        <v>15595</v>
      </c>
      <c r="E155" t="s">
        <v>37</v>
      </c>
    </row>
    <row r="156" spans="1:5" x14ac:dyDescent="0.2">
      <c r="A156" t="s">
        <v>118</v>
      </c>
      <c r="B156" t="s">
        <v>120</v>
      </c>
      <c r="C156" t="str">
        <f t="shared" si="2"/>
        <v>Asia-Pacific (Investments)</v>
      </c>
      <c r="D156">
        <v>80154</v>
      </c>
      <c r="E156" t="s">
        <v>6</v>
      </c>
    </row>
    <row r="157" spans="1:5" x14ac:dyDescent="0.2">
      <c r="A157" t="s">
        <v>118</v>
      </c>
      <c r="B157" t="s">
        <v>113</v>
      </c>
      <c r="C157" t="str">
        <f t="shared" si="2"/>
        <v>Asia-Pacific (Consulting)</v>
      </c>
      <c r="D157">
        <v>74713</v>
      </c>
      <c r="E157" t="s">
        <v>9</v>
      </c>
    </row>
    <row r="158" spans="1:5" x14ac:dyDescent="0.2">
      <c r="A158" t="s">
        <v>117</v>
      </c>
      <c r="B158" t="s">
        <v>113</v>
      </c>
      <c r="C158" t="str">
        <f t="shared" si="2"/>
        <v>Middle-East (Consulting)</v>
      </c>
      <c r="D158">
        <v>24627</v>
      </c>
      <c r="E158" t="s">
        <v>4</v>
      </c>
    </row>
    <row r="159" spans="1:5" x14ac:dyDescent="0.2">
      <c r="A159" t="s">
        <v>114</v>
      </c>
      <c r="B159" t="s">
        <v>120</v>
      </c>
      <c r="C159" t="str">
        <f t="shared" si="2"/>
        <v>Africa (Investments)</v>
      </c>
      <c r="D159">
        <v>23326</v>
      </c>
      <c r="E159" t="s">
        <v>22</v>
      </c>
    </row>
    <row r="160" spans="1:5" x14ac:dyDescent="0.2">
      <c r="A160" t="s">
        <v>114</v>
      </c>
      <c r="B160" t="s">
        <v>119</v>
      </c>
      <c r="C160" t="str">
        <f t="shared" si="2"/>
        <v>Africa (Facilities Management)</v>
      </c>
      <c r="D160">
        <v>82313</v>
      </c>
      <c r="E160" t="s">
        <v>15</v>
      </c>
    </row>
    <row r="161" spans="1:5" x14ac:dyDescent="0.2">
      <c r="A161" t="s">
        <v>116</v>
      </c>
      <c r="B161" t="s">
        <v>119</v>
      </c>
      <c r="C161" t="str">
        <f t="shared" si="2"/>
        <v>Europe (Facilities Management)</v>
      </c>
      <c r="D161">
        <v>38696</v>
      </c>
      <c r="E161" t="s">
        <v>43</v>
      </c>
    </row>
    <row r="162" spans="1:5" x14ac:dyDescent="0.2">
      <c r="A162" t="s">
        <v>115</v>
      </c>
      <c r="B162" t="s">
        <v>119</v>
      </c>
      <c r="C162" t="str">
        <f t="shared" si="2"/>
        <v>US (Facilities Management)</v>
      </c>
      <c r="D162">
        <v>79177</v>
      </c>
      <c r="E162" t="s">
        <v>110</v>
      </c>
    </row>
    <row r="163" spans="1:5" x14ac:dyDescent="0.2">
      <c r="A163" t="s">
        <v>115</v>
      </c>
      <c r="B163" t="s">
        <v>120</v>
      </c>
      <c r="C163" t="str">
        <f t="shared" si="2"/>
        <v>US (Investments)</v>
      </c>
      <c r="D163">
        <v>82313</v>
      </c>
      <c r="E163" t="s">
        <v>24</v>
      </c>
    </row>
    <row r="164" spans="1:5" x14ac:dyDescent="0.2">
      <c r="A164" t="s">
        <v>114</v>
      </c>
      <c r="B164" t="s">
        <v>119</v>
      </c>
      <c r="C164" t="str">
        <f t="shared" si="2"/>
        <v>Africa (Facilities Management)</v>
      </c>
      <c r="D164">
        <v>48636</v>
      </c>
      <c r="E164" t="s">
        <v>32</v>
      </c>
    </row>
    <row r="165" spans="1:5" x14ac:dyDescent="0.2">
      <c r="A165" t="s">
        <v>116</v>
      </c>
      <c r="B165" t="s">
        <v>119</v>
      </c>
      <c r="C165" t="str">
        <f t="shared" si="2"/>
        <v>Europe (Facilities Management)</v>
      </c>
      <c r="D165">
        <v>61232</v>
      </c>
      <c r="E165" t="s">
        <v>21</v>
      </c>
    </row>
    <row r="166" spans="1:5" x14ac:dyDescent="0.2">
      <c r="A166" t="s">
        <v>114</v>
      </c>
      <c r="B166" t="s">
        <v>113</v>
      </c>
      <c r="C166" t="str">
        <f t="shared" si="2"/>
        <v>Africa (Consulting)</v>
      </c>
      <c r="D166">
        <v>81857</v>
      </c>
      <c r="E166" t="s">
        <v>110</v>
      </c>
    </row>
    <row r="167" spans="1:5" x14ac:dyDescent="0.2">
      <c r="A167" t="s">
        <v>118</v>
      </c>
      <c r="B167" t="s">
        <v>120</v>
      </c>
      <c r="C167" t="str">
        <f t="shared" si="2"/>
        <v>Asia-Pacific (Investments)</v>
      </c>
      <c r="D167">
        <v>50410</v>
      </c>
      <c r="E167" t="s">
        <v>18</v>
      </c>
    </row>
    <row r="168" spans="1:5" x14ac:dyDescent="0.2">
      <c r="A168" t="s">
        <v>115</v>
      </c>
      <c r="B168" t="s">
        <v>119</v>
      </c>
      <c r="C168" t="str">
        <f t="shared" si="2"/>
        <v>US (Facilities Management)</v>
      </c>
      <c r="D168">
        <v>17845</v>
      </c>
      <c r="E168" t="s">
        <v>19</v>
      </c>
    </row>
    <row r="169" spans="1:5" x14ac:dyDescent="0.2">
      <c r="A169" t="s">
        <v>116</v>
      </c>
      <c r="B169" t="s">
        <v>119</v>
      </c>
      <c r="C169" t="str">
        <f t="shared" si="2"/>
        <v>Europe (Facilities Management)</v>
      </c>
      <c r="D169">
        <v>33170</v>
      </c>
      <c r="E169" t="s">
        <v>4</v>
      </c>
    </row>
    <row r="170" spans="1:5" x14ac:dyDescent="0.2">
      <c r="A170" t="s">
        <v>116</v>
      </c>
      <c r="B170" t="s">
        <v>113</v>
      </c>
      <c r="C170" t="str">
        <f t="shared" si="2"/>
        <v>Europe (Consulting)</v>
      </c>
      <c r="D170">
        <v>77596</v>
      </c>
      <c r="E170" t="s">
        <v>38</v>
      </c>
    </row>
    <row r="171" spans="1:5" x14ac:dyDescent="0.2">
      <c r="A171" t="s">
        <v>118</v>
      </c>
      <c r="B171" t="s">
        <v>113</v>
      </c>
      <c r="C171" t="str">
        <f t="shared" si="2"/>
        <v>Asia-Pacific (Consulting)</v>
      </c>
      <c r="D171">
        <v>66919</v>
      </c>
      <c r="E171" t="s">
        <v>31</v>
      </c>
    </row>
    <row r="172" spans="1:5" x14ac:dyDescent="0.2">
      <c r="A172" t="s">
        <v>117</v>
      </c>
      <c r="B172" t="s">
        <v>119</v>
      </c>
      <c r="C172" t="str">
        <f t="shared" si="2"/>
        <v>Middle-East (Facilities Management)</v>
      </c>
      <c r="D172">
        <v>79089</v>
      </c>
      <c r="E172" t="s">
        <v>42</v>
      </c>
    </row>
    <row r="173" spans="1:5" x14ac:dyDescent="0.2">
      <c r="A173" t="s">
        <v>115</v>
      </c>
      <c r="B173" t="s">
        <v>113</v>
      </c>
      <c r="C173" t="str">
        <f t="shared" si="2"/>
        <v>US (Consulting)</v>
      </c>
      <c r="D173">
        <v>67412</v>
      </c>
      <c r="E173" t="s">
        <v>43</v>
      </c>
    </row>
    <row r="174" spans="1:5" x14ac:dyDescent="0.2">
      <c r="A174" t="s">
        <v>114</v>
      </c>
      <c r="B174" t="s">
        <v>119</v>
      </c>
      <c r="C174" t="str">
        <f t="shared" si="2"/>
        <v>Africa (Facilities Management)</v>
      </c>
      <c r="D174">
        <v>79177</v>
      </c>
      <c r="E174" t="s">
        <v>5</v>
      </c>
    </row>
    <row r="175" spans="1:5" x14ac:dyDescent="0.2">
      <c r="A175" t="s">
        <v>118</v>
      </c>
      <c r="B175" t="s">
        <v>113</v>
      </c>
      <c r="C175" t="str">
        <f t="shared" si="2"/>
        <v>Asia-Pacific (Consulting)</v>
      </c>
      <c r="D175">
        <v>17845</v>
      </c>
      <c r="E175" t="s">
        <v>44</v>
      </c>
    </row>
    <row r="176" spans="1:5" x14ac:dyDescent="0.2">
      <c r="A176" t="s">
        <v>117</v>
      </c>
      <c r="B176" t="s">
        <v>113</v>
      </c>
      <c r="C176" t="str">
        <f t="shared" si="2"/>
        <v>Middle-East (Consulting)</v>
      </c>
      <c r="D176">
        <v>35207</v>
      </c>
      <c r="E176" t="s">
        <v>10</v>
      </c>
    </row>
    <row r="177" spans="1:5" x14ac:dyDescent="0.2">
      <c r="A177" t="s">
        <v>114</v>
      </c>
      <c r="B177" t="s">
        <v>119</v>
      </c>
      <c r="C177" t="str">
        <f t="shared" si="2"/>
        <v>Africa (Facilities Management)</v>
      </c>
      <c r="D177">
        <v>39706</v>
      </c>
      <c r="E177" t="s">
        <v>6</v>
      </c>
    </row>
    <row r="178" spans="1:5" x14ac:dyDescent="0.2">
      <c r="A178" t="s">
        <v>116</v>
      </c>
      <c r="B178" t="s">
        <v>120</v>
      </c>
      <c r="C178" t="str">
        <f t="shared" si="2"/>
        <v>Europe (Investments)</v>
      </c>
      <c r="D178">
        <v>65050</v>
      </c>
      <c r="E178" t="s">
        <v>35</v>
      </c>
    </row>
    <row r="179" spans="1:5" x14ac:dyDescent="0.2">
      <c r="A179" t="s">
        <v>114</v>
      </c>
      <c r="B179" t="s">
        <v>113</v>
      </c>
      <c r="C179" t="str">
        <f t="shared" si="2"/>
        <v>Africa (Consulting)</v>
      </c>
      <c r="D179">
        <v>79863</v>
      </c>
      <c r="E179" t="s">
        <v>34</v>
      </c>
    </row>
    <row r="180" spans="1:5" x14ac:dyDescent="0.2">
      <c r="A180" t="s">
        <v>118</v>
      </c>
      <c r="B180" t="s">
        <v>120</v>
      </c>
      <c r="C180" t="str">
        <f t="shared" si="2"/>
        <v>Asia-Pacific (Investments)</v>
      </c>
      <c r="D180">
        <v>88813</v>
      </c>
      <c r="E180" t="s">
        <v>20</v>
      </c>
    </row>
    <row r="181" spans="1:5" x14ac:dyDescent="0.2">
      <c r="A181" t="s">
        <v>114</v>
      </c>
      <c r="B181" t="s">
        <v>120</v>
      </c>
      <c r="C181" t="str">
        <f t="shared" si="2"/>
        <v>Africa (Investments)</v>
      </c>
      <c r="D181">
        <v>24905</v>
      </c>
      <c r="E181" t="s">
        <v>13</v>
      </c>
    </row>
    <row r="182" spans="1:5" x14ac:dyDescent="0.2">
      <c r="A182" t="s">
        <v>117</v>
      </c>
      <c r="B182" t="s">
        <v>119</v>
      </c>
      <c r="C182" t="str">
        <f t="shared" si="2"/>
        <v>Middle-East (Facilities Management)</v>
      </c>
      <c r="D182">
        <v>79089</v>
      </c>
      <c r="E182" t="s">
        <v>19</v>
      </c>
    </row>
    <row r="183" spans="1:5" x14ac:dyDescent="0.2">
      <c r="A183" t="s">
        <v>114</v>
      </c>
      <c r="B183" t="s">
        <v>113</v>
      </c>
      <c r="C183" t="str">
        <f t="shared" si="2"/>
        <v>Africa (Consulting)</v>
      </c>
      <c r="D183">
        <v>75250</v>
      </c>
      <c r="E183" t="s">
        <v>12</v>
      </c>
    </row>
    <row r="184" spans="1:5" x14ac:dyDescent="0.2">
      <c r="A184" t="s">
        <v>117</v>
      </c>
      <c r="B184" t="s">
        <v>120</v>
      </c>
      <c r="C184" t="str">
        <f t="shared" si="2"/>
        <v>Middle-East (Investments)</v>
      </c>
      <c r="D184">
        <v>79863</v>
      </c>
      <c r="E184" t="s">
        <v>10</v>
      </c>
    </row>
    <row r="185" spans="1:5" x14ac:dyDescent="0.2">
      <c r="A185" t="s">
        <v>116</v>
      </c>
      <c r="B185" t="s">
        <v>120</v>
      </c>
      <c r="C185" t="str">
        <f t="shared" si="2"/>
        <v>Europe (Investments)</v>
      </c>
      <c r="D185">
        <v>20910</v>
      </c>
      <c r="E185" t="s">
        <v>6</v>
      </c>
    </row>
    <row r="186" spans="1:5" x14ac:dyDescent="0.2">
      <c r="A186" t="s">
        <v>115</v>
      </c>
      <c r="B186" t="s">
        <v>120</v>
      </c>
      <c r="C186" t="str">
        <f t="shared" si="2"/>
        <v>US (Investments)</v>
      </c>
      <c r="D186">
        <v>75257</v>
      </c>
      <c r="E186" t="s">
        <v>6</v>
      </c>
    </row>
    <row r="187" spans="1:5" x14ac:dyDescent="0.2">
      <c r="A187" t="s">
        <v>118</v>
      </c>
      <c r="B187" t="s">
        <v>113</v>
      </c>
      <c r="C187" t="str">
        <f t="shared" si="2"/>
        <v>Asia-Pacific (Consulting)</v>
      </c>
      <c r="D187">
        <v>46638</v>
      </c>
      <c r="E187" t="s">
        <v>27</v>
      </c>
    </row>
    <row r="188" spans="1:5" x14ac:dyDescent="0.2">
      <c r="A188" t="s">
        <v>116</v>
      </c>
      <c r="B188" t="s">
        <v>119</v>
      </c>
      <c r="C188" t="str">
        <f t="shared" si="2"/>
        <v>Europe (Facilities Management)</v>
      </c>
      <c r="D188">
        <v>47193</v>
      </c>
      <c r="E188" t="s">
        <v>35</v>
      </c>
    </row>
    <row r="189" spans="1:5" x14ac:dyDescent="0.2">
      <c r="A189" t="s">
        <v>115</v>
      </c>
      <c r="B189" t="s">
        <v>120</v>
      </c>
      <c r="C189" t="str">
        <f t="shared" si="2"/>
        <v>US (Investments)</v>
      </c>
      <c r="D189">
        <v>35143</v>
      </c>
      <c r="E189" t="s">
        <v>8</v>
      </c>
    </row>
    <row r="190" spans="1:5" x14ac:dyDescent="0.2">
      <c r="A190" t="s">
        <v>118</v>
      </c>
      <c r="B190" t="s">
        <v>119</v>
      </c>
      <c r="C190" t="str">
        <f t="shared" si="2"/>
        <v>Asia-Pacific (Facilities Management)</v>
      </c>
      <c r="D190">
        <v>61502</v>
      </c>
      <c r="E190" t="s">
        <v>47</v>
      </c>
    </row>
    <row r="191" spans="1:5" x14ac:dyDescent="0.2">
      <c r="A191" t="s">
        <v>116</v>
      </c>
      <c r="B191" t="s">
        <v>120</v>
      </c>
      <c r="C191" t="str">
        <f t="shared" si="2"/>
        <v>Europe (Investments)</v>
      </c>
      <c r="D191">
        <v>75257</v>
      </c>
      <c r="E191" t="s">
        <v>33</v>
      </c>
    </row>
    <row r="192" spans="1:5" x14ac:dyDescent="0.2">
      <c r="A192" t="s">
        <v>118</v>
      </c>
      <c r="B192" t="s">
        <v>120</v>
      </c>
      <c r="C192" t="str">
        <f t="shared" si="2"/>
        <v>Asia-Pacific (Investments)</v>
      </c>
      <c r="D192">
        <v>43340</v>
      </c>
      <c r="E192" t="s">
        <v>24</v>
      </c>
    </row>
    <row r="193" spans="1:5" x14ac:dyDescent="0.2">
      <c r="A193" t="s">
        <v>117</v>
      </c>
      <c r="B193" t="s">
        <v>119</v>
      </c>
      <c r="C193" t="str">
        <f t="shared" si="2"/>
        <v>Middle-East (Facilities Management)</v>
      </c>
      <c r="D193">
        <v>66384</v>
      </c>
      <c r="E193" t="s">
        <v>3</v>
      </c>
    </row>
    <row r="194" spans="1:5" x14ac:dyDescent="0.2">
      <c r="A194" t="s">
        <v>117</v>
      </c>
      <c r="B194" t="s">
        <v>119</v>
      </c>
      <c r="C194" t="str">
        <f t="shared" si="2"/>
        <v>Middle-East (Facilities Management)</v>
      </c>
      <c r="D194">
        <v>46187</v>
      </c>
      <c r="E194" t="s">
        <v>17</v>
      </c>
    </row>
    <row r="195" spans="1:5" x14ac:dyDescent="0.2">
      <c r="A195" t="s">
        <v>114</v>
      </c>
      <c r="B195" t="s">
        <v>120</v>
      </c>
      <c r="C195" t="str">
        <f t="shared" ref="C195:C258" si="3">CONCATENATE(A195, " (", B195, ")")</f>
        <v>Africa (Investments)</v>
      </c>
      <c r="D195">
        <v>25937</v>
      </c>
      <c r="E195" t="s">
        <v>44</v>
      </c>
    </row>
    <row r="196" spans="1:5" x14ac:dyDescent="0.2">
      <c r="A196" t="s">
        <v>116</v>
      </c>
      <c r="B196" t="s">
        <v>113</v>
      </c>
      <c r="C196" t="str">
        <f t="shared" si="3"/>
        <v>Europe (Consulting)</v>
      </c>
      <c r="D196">
        <v>35415</v>
      </c>
      <c r="E196" t="s">
        <v>31</v>
      </c>
    </row>
    <row r="197" spans="1:5" x14ac:dyDescent="0.2">
      <c r="A197" t="s">
        <v>115</v>
      </c>
      <c r="B197" t="s">
        <v>113</v>
      </c>
      <c r="C197" t="str">
        <f t="shared" si="3"/>
        <v>US (Consulting)</v>
      </c>
      <c r="D197">
        <v>65050</v>
      </c>
      <c r="E197" t="s">
        <v>38</v>
      </c>
    </row>
    <row r="198" spans="1:5" x14ac:dyDescent="0.2">
      <c r="A198" t="s">
        <v>115</v>
      </c>
      <c r="B198" t="s">
        <v>113</v>
      </c>
      <c r="C198" t="str">
        <f t="shared" si="3"/>
        <v>US (Consulting)</v>
      </c>
      <c r="D198">
        <v>50240</v>
      </c>
      <c r="E198" t="s">
        <v>13</v>
      </c>
    </row>
    <row r="199" spans="1:5" x14ac:dyDescent="0.2">
      <c r="A199" t="s">
        <v>114</v>
      </c>
      <c r="B199" t="s">
        <v>113</v>
      </c>
      <c r="C199" t="str">
        <f t="shared" si="3"/>
        <v>Africa (Consulting)</v>
      </c>
      <c r="D199">
        <v>72739</v>
      </c>
      <c r="E199" t="s">
        <v>4</v>
      </c>
    </row>
    <row r="200" spans="1:5" x14ac:dyDescent="0.2">
      <c r="A200" t="s">
        <v>116</v>
      </c>
      <c r="B200" t="s">
        <v>120</v>
      </c>
      <c r="C200" t="str">
        <f t="shared" si="3"/>
        <v>Europe (Investments)</v>
      </c>
      <c r="D200">
        <v>11546</v>
      </c>
      <c r="E200" t="s">
        <v>32</v>
      </c>
    </row>
    <row r="201" spans="1:5" x14ac:dyDescent="0.2">
      <c r="A201" t="s">
        <v>115</v>
      </c>
      <c r="B201" t="s">
        <v>119</v>
      </c>
      <c r="C201" t="str">
        <f t="shared" si="3"/>
        <v>US (Facilities Management)</v>
      </c>
      <c r="D201">
        <v>87778</v>
      </c>
      <c r="E201" t="s">
        <v>8</v>
      </c>
    </row>
    <row r="202" spans="1:5" x14ac:dyDescent="0.2">
      <c r="A202" t="s">
        <v>114</v>
      </c>
      <c r="B202" t="s">
        <v>113</v>
      </c>
      <c r="C202" t="str">
        <f t="shared" si="3"/>
        <v>Africa (Consulting)</v>
      </c>
      <c r="D202">
        <v>42461</v>
      </c>
      <c r="E202" t="s">
        <v>29</v>
      </c>
    </row>
    <row r="203" spans="1:5" x14ac:dyDescent="0.2">
      <c r="A203" t="s">
        <v>117</v>
      </c>
      <c r="B203" t="s">
        <v>120</v>
      </c>
      <c r="C203" t="str">
        <f t="shared" si="3"/>
        <v>Middle-East (Investments)</v>
      </c>
      <c r="D203">
        <v>67561</v>
      </c>
      <c r="E203" t="s">
        <v>24</v>
      </c>
    </row>
    <row r="204" spans="1:5" x14ac:dyDescent="0.2">
      <c r="A204" t="s">
        <v>115</v>
      </c>
      <c r="B204" t="s">
        <v>119</v>
      </c>
      <c r="C204" t="str">
        <f t="shared" si="3"/>
        <v>US (Facilities Management)</v>
      </c>
      <c r="D204">
        <v>13175</v>
      </c>
      <c r="E204" t="s">
        <v>25</v>
      </c>
    </row>
    <row r="205" spans="1:5" x14ac:dyDescent="0.2">
      <c r="A205" t="s">
        <v>114</v>
      </c>
      <c r="B205" t="s">
        <v>119</v>
      </c>
      <c r="C205" t="str">
        <f t="shared" si="3"/>
        <v>Africa (Facilities Management)</v>
      </c>
      <c r="D205">
        <v>21736</v>
      </c>
      <c r="E205" t="s">
        <v>42</v>
      </c>
    </row>
    <row r="206" spans="1:5" x14ac:dyDescent="0.2">
      <c r="A206" t="s">
        <v>115</v>
      </c>
      <c r="B206" t="s">
        <v>119</v>
      </c>
      <c r="C206" t="str">
        <f t="shared" si="3"/>
        <v>US (Facilities Management)</v>
      </c>
      <c r="D206">
        <v>73889</v>
      </c>
      <c r="E206" t="s">
        <v>110</v>
      </c>
    </row>
    <row r="207" spans="1:5" x14ac:dyDescent="0.2">
      <c r="A207" t="s">
        <v>117</v>
      </c>
      <c r="B207" t="s">
        <v>120</v>
      </c>
      <c r="C207" t="str">
        <f t="shared" si="3"/>
        <v>Middle-East (Investments)</v>
      </c>
      <c r="D207">
        <v>77596</v>
      </c>
      <c r="E207" t="s">
        <v>11</v>
      </c>
    </row>
    <row r="208" spans="1:5" x14ac:dyDescent="0.2">
      <c r="A208" t="s">
        <v>116</v>
      </c>
      <c r="B208" t="s">
        <v>119</v>
      </c>
      <c r="C208" t="str">
        <f t="shared" si="3"/>
        <v>Europe (Facilities Management)</v>
      </c>
      <c r="D208">
        <v>78398</v>
      </c>
      <c r="E208" t="s">
        <v>42</v>
      </c>
    </row>
    <row r="209" spans="1:5" x14ac:dyDescent="0.2">
      <c r="A209" t="s">
        <v>117</v>
      </c>
      <c r="B209" t="s">
        <v>113</v>
      </c>
      <c r="C209" t="str">
        <f t="shared" si="3"/>
        <v>Middle-East (Consulting)</v>
      </c>
      <c r="D209">
        <v>49899</v>
      </c>
      <c r="E209" t="s">
        <v>19</v>
      </c>
    </row>
    <row r="210" spans="1:5" x14ac:dyDescent="0.2">
      <c r="A210" t="s">
        <v>115</v>
      </c>
      <c r="B210" t="s">
        <v>120</v>
      </c>
      <c r="C210" t="str">
        <f t="shared" si="3"/>
        <v>US (Investments)</v>
      </c>
      <c r="D210">
        <v>64705</v>
      </c>
      <c r="E210" t="s">
        <v>17</v>
      </c>
    </row>
    <row r="211" spans="1:5" x14ac:dyDescent="0.2">
      <c r="A211" t="s">
        <v>116</v>
      </c>
      <c r="B211" t="s">
        <v>113</v>
      </c>
      <c r="C211" t="str">
        <f t="shared" si="3"/>
        <v>Europe (Consulting)</v>
      </c>
      <c r="D211">
        <v>72739</v>
      </c>
      <c r="E211" t="s">
        <v>7</v>
      </c>
    </row>
    <row r="212" spans="1:5" x14ac:dyDescent="0.2">
      <c r="A212" t="s">
        <v>114</v>
      </c>
      <c r="B212" t="s">
        <v>113</v>
      </c>
      <c r="C212" t="str">
        <f t="shared" si="3"/>
        <v>Africa (Consulting)</v>
      </c>
      <c r="D212">
        <v>63403</v>
      </c>
      <c r="E212" t="s">
        <v>10</v>
      </c>
    </row>
    <row r="213" spans="1:5" x14ac:dyDescent="0.2">
      <c r="A213" t="s">
        <v>114</v>
      </c>
      <c r="B213" t="s">
        <v>119</v>
      </c>
      <c r="C213" t="str">
        <f t="shared" si="3"/>
        <v>Africa (Facilities Management)</v>
      </c>
      <c r="D213">
        <v>21736</v>
      </c>
      <c r="E213" t="s">
        <v>40</v>
      </c>
    </row>
    <row r="214" spans="1:5" x14ac:dyDescent="0.2">
      <c r="A214" t="s">
        <v>116</v>
      </c>
      <c r="B214" t="s">
        <v>119</v>
      </c>
      <c r="C214" t="str">
        <f t="shared" si="3"/>
        <v>Europe (Facilities Management)</v>
      </c>
      <c r="D214">
        <v>24003</v>
      </c>
      <c r="E214" t="s">
        <v>27</v>
      </c>
    </row>
    <row r="215" spans="1:5" x14ac:dyDescent="0.2">
      <c r="A215" t="s">
        <v>115</v>
      </c>
      <c r="B215" t="s">
        <v>120</v>
      </c>
      <c r="C215" t="str">
        <f t="shared" si="3"/>
        <v>US (Investments)</v>
      </c>
      <c r="D215">
        <v>88813</v>
      </c>
      <c r="E215" t="s">
        <v>3</v>
      </c>
    </row>
    <row r="216" spans="1:5" x14ac:dyDescent="0.2">
      <c r="A216" t="s">
        <v>115</v>
      </c>
      <c r="B216" t="s">
        <v>120</v>
      </c>
      <c r="C216" t="str">
        <f t="shared" si="3"/>
        <v>US (Investments)</v>
      </c>
      <c r="D216">
        <v>30310</v>
      </c>
      <c r="E216" t="s">
        <v>25</v>
      </c>
    </row>
    <row r="217" spans="1:5" x14ac:dyDescent="0.2">
      <c r="A217" t="s">
        <v>118</v>
      </c>
      <c r="B217" t="s">
        <v>119</v>
      </c>
      <c r="C217" t="str">
        <f t="shared" si="3"/>
        <v>Asia-Pacific (Facilities Management)</v>
      </c>
      <c r="D217">
        <v>57593</v>
      </c>
      <c r="E217" t="s">
        <v>28</v>
      </c>
    </row>
    <row r="218" spans="1:5" x14ac:dyDescent="0.2">
      <c r="A218" t="s">
        <v>116</v>
      </c>
      <c r="B218" t="s">
        <v>113</v>
      </c>
      <c r="C218" t="str">
        <f t="shared" si="3"/>
        <v>Europe (Consulting)</v>
      </c>
      <c r="D218">
        <v>63405</v>
      </c>
      <c r="E218" t="s">
        <v>15</v>
      </c>
    </row>
    <row r="219" spans="1:5" x14ac:dyDescent="0.2">
      <c r="A219" t="s">
        <v>114</v>
      </c>
      <c r="B219" t="s">
        <v>119</v>
      </c>
      <c r="C219" t="str">
        <f t="shared" si="3"/>
        <v>Africa (Facilities Management)</v>
      </c>
      <c r="D219">
        <v>21736</v>
      </c>
      <c r="E219" t="s">
        <v>38</v>
      </c>
    </row>
    <row r="220" spans="1:5" x14ac:dyDescent="0.2">
      <c r="A220" t="s">
        <v>118</v>
      </c>
      <c r="B220" t="s">
        <v>113</v>
      </c>
      <c r="C220" t="str">
        <f t="shared" si="3"/>
        <v>Asia-Pacific (Consulting)</v>
      </c>
      <c r="D220">
        <v>35415</v>
      </c>
      <c r="E220" t="s">
        <v>44</v>
      </c>
    </row>
    <row r="221" spans="1:5" x14ac:dyDescent="0.2">
      <c r="A221" t="s">
        <v>118</v>
      </c>
      <c r="B221" t="s">
        <v>113</v>
      </c>
      <c r="C221" t="str">
        <f t="shared" si="3"/>
        <v>Asia-Pacific (Consulting)</v>
      </c>
      <c r="D221">
        <v>25382</v>
      </c>
      <c r="E221" t="s">
        <v>19</v>
      </c>
    </row>
    <row r="222" spans="1:5" x14ac:dyDescent="0.2">
      <c r="A222" t="s">
        <v>115</v>
      </c>
      <c r="B222" t="s">
        <v>120</v>
      </c>
      <c r="C222" t="str">
        <f t="shared" si="3"/>
        <v>US (Investments)</v>
      </c>
      <c r="D222">
        <v>30310</v>
      </c>
      <c r="E222" t="s">
        <v>6</v>
      </c>
    </row>
    <row r="223" spans="1:5" x14ac:dyDescent="0.2">
      <c r="A223" t="s">
        <v>115</v>
      </c>
      <c r="B223" t="s">
        <v>113</v>
      </c>
      <c r="C223" t="str">
        <f t="shared" si="3"/>
        <v>US (Consulting)</v>
      </c>
      <c r="D223">
        <v>78601</v>
      </c>
      <c r="E223" t="s">
        <v>110</v>
      </c>
    </row>
    <row r="224" spans="1:5" x14ac:dyDescent="0.2">
      <c r="A224" t="s">
        <v>114</v>
      </c>
      <c r="B224" t="s">
        <v>119</v>
      </c>
      <c r="C224" t="str">
        <f t="shared" si="3"/>
        <v>Africa (Facilities Management)</v>
      </c>
      <c r="D224">
        <v>82313</v>
      </c>
      <c r="E224" t="s">
        <v>23</v>
      </c>
    </row>
    <row r="225" spans="1:5" x14ac:dyDescent="0.2">
      <c r="A225" t="s">
        <v>118</v>
      </c>
      <c r="B225" t="s">
        <v>113</v>
      </c>
      <c r="C225" t="str">
        <f t="shared" si="3"/>
        <v>Asia-Pacific (Consulting)</v>
      </c>
      <c r="D225">
        <v>75257</v>
      </c>
      <c r="E225" t="s">
        <v>4</v>
      </c>
    </row>
    <row r="226" spans="1:5" x14ac:dyDescent="0.2">
      <c r="A226" t="s">
        <v>114</v>
      </c>
      <c r="B226" t="s">
        <v>120</v>
      </c>
      <c r="C226" t="str">
        <f t="shared" si="3"/>
        <v>Africa (Investments)</v>
      </c>
      <c r="D226">
        <v>82313</v>
      </c>
      <c r="E226" t="s">
        <v>110</v>
      </c>
    </row>
    <row r="227" spans="1:5" x14ac:dyDescent="0.2">
      <c r="A227" t="s">
        <v>114</v>
      </c>
      <c r="B227" t="s">
        <v>119</v>
      </c>
      <c r="C227" t="str">
        <f t="shared" si="3"/>
        <v>Africa (Facilities Management)</v>
      </c>
      <c r="D227">
        <v>47097</v>
      </c>
      <c r="E227" t="s">
        <v>11</v>
      </c>
    </row>
    <row r="228" spans="1:5" x14ac:dyDescent="0.2">
      <c r="A228" t="s">
        <v>118</v>
      </c>
      <c r="B228" t="s">
        <v>113</v>
      </c>
      <c r="C228" t="str">
        <f t="shared" si="3"/>
        <v>Asia-Pacific (Consulting)</v>
      </c>
      <c r="D228">
        <v>41143</v>
      </c>
      <c r="E228" t="s">
        <v>110</v>
      </c>
    </row>
    <row r="229" spans="1:5" x14ac:dyDescent="0.2">
      <c r="A229" t="s">
        <v>115</v>
      </c>
      <c r="B229" t="s">
        <v>119</v>
      </c>
      <c r="C229" t="str">
        <f t="shared" si="3"/>
        <v>US (Facilities Management)</v>
      </c>
      <c r="D229">
        <v>32784</v>
      </c>
      <c r="E229" t="s">
        <v>24</v>
      </c>
    </row>
    <row r="230" spans="1:5" x14ac:dyDescent="0.2">
      <c r="A230" t="s">
        <v>117</v>
      </c>
      <c r="B230" t="s">
        <v>113</v>
      </c>
      <c r="C230" t="str">
        <f t="shared" si="3"/>
        <v>Middle-East (Consulting)</v>
      </c>
      <c r="D230">
        <v>24588</v>
      </c>
      <c r="E230" t="s">
        <v>43</v>
      </c>
    </row>
    <row r="231" spans="1:5" x14ac:dyDescent="0.2">
      <c r="A231" t="s">
        <v>115</v>
      </c>
      <c r="B231" t="s">
        <v>113</v>
      </c>
      <c r="C231" t="str">
        <f t="shared" si="3"/>
        <v>US (Consulting)</v>
      </c>
      <c r="D231">
        <v>67561</v>
      </c>
      <c r="E231" t="s">
        <v>110</v>
      </c>
    </row>
    <row r="232" spans="1:5" x14ac:dyDescent="0.2">
      <c r="A232" t="s">
        <v>116</v>
      </c>
      <c r="B232" t="s">
        <v>120</v>
      </c>
      <c r="C232" t="str">
        <f t="shared" si="3"/>
        <v>Europe (Investments)</v>
      </c>
      <c r="D232">
        <v>57593</v>
      </c>
      <c r="E232" t="s">
        <v>5</v>
      </c>
    </row>
    <row r="233" spans="1:5" x14ac:dyDescent="0.2">
      <c r="A233" t="s">
        <v>114</v>
      </c>
      <c r="B233" t="s">
        <v>113</v>
      </c>
      <c r="C233" t="str">
        <f t="shared" si="3"/>
        <v>Africa (Consulting)</v>
      </c>
      <c r="D233">
        <v>30776</v>
      </c>
      <c r="E233" t="s">
        <v>14</v>
      </c>
    </row>
    <row r="234" spans="1:5" x14ac:dyDescent="0.2">
      <c r="A234" t="s">
        <v>118</v>
      </c>
      <c r="B234" t="s">
        <v>119</v>
      </c>
      <c r="C234" t="str">
        <f t="shared" si="3"/>
        <v>Asia-Pacific (Facilities Management)</v>
      </c>
      <c r="D234">
        <v>82602</v>
      </c>
      <c r="E234" t="s">
        <v>41</v>
      </c>
    </row>
    <row r="235" spans="1:5" x14ac:dyDescent="0.2">
      <c r="A235" t="s">
        <v>116</v>
      </c>
      <c r="B235" t="s">
        <v>113</v>
      </c>
      <c r="C235" t="str">
        <f t="shared" si="3"/>
        <v>Europe (Consulting)</v>
      </c>
      <c r="D235">
        <v>67941</v>
      </c>
      <c r="E235" t="s">
        <v>38</v>
      </c>
    </row>
    <row r="236" spans="1:5" x14ac:dyDescent="0.2">
      <c r="A236" t="s">
        <v>114</v>
      </c>
      <c r="B236" t="s">
        <v>119</v>
      </c>
      <c r="C236" t="str">
        <f t="shared" si="3"/>
        <v>Africa (Facilities Management)</v>
      </c>
      <c r="D236">
        <v>82313</v>
      </c>
      <c r="E236" t="s">
        <v>7</v>
      </c>
    </row>
    <row r="237" spans="1:5" x14ac:dyDescent="0.2">
      <c r="A237" t="s">
        <v>118</v>
      </c>
      <c r="B237" t="s">
        <v>120</v>
      </c>
      <c r="C237" t="str">
        <f t="shared" si="3"/>
        <v>Asia-Pacific (Investments)</v>
      </c>
      <c r="D237">
        <v>68945</v>
      </c>
      <c r="E237" t="s">
        <v>33</v>
      </c>
    </row>
    <row r="238" spans="1:5" x14ac:dyDescent="0.2">
      <c r="A238" t="s">
        <v>114</v>
      </c>
      <c r="B238" t="s">
        <v>113</v>
      </c>
      <c r="C238" t="str">
        <f t="shared" si="3"/>
        <v>Africa (Consulting)</v>
      </c>
      <c r="D238">
        <v>56073</v>
      </c>
      <c r="E238" t="s">
        <v>39</v>
      </c>
    </row>
    <row r="239" spans="1:5" x14ac:dyDescent="0.2">
      <c r="A239" t="s">
        <v>117</v>
      </c>
      <c r="B239" t="s">
        <v>113</v>
      </c>
      <c r="C239" t="str">
        <f t="shared" si="3"/>
        <v>Middle-East (Consulting)</v>
      </c>
      <c r="D239">
        <v>82602</v>
      </c>
      <c r="E239" t="s">
        <v>8</v>
      </c>
    </row>
    <row r="240" spans="1:5" x14ac:dyDescent="0.2">
      <c r="A240" t="s">
        <v>118</v>
      </c>
      <c r="B240" t="s">
        <v>119</v>
      </c>
      <c r="C240" t="str">
        <f t="shared" si="3"/>
        <v>Asia-Pacific (Facilities Management)</v>
      </c>
      <c r="D240">
        <v>79863</v>
      </c>
      <c r="E240" t="s">
        <v>13</v>
      </c>
    </row>
    <row r="241" spans="1:5" x14ac:dyDescent="0.2">
      <c r="A241" t="s">
        <v>117</v>
      </c>
      <c r="B241" t="s">
        <v>119</v>
      </c>
      <c r="C241" t="str">
        <f t="shared" si="3"/>
        <v>Middle-East (Facilities Management)</v>
      </c>
      <c r="D241">
        <v>21575</v>
      </c>
      <c r="E241" t="s">
        <v>110</v>
      </c>
    </row>
    <row r="242" spans="1:5" x14ac:dyDescent="0.2">
      <c r="A242" t="s">
        <v>118</v>
      </c>
      <c r="B242" t="s">
        <v>113</v>
      </c>
      <c r="C242" t="str">
        <f t="shared" si="3"/>
        <v>Asia-Pacific (Consulting)</v>
      </c>
      <c r="D242">
        <v>25937</v>
      </c>
      <c r="E242" t="s">
        <v>42</v>
      </c>
    </row>
    <row r="243" spans="1:5" x14ac:dyDescent="0.2">
      <c r="A243" t="s">
        <v>114</v>
      </c>
      <c r="B243" t="s">
        <v>120</v>
      </c>
      <c r="C243" t="str">
        <f t="shared" si="3"/>
        <v>Africa (Investments)</v>
      </c>
      <c r="D243">
        <v>53789</v>
      </c>
      <c r="E243" t="s">
        <v>15</v>
      </c>
    </row>
    <row r="244" spans="1:5" x14ac:dyDescent="0.2">
      <c r="A244" t="s">
        <v>116</v>
      </c>
      <c r="B244" t="s">
        <v>113</v>
      </c>
      <c r="C244" t="str">
        <f t="shared" si="3"/>
        <v>Europe (Consulting)</v>
      </c>
      <c r="D244">
        <v>30776</v>
      </c>
      <c r="E244" t="s">
        <v>16</v>
      </c>
    </row>
    <row r="245" spans="1:5" x14ac:dyDescent="0.2">
      <c r="A245" t="s">
        <v>116</v>
      </c>
      <c r="B245" t="s">
        <v>119</v>
      </c>
      <c r="C245" t="str">
        <f t="shared" si="3"/>
        <v>Europe (Facilities Management)</v>
      </c>
      <c r="D245">
        <v>20910</v>
      </c>
      <c r="E245" t="s">
        <v>42</v>
      </c>
    </row>
    <row r="246" spans="1:5" x14ac:dyDescent="0.2">
      <c r="A246" t="s">
        <v>117</v>
      </c>
      <c r="B246" t="s">
        <v>119</v>
      </c>
      <c r="C246" t="str">
        <f t="shared" si="3"/>
        <v>Middle-East (Facilities Management)</v>
      </c>
      <c r="D246">
        <v>38696</v>
      </c>
      <c r="E246" t="s">
        <v>33</v>
      </c>
    </row>
    <row r="247" spans="1:5" x14ac:dyDescent="0.2">
      <c r="A247" t="s">
        <v>115</v>
      </c>
      <c r="B247" t="s">
        <v>113</v>
      </c>
      <c r="C247" t="str">
        <f t="shared" si="3"/>
        <v>US (Consulting)</v>
      </c>
      <c r="D247">
        <v>63403</v>
      </c>
      <c r="E247" t="s">
        <v>14</v>
      </c>
    </row>
    <row r="248" spans="1:5" x14ac:dyDescent="0.2">
      <c r="A248" t="s">
        <v>116</v>
      </c>
      <c r="B248" t="s">
        <v>119</v>
      </c>
      <c r="C248" t="str">
        <f t="shared" si="3"/>
        <v>Europe (Facilities Management)</v>
      </c>
      <c r="D248">
        <v>87775</v>
      </c>
      <c r="E248" t="s">
        <v>28</v>
      </c>
    </row>
    <row r="249" spans="1:5" x14ac:dyDescent="0.2">
      <c r="A249" t="s">
        <v>115</v>
      </c>
      <c r="B249" t="s">
        <v>120</v>
      </c>
      <c r="C249" t="str">
        <f t="shared" si="3"/>
        <v>US (Investments)</v>
      </c>
      <c r="D249">
        <v>75257</v>
      </c>
      <c r="E249" t="s">
        <v>13</v>
      </c>
    </row>
    <row r="250" spans="1:5" x14ac:dyDescent="0.2">
      <c r="A250" t="s">
        <v>118</v>
      </c>
      <c r="B250" t="s">
        <v>113</v>
      </c>
      <c r="C250" t="str">
        <f t="shared" si="3"/>
        <v>Asia-Pacific (Consulting)</v>
      </c>
      <c r="D250">
        <v>51198</v>
      </c>
      <c r="E250" t="s">
        <v>7</v>
      </c>
    </row>
    <row r="251" spans="1:5" x14ac:dyDescent="0.2">
      <c r="A251" t="s">
        <v>115</v>
      </c>
      <c r="B251" t="s">
        <v>120</v>
      </c>
      <c r="C251" t="str">
        <f t="shared" si="3"/>
        <v>US (Investments)</v>
      </c>
      <c r="D251">
        <v>23089</v>
      </c>
      <c r="E251" t="s">
        <v>15</v>
      </c>
    </row>
    <row r="252" spans="1:5" x14ac:dyDescent="0.2">
      <c r="A252" t="s">
        <v>115</v>
      </c>
      <c r="B252" t="s">
        <v>120</v>
      </c>
      <c r="C252" t="str">
        <f t="shared" si="3"/>
        <v>US (Investments)</v>
      </c>
      <c r="D252">
        <v>72187</v>
      </c>
      <c r="E252" t="s">
        <v>36</v>
      </c>
    </row>
    <row r="253" spans="1:5" x14ac:dyDescent="0.2">
      <c r="A253" t="s">
        <v>115</v>
      </c>
      <c r="B253" t="s">
        <v>120</v>
      </c>
      <c r="C253" t="str">
        <f t="shared" si="3"/>
        <v>US (Investments)</v>
      </c>
      <c r="D253">
        <v>27896</v>
      </c>
      <c r="E253" t="s">
        <v>110</v>
      </c>
    </row>
    <row r="254" spans="1:5" x14ac:dyDescent="0.2">
      <c r="A254" t="s">
        <v>117</v>
      </c>
      <c r="B254" t="s">
        <v>113</v>
      </c>
      <c r="C254" t="str">
        <f t="shared" si="3"/>
        <v>Middle-East (Consulting)</v>
      </c>
      <c r="D254">
        <v>43566</v>
      </c>
      <c r="E254" t="s">
        <v>43</v>
      </c>
    </row>
    <row r="255" spans="1:5" x14ac:dyDescent="0.2">
      <c r="A255" t="s">
        <v>114</v>
      </c>
      <c r="B255" t="s">
        <v>113</v>
      </c>
      <c r="C255" t="str">
        <f t="shared" si="3"/>
        <v>Africa (Consulting)</v>
      </c>
      <c r="D255">
        <v>56073</v>
      </c>
      <c r="E255" t="s">
        <v>25</v>
      </c>
    </row>
    <row r="256" spans="1:5" x14ac:dyDescent="0.2">
      <c r="A256" t="s">
        <v>114</v>
      </c>
      <c r="B256" t="s">
        <v>113</v>
      </c>
      <c r="C256" t="str">
        <f t="shared" si="3"/>
        <v>Africa (Consulting)</v>
      </c>
      <c r="D256">
        <v>75250</v>
      </c>
      <c r="E256" t="s">
        <v>43</v>
      </c>
    </row>
    <row r="257" spans="1:5" x14ac:dyDescent="0.2">
      <c r="A257" t="s">
        <v>116</v>
      </c>
      <c r="B257" t="s">
        <v>119</v>
      </c>
      <c r="C257" t="str">
        <f t="shared" si="3"/>
        <v>Europe (Facilities Management)</v>
      </c>
      <c r="D257">
        <v>74336</v>
      </c>
      <c r="E257" t="s">
        <v>5</v>
      </c>
    </row>
    <row r="258" spans="1:5" x14ac:dyDescent="0.2">
      <c r="A258" t="s">
        <v>116</v>
      </c>
      <c r="B258" t="s">
        <v>119</v>
      </c>
      <c r="C258" t="str">
        <f t="shared" si="3"/>
        <v>Europe (Facilities Management)</v>
      </c>
      <c r="D258">
        <v>56073</v>
      </c>
      <c r="E258" t="s">
        <v>26</v>
      </c>
    </row>
    <row r="259" spans="1:5" x14ac:dyDescent="0.2">
      <c r="A259" t="s">
        <v>115</v>
      </c>
      <c r="B259" t="s">
        <v>113</v>
      </c>
      <c r="C259" t="str">
        <f t="shared" ref="C259:C322" si="4">CONCATENATE(A259, " (", B259, ")")</f>
        <v>US (Consulting)</v>
      </c>
      <c r="D259">
        <v>38696</v>
      </c>
      <c r="E259" t="s">
        <v>17</v>
      </c>
    </row>
    <row r="260" spans="1:5" x14ac:dyDescent="0.2">
      <c r="A260" t="s">
        <v>117</v>
      </c>
      <c r="B260" t="s">
        <v>113</v>
      </c>
      <c r="C260" t="str">
        <f t="shared" si="4"/>
        <v>Middle-East (Consulting)</v>
      </c>
      <c r="D260">
        <v>67941</v>
      </c>
      <c r="E260" t="s">
        <v>29</v>
      </c>
    </row>
    <row r="261" spans="1:5" x14ac:dyDescent="0.2">
      <c r="A261" t="s">
        <v>117</v>
      </c>
      <c r="B261" t="s">
        <v>119</v>
      </c>
      <c r="C261" t="str">
        <f t="shared" si="4"/>
        <v>Middle-East (Facilities Management)</v>
      </c>
      <c r="D261">
        <v>15777</v>
      </c>
      <c r="E261" t="s">
        <v>13</v>
      </c>
    </row>
    <row r="262" spans="1:5" x14ac:dyDescent="0.2">
      <c r="A262" t="s">
        <v>118</v>
      </c>
      <c r="B262" t="s">
        <v>113</v>
      </c>
      <c r="C262" t="str">
        <f t="shared" si="4"/>
        <v>Asia-Pacific (Consulting)</v>
      </c>
      <c r="D262">
        <v>66919</v>
      </c>
      <c r="E262" t="s">
        <v>34</v>
      </c>
    </row>
    <row r="263" spans="1:5" x14ac:dyDescent="0.2">
      <c r="A263" t="s">
        <v>116</v>
      </c>
      <c r="B263" t="s">
        <v>120</v>
      </c>
      <c r="C263" t="str">
        <f t="shared" si="4"/>
        <v>Europe (Investments)</v>
      </c>
      <c r="D263">
        <v>68945</v>
      </c>
      <c r="E263" t="s">
        <v>25</v>
      </c>
    </row>
    <row r="264" spans="1:5" x14ac:dyDescent="0.2">
      <c r="A264" t="s">
        <v>118</v>
      </c>
      <c r="B264" t="s">
        <v>119</v>
      </c>
      <c r="C264" t="str">
        <f t="shared" si="4"/>
        <v>Asia-Pacific (Facilities Management)</v>
      </c>
      <c r="D264">
        <v>82602</v>
      </c>
      <c r="E264" t="s">
        <v>23</v>
      </c>
    </row>
    <row r="265" spans="1:5" x14ac:dyDescent="0.2">
      <c r="A265" t="s">
        <v>115</v>
      </c>
      <c r="B265" t="s">
        <v>119</v>
      </c>
      <c r="C265" t="str">
        <f t="shared" si="4"/>
        <v>US (Facilities Management)</v>
      </c>
      <c r="D265">
        <v>17019</v>
      </c>
      <c r="E265" t="s">
        <v>6</v>
      </c>
    </row>
    <row r="266" spans="1:5" x14ac:dyDescent="0.2">
      <c r="A266" t="s">
        <v>118</v>
      </c>
      <c r="B266" t="s">
        <v>120</v>
      </c>
      <c r="C266" t="str">
        <f t="shared" si="4"/>
        <v>Asia-Pacific (Investments)</v>
      </c>
      <c r="D266">
        <v>30310</v>
      </c>
      <c r="E266" t="s">
        <v>28</v>
      </c>
    </row>
    <row r="267" spans="1:5" x14ac:dyDescent="0.2">
      <c r="A267" t="s">
        <v>114</v>
      </c>
      <c r="B267" t="s">
        <v>119</v>
      </c>
      <c r="C267" t="str">
        <f t="shared" si="4"/>
        <v>Africa (Facilities Management)</v>
      </c>
      <c r="D267">
        <v>23259</v>
      </c>
      <c r="E267" t="s">
        <v>10</v>
      </c>
    </row>
    <row r="268" spans="1:5" x14ac:dyDescent="0.2">
      <c r="A268" t="s">
        <v>114</v>
      </c>
      <c r="B268" t="s">
        <v>119</v>
      </c>
      <c r="C268" t="str">
        <f t="shared" si="4"/>
        <v>Africa (Facilities Management)</v>
      </c>
      <c r="D268">
        <v>50768</v>
      </c>
      <c r="E268" t="s">
        <v>17</v>
      </c>
    </row>
    <row r="269" spans="1:5" x14ac:dyDescent="0.2">
      <c r="A269" t="s">
        <v>116</v>
      </c>
      <c r="B269" t="s">
        <v>120</v>
      </c>
      <c r="C269" t="str">
        <f t="shared" si="4"/>
        <v>Europe (Investments)</v>
      </c>
      <c r="D269">
        <v>57593</v>
      </c>
      <c r="E269" t="s">
        <v>36</v>
      </c>
    </row>
    <row r="270" spans="1:5" x14ac:dyDescent="0.2">
      <c r="A270" t="s">
        <v>116</v>
      </c>
      <c r="B270" t="s">
        <v>120</v>
      </c>
      <c r="C270" t="str">
        <f t="shared" si="4"/>
        <v>Europe (Investments)</v>
      </c>
      <c r="D270">
        <v>59738</v>
      </c>
      <c r="E270" t="s">
        <v>14</v>
      </c>
    </row>
    <row r="271" spans="1:5" x14ac:dyDescent="0.2">
      <c r="A271" t="s">
        <v>117</v>
      </c>
      <c r="B271" t="s">
        <v>119</v>
      </c>
      <c r="C271" t="str">
        <f t="shared" si="4"/>
        <v>Middle-East (Facilities Management)</v>
      </c>
      <c r="D271">
        <v>14275</v>
      </c>
      <c r="E271" t="s">
        <v>36</v>
      </c>
    </row>
    <row r="272" spans="1:5" x14ac:dyDescent="0.2">
      <c r="A272" t="s">
        <v>116</v>
      </c>
      <c r="B272" t="s">
        <v>120</v>
      </c>
      <c r="C272" t="str">
        <f t="shared" si="4"/>
        <v>Europe (Investments)</v>
      </c>
      <c r="D272">
        <v>28350</v>
      </c>
      <c r="E272" t="s">
        <v>24</v>
      </c>
    </row>
    <row r="273" spans="1:5" x14ac:dyDescent="0.2">
      <c r="A273" t="s">
        <v>115</v>
      </c>
      <c r="B273" t="s">
        <v>120</v>
      </c>
      <c r="C273" t="str">
        <f t="shared" si="4"/>
        <v>US (Investments)</v>
      </c>
      <c r="D273">
        <v>51457</v>
      </c>
      <c r="E273" t="s">
        <v>20</v>
      </c>
    </row>
    <row r="274" spans="1:5" x14ac:dyDescent="0.2">
      <c r="A274" t="s">
        <v>118</v>
      </c>
      <c r="B274" t="s">
        <v>119</v>
      </c>
      <c r="C274" t="str">
        <f t="shared" si="4"/>
        <v>Asia-Pacific (Facilities Management)</v>
      </c>
      <c r="D274">
        <v>67561</v>
      </c>
      <c r="E274" t="s">
        <v>38</v>
      </c>
    </row>
    <row r="275" spans="1:5" x14ac:dyDescent="0.2">
      <c r="A275" t="s">
        <v>118</v>
      </c>
      <c r="B275" t="s">
        <v>120</v>
      </c>
      <c r="C275" t="str">
        <f t="shared" si="4"/>
        <v>Asia-Pacific (Investments)</v>
      </c>
      <c r="D275">
        <v>58876</v>
      </c>
      <c r="E275" t="s">
        <v>31</v>
      </c>
    </row>
    <row r="276" spans="1:5" x14ac:dyDescent="0.2">
      <c r="A276" t="s">
        <v>117</v>
      </c>
      <c r="B276" t="s">
        <v>113</v>
      </c>
      <c r="C276" t="str">
        <f t="shared" si="4"/>
        <v>Middle-East (Consulting)</v>
      </c>
      <c r="D276">
        <v>87696</v>
      </c>
      <c r="E276" t="s">
        <v>19</v>
      </c>
    </row>
    <row r="277" spans="1:5" x14ac:dyDescent="0.2">
      <c r="A277" t="s">
        <v>117</v>
      </c>
      <c r="B277" t="s">
        <v>119</v>
      </c>
      <c r="C277" t="str">
        <f t="shared" si="4"/>
        <v>Middle-East (Facilities Management)</v>
      </c>
      <c r="D277">
        <v>64705</v>
      </c>
      <c r="E277" t="s">
        <v>24</v>
      </c>
    </row>
    <row r="278" spans="1:5" x14ac:dyDescent="0.2">
      <c r="A278" t="s">
        <v>116</v>
      </c>
      <c r="B278" t="s">
        <v>120</v>
      </c>
      <c r="C278" t="str">
        <f t="shared" si="4"/>
        <v>Europe (Investments)</v>
      </c>
      <c r="D278">
        <v>15285</v>
      </c>
      <c r="E278" t="s">
        <v>10</v>
      </c>
    </row>
    <row r="279" spans="1:5" x14ac:dyDescent="0.2">
      <c r="A279" t="s">
        <v>114</v>
      </c>
      <c r="B279" t="s">
        <v>113</v>
      </c>
      <c r="C279" t="str">
        <f t="shared" si="4"/>
        <v>Africa (Consulting)</v>
      </c>
      <c r="D279">
        <v>34613</v>
      </c>
      <c r="E279" t="s">
        <v>43</v>
      </c>
    </row>
    <row r="280" spans="1:5" x14ac:dyDescent="0.2">
      <c r="A280" t="s">
        <v>117</v>
      </c>
      <c r="B280" t="s">
        <v>113</v>
      </c>
      <c r="C280" t="str">
        <f t="shared" si="4"/>
        <v>Middle-East (Consulting)</v>
      </c>
      <c r="D280">
        <v>24627</v>
      </c>
      <c r="E280" t="s">
        <v>36</v>
      </c>
    </row>
    <row r="281" spans="1:5" x14ac:dyDescent="0.2">
      <c r="A281" t="s">
        <v>117</v>
      </c>
      <c r="B281" t="s">
        <v>120</v>
      </c>
      <c r="C281" t="str">
        <f t="shared" si="4"/>
        <v>Middle-East (Investments)</v>
      </c>
      <c r="D281">
        <v>87775</v>
      </c>
      <c r="E281" t="s">
        <v>13</v>
      </c>
    </row>
    <row r="282" spans="1:5" x14ac:dyDescent="0.2">
      <c r="A282" t="s">
        <v>114</v>
      </c>
      <c r="B282" t="s">
        <v>120</v>
      </c>
      <c r="C282" t="str">
        <f t="shared" si="4"/>
        <v>Africa (Investments)</v>
      </c>
      <c r="D282">
        <v>75884</v>
      </c>
      <c r="E282" t="s">
        <v>37</v>
      </c>
    </row>
    <row r="283" spans="1:5" x14ac:dyDescent="0.2">
      <c r="A283" t="s">
        <v>116</v>
      </c>
      <c r="B283" t="s">
        <v>113</v>
      </c>
      <c r="C283" t="str">
        <f t="shared" si="4"/>
        <v>Europe (Consulting)</v>
      </c>
      <c r="D283">
        <v>89472</v>
      </c>
      <c r="E283" t="s">
        <v>33</v>
      </c>
    </row>
    <row r="284" spans="1:5" x14ac:dyDescent="0.2">
      <c r="A284" t="s">
        <v>115</v>
      </c>
      <c r="B284" t="s">
        <v>120</v>
      </c>
      <c r="C284" t="str">
        <f t="shared" si="4"/>
        <v>US (Investments)</v>
      </c>
      <c r="D284">
        <v>47097</v>
      </c>
      <c r="E284" t="s">
        <v>110</v>
      </c>
    </row>
    <row r="285" spans="1:5" x14ac:dyDescent="0.2">
      <c r="A285" t="s">
        <v>115</v>
      </c>
      <c r="B285" t="s">
        <v>113</v>
      </c>
      <c r="C285" t="str">
        <f t="shared" si="4"/>
        <v>US (Consulting)</v>
      </c>
      <c r="D285">
        <v>24003</v>
      </c>
      <c r="E285" t="s">
        <v>40</v>
      </c>
    </row>
    <row r="286" spans="1:5" x14ac:dyDescent="0.2">
      <c r="A286" t="s">
        <v>114</v>
      </c>
      <c r="B286" t="s">
        <v>120</v>
      </c>
      <c r="C286" t="str">
        <f t="shared" si="4"/>
        <v>Africa (Investments)</v>
      </c>
      <c r="D286">
        <v>77825</v>
      </c>
      <c r="E286" t="s">
        <v>14</v>
      </c>
    </row>
    <row r="287" spans="1:5" x14ac:dyDescent="0.2">
      <c r="A287" t="s">
        <v>116</v>
      </c>
      <c r="B287" t="s">
        <v>120</v>
      </c>
      <c r="C287" t="str">
        <f t="shared" si="4"/>
        <v>Europe (Investments)</v>
      </c>
      <c r="D287">
        <v>17019</v>
      </c>
      <c r="E287" t="s">
        <v>110</v>
      </c>
    </row>
    <row r="288" spans="1:5" x14ac:dyDescent="0.2">
      <c r="A288" t="s">
        <v>116</v>
      </c>
      <c r="B288" t="s">
        <v>113</v>
      </c>
      <c r="C288" t="str">
        <f t="shared" si="4"/>
        <v>Europe (Consulting)</v>
      </c>
      <c r="D288">
        <v>86385</v>
      </c>
      <c r="E288" t="s">
        <v>44</v>
      </c>
    </row>
    <row r="289" spans="1:5" x14ac:dyDescent="0.2">
      <c r="A289" t="s">
        <v>114</v>
      </c>
      <c r="B289" t="s">
        <v>120</v>
      </c>
      <c r="C289" t="str">
        <f t="shared" si="4"/>
        <v>Africa (Investments)</v>
      </c>
      <c r="D289">
        <v>72919</v>
      </c>
      <c r="E289" t="s">
        <v>31</v>
      </c>
    </row>
    <row r="290" spans="1:5" x14ac:dyDescent="0.2">
      <c r="A290" t="s">
        <v>116</v>
      </c>
      <c r="B290" t="s">
        <v>113</v>
      </c>
      <c r="C290" t="str">
        <f t="shared" si="4"/>
        <v>Europe (Consulting)</v>
      </c>
      <c r="D290">
        <v>20218</v>
      </c>
      <c r="E290" t="s">
        <v>29</v>
      </c>
    </row>
    <row r="291" spans="1:5" x14ac:dyDescent="0.2">
      <c r="A291" t="s">
        <v>118</v>
      </c>
      <c r="B291" t="s">
        <v>120</v>
      </c>
      <c r="C291" t="str">
        <f t="shared" si="4"/>
        <v>Asia-Pacific (Investments)</v>
      </c>
      <c r="D291">
        <v>50410</v>
      </c>
      <c r="E291" t="s">
        <v>44</v>
      </c>
    </row>
    <row r="292" spans="1:5" x14ac:dyDescent="0.2">
      <c r="A292" t="s">
        <v>114</v>
      </c>
      <c r="B292" t="s">
        <v>113</v>
      </c>
      <c r="C292" t="str">
        <f t="shared" si="4"/>
        <v>Africa (Consulting)</v>
      </c>
      <c r="D292">
        <v>63220</v>
      </c>
      <c r="E292" t="s">
        <v>44</v>
      </c>
    </row>
    <row r="293" spans="1:5" x14ac:dyDescent="0.2">
      <c r="A293" t="s">
        <v>116</v>
      </c>
      <c r="B293" t="s">
        <v>120</v>
      </c>
      <c r="C293" t="str">
        <f t="shared" si="4"/>
        <v>Europe (Investments)</v>
      </c>
      <c r="D293">
        <v>65050</v>
      </c>
      <c r="E293" t="s">
        <v>27</v>
      </c>
    </row>
    <row r="294" spans="1:5" x14ac:dyDescent="0.2">
      <c r="A294" t="s">
        <v>115</v>
      </c>
      <c r="B294" t="s">
        <v>113</v>
      </c>
      <c r="C294" t="str">
        <f t="shared" si="4"/>
        <v>US (Consulting)</v>
      </c>
      <c r="D294">
        <v>63403</v>
      </c>
      <c r="E294" t="s">
        <v>17</v>
      </c>
    </row>
    <row r="295" spans="1:5" x14ac:dyDescent="0.2">
      <c r="A295" t="s">
        <v>118</v>
      </c>
      <c r="B295" t="s">
        <v>120</v>
      </c>
      <c r="C295" t="str">
        <f t="shared" si="4"/>
        <v>Asia-Pacific (Investments)</v>
      </c>
      <c r="D295">
        <v>43566</v>
      </c>
      <c r="E295" t="s">
        <v>17</v>
      </c>
    </row>
    <row r="296" spans="1:5" x14ac:dyDescent="0.2">
      <c r="A296" t="s">
        <v>118</v>
      </c>
      <c r="B296" t="s">
        <v>113</v>
      </c>
      <c r="C296" t="str">
        <f t="shared" si="4"/>
        <v>Asia-Pacific (Consulting)</v>
      </c>
      <c r="D296">
        <v>63220</v>
      </c>
      <c r="E296" t="s">
        <v>30</v>
      </c>
    </row>
    <row r="297" spans="1:5" x14ac:dyDescent="0.2">
      <c r="A297" t="s">
        <v>118</v>
      </c>
      <c r="B297" t="s">
        <v>113</v>
      </c>
      <c r="C297" t="str">
        <f t="shared" si="4"/>
        <v>Asia-Pacific (Consulting)</v>
      </c>
      <c r="D297">
        <v>41143</v>
      </c>
      <c r="E297" t="s">
        <v>36</v>
      </c>
    </row>
    <row r="298" spans="1:5" x14ac:dyDescent="0.2">
      <c r="A298" t="s">
        <v>117</v>
      </c>
      <c r="B298" t="s">
        <v>113</v>
      </c>
      <c r="C298" t="str">
        <f t="shared" si="4"/>
        <v>Middle-East (Consulting)</v>
      </c>
      <c r="D298">
        <v>58876</v>
      </c>
      <c r="E298" t="s">
        <v>3</v>
      </c>
    </row>
    <row r="299" spans="1:5" x14ac:dyDescent="0.2">
      <c r="A299" t="s">
        <v>117</v>
      </c>
      <c r="B299" t="s">
        <v>119</v>
      </c>
      <c r="C299" t="str">
        <f t="shared" si="4"/>
        <v>Middle-East (Facilities Management)</v>
      </c>
      <c r="D299">
        <v>66384</v>
      </c>
      <c r="E299" t="s">
        <v>17</v>
      </c>
    </row>
    <row r="300" spans="1:5" x14ac:dyDescent="0.2">
      <c r="A300" t="s">
        <v>117</v>
      </c>
      <c r="B300" t="s">
        <v>119</v>
      </c>
      <c r="C300" t="str">
        <f t="shared" si="4"/>
        <v>Middle-East (Facilities Management)</v>
      </c>
      <c r="D300">
        <v>46187</v>
      </c>
      <c r="E300" t="s">
        <v>21</v>
      </c>
    </row>
    <row r="301" spans="1:5" x14ac:dyDescent="0.2">
      <c r="A301" t="s">
        <v>115</v>
      </c>
      <c r="B301" t="s">
        <v>120</v>
      </c>
      <c r="C301" t="str">
        <f t="shared" si="4"/>
        <v>US (Investments)</v>
      </c>
      <c r="D301">
        <v>81857</v>
      </c>
      <c r="E301" t="s">
        <v>16</v>
      </c>
    </row>
    <row r="302" spans="1:5" x14ac:dyDescent="0.2">
      <c r="A302" t="s">
        <v>117</v>
      </c>
      <c r="B302" t="s">
        <v>113</v>
      </c>
      <c r="C302" t="str">
        <f t="shared" si="4"/>
        <v>Middle-East (Consulting)</v>
      </c>
      <c r="D302">
        <v>24588</v>
      </c>
      <c r="E302" t="s">
        <v>37</v>
      </c>
    </row>
    <row r="303" spans="1:5" x14ac:dyDescent="0.2">
      <c r="A303" t="s">
        <v>114</v>
      </c>
      <c r="B303" t="s">
        <v>113</v>
      </c>
      <c r="C303" t="str">
        <f t="shared" si="4"/>
        <v>Africa (Consulting)</v>
      </c>
      <c r="D303">
        <v>75250</v>
      </c>
      <c r="E303" t="s">
        <v>6</v>
      </c>
    </row>
    <row r="304" spans="1:5" x14ac:dyDescent="0.2">
      <c r="A304" t="s">
        <v>118</v>
      </c>
      <c r="B304" t="s">
        <v>113</v>
      </c>
      <c r="C304" t="str">
        <f t="shared" si="4"/>
        <v>Asia-Pacific (Consulting)</v>
      </c>
      <c r="D304">
        <v>63220</v>
      </c>
      <c r="E304" t="s">
        <v>39</v>
      </c>
    </row>
    <row r="305" spans="1:5" x14ac:dyDescent="0.2">
      <c r="A305" t="s">
        <v>118</v>
      </c>
      <c r="B305" t="s">
        <v>113</v>
      </c>
      <c r="C305" t="str">
        <f t="shared" si="4"/>
        <v>Asia-Pacific (Consulting)</v>
      </c>
      <c r="D305">
        <v>25382</v>
      </c>
      <c r="E305" t="s">
        <v>24</v>
      </c>
    </row>
    <row r="306" spans="1:5" x14ac:dyDescent="0.2">
      <c r="A306" t="s">
        <v>115</v>
      </c>
      <c r="B306" t="s">
        <v>113</v>
      </c>
      <c r="C306" t="str">
        <f t="shared" si="4"/>
        <v>US (Consulting)</v>
      </c>
      <c r="D306">
        <v>77825</v>
      </c>
      <c r="E306" t="s">
        <v>47</v>
      </c>
    </row>
    <row r="307" spans="1:5" x14ac:dyDescent="0.2">
      <c r="A307" t="s">
        <v>115</v>
      </c>
      <c r="B307" t="s">
        <v>119</v>
      </c>
      <c r="C307" t="str">
        <f t="shared" si="4"/>
        <v>US (Facilities Management)</v>
      </c>
      <c r="D307">
        <v>64705</v>
      </c>
      <c r="E307" t="s">
        <v>25</v>
      </c>
    </row>
    <row r="308" spans="1:5" x14ac:dyDescent="0.2">
      <c r="A308" t="s">
        <v>115</v>
      </c>
      <c r="B308" t="s">
        <v>113</v>
      </c>
      <c r="C308" t="str">
        <f t="shared" si="4"/>
        <v>US (Consulting)</v>
      </c>
      <c r="D308">
        <v>43340</v>
      </c>
      <c r="E308" t="s">
        <v>43</v>
      </c>
    </row>
    <row r="309" spans="1:5" x14ac:dyDescent="0.2">
      <c r="A309" t="s">
        <v>114</v>
      </c>
      <c r="B309" t="s">
        <v>113</v>
      </c>
      <c r="C309" t="str">
        <f t="shared" si="4"/>
        <v>Africa (Consulting)</v>
      </c>
      <c r="D309">
        <v>75250</v>
      </c>
      <c r="E309" t="s">
        <v>9</v>
      </c>
    </row>
    <row r="310" spans="1:5" x14ac:dyDescent="0.2">
      <c r="A310" t="s">
        <v>118</v>
      </c>
      <c r="B310" t="s">
        <v>113</v>
      </c>
      <c r="C310" t="str">
        <f t="shared" si="4"/>
        <v>Asia-Pacific (Consulting)</v>
      </c>
      <c r="D310">
        <v>67103</v>
      </c>
      <c r="E310" t="s">
        <v>22</v>
      </c>
    </row>
    <row r="311" spans="1:5" x14ac:dyDescent="0.2">
      <c r="A311" t="s">
        <v>115</v>
      </c>
      <c r="B311" t="s">
        <v>113</v>
      </c>
      <c r="C311" t="str">
        <f t="shared" si="4"/>
        <v>US (Consulting)</v>
      </c>
      <c r="D311">
        <v>41143</v>
      </c>
      <c r="E311" t="s">
        <v>14</v>
      </c>
    </row>
    <row r="312" spans="1:5" x14ac:dyDescent="0.2">
      <c r="A312" t="s">
        <v>115</v>
      </c>
      <c r="B312" t="s">
        <v>119</v>
      </c>
      <c r="C312" t="str">
        <f t="shared" si="4"/>
        <v>US (Facilities Management)</v>
      </c>
      <c r="D312">
        <v>21736</v>
      </c>
      <c r="E312" t="s">
        <v>8</v>
      </c>
    </row>
    <row r="313" spans="1:5" x14ac:dyDescent="0.2">
      <c r="A313" t="s">
        <v>118</v>
      </c>
      <c r="B313" t="s">
        <v>119</v>
      </c>
      <c r="C313" t="str">
        <f t="shared" si="4"/>
        <v>Asia-Pacific (Facilities Management)</v>
      </c>
      <c r="D313">
        <v>88179</v>
      </c>
      <c r="E313" t="s">
        <v>17</v>
      </c>
    </row>
    <row r="314" spans="1:5" x14ac:dyDescent="0.2">
      <c r="A314" t="s">
        <v>117</v>
      </c>
      <c r="B314" t="s">
        <v>120</v>
      </c>
      <c r="C314" t="str">
        <f t="shared" si="4"/>
        <v>Middle-East (Investments)</v>
      </c>
      <c r="D314">
        <v>46638</v>
      </c>
      <c r="E314" t="s">
        <v>14</v>
      </c>
    </row>
    <row r="315" spans="1:5" x14ac:dyDescent="0.2">
      <c r="A315" t="s">
        <v>115</v>
      </c>
      <c r="B315" t="s">
        <v>119</v>
      </c>
      <c r="C315" t="str">
        <f t="shared" si="4"/>
        <v>US (Facilities Management)</v>
      </c>
      <c r="D315">
        <v>80154</v>
      </c>
      <c r="E315" t="s">
        <v>7</v>
      </c>
    </row>
    <row r="316" spans="1:5" x14ac:dyDescent="0.2">
      <c r="A316" t="s">
        <v>117</v>
      </c>
      <c r="B316" t="s">
        <v>119</v>
      </c>
      <c r="C316" t="str">
        <f t="shared" si="4"/>
        <v>Middle-East (Facilities Management)</v>
      </c>
      <c r="D316">
        <v>50410</v>
      </c>
      <c r="E316" t="s">
        <v>14</v>
      </c>
    </row>
    <row r="317" spans="1:5" x14ac:dyDescent="0.2">
      <c r="A317" t="s">
        <v>115</v>
      </c>
      <c r="B317" t="s">
        <v>120</v>
      </c>
      <c r="C317" t="str">
        <f t="shared" si="4"/>
        <v>US (Investments)</v>
      </c>
      <c r="D317">
        <v>82313</v>
      </c>
      <c r="E317" t="s">
        <v>44</v>
      </c>
    </row>
    <row r="318" spans="1:5" x14ac:dyDescent="0.2">
      <c r="A318" t="s">
        <v>114</v>
      </c>
      <c r="B318" t="s">
        <v>120</v>
      </c>
      <c r="C318" t="str">
        <f t="shared" si="4"/>
        <v>Africa (Investments)</v>
      </c>
      <c r="D318">
        <v>79177</v>
      </c>
      <c r="E318" t="s">
        <v>16</v>
      </c>
    </row>
    <row r="319" spans="1:5" x14ac:dyDescent="0.2">
      <c r="A319" t="s">
        <v>116</v>
      </c>
      <c r="B319" t="s">
        <v>119</v>
      </c>
      <c r="C319" t="str">
        <f t="shared" si="4"/>
        <v>Europe (Facilities Management)</v>
      </c>
      <c r="D319">
        <v>74336</v>
      </c>
      <c r="E319" t="s">
        <v>12</v>
      </c>
    </row>
    <row r="320" spans="1:5" x14ac:dyDescent="0.2">
      <c r="A320" t="s">
        <v>117</v>
      </c>
      <c r="B320" t="s">
        <v>119</v>
      </c>
      <c r="C320" t="str">
        <f t="shared" si="4"/>
        <v>Middle-East (Facilities Management)</v>
      </c>
      <c r="D320">
        <v>15777</v>
      </c>
      <c r="E320" t="s">
        <v>36</v>
      </c>
    </row>
    <row r="321" spans="1:5" x14ac:dyDescent="0.2">
      <c r="A321" t="s">
        <v>114</v>
      </c>
      <c r="B321" t="s">
        <v>113</v>
      </c>
      <c r="C321" t="str">
        <f t="shared" si="4"/>
        <v>Africa (Consulting)</v>
      </c>
      <c r="D321">
        <v>72739</v>
      </c>
      <c r="E321" t="s">
        <v>33</v>
      </c>
    </row>
    <row r="322" spans="1:5" x14ac:dyDescent="0.2">
      <c r="A322" t="s">
        <v>118</v>
      </c>
      <c r="B322" t="s">
        <v>119</v>
      </c>
      <c r="C322" t="str">
        <f t="shared" si="4"/>
        <v>Asia-Pacific (Facilities Management)</v>
      </c>
      <c r="D322">
        <v>76523</v>
      </c>
      <c r="E322" t="s">
        <v>19</v>
      </c>
    </row>
    <row r="323" spans="1:5" x14ac:dyDescent="0.2">
      <c r="A323" t="s">
        <v>118</v>
      </c>
      <c r="B323" t="s">
        <v>119</v>
      </c>
      <c r="C323" t="str">
        <f t="shared" ref="C323:C386" si="5">CONCATENATE(A323, " (", B323, ")")</f>
        <v>Asia-Pacific (Facilities Management)</v>
      </c>
      <c r="D323">
        <v>82602</v>
      </c>
      <c r="E323" t="s">
        <v>34</v>
      </c>
    </row>
    <row r="324" spans="1:5" x14ac:dyDescent="0.2">
      <c r="A324" t="s">
        <v>118</v>
      </c>
      <c r="B324" t="s">
        <v>113</v>
      </c>
      <c r="C324" t="str">
        <f t="shared" si="5"/>
        <v>Asia-Pacific (Consulting)</v>
      </c>
      <c r="D324">
        <v>41143</v>
      </c>
      <c r="E324" t="s">
        <v>5</v>
      </c>
    </row>
    <row r="325" spans="1:5" x14ac:dyDescent="0.2">
      <c r="A325" t="s">
        <v>118</v>
      </c>
      <c r="B325" t="s">
        <v>119</v>
      </c>
      <c r="C325" t="str">
        <f t="shared" si="5"/>
        <v>Asia-Pacific (Facilities Management)</v>
      </c>
      <c r="D325">
        <v>37559</v>
      </c>
      <c r="E325" t="s">
        <v>44</v>
      </c>
    </row>
    <row r="326" spans="1:5" x14ac:dyDescent="0.2">
      <c r="A326" t="s">
        <v>118</v>
      </c>
      <c r="B326" t="s">
        <v>120</v>
      </c>
      <c r="C326" t="str">
        <f t="shared" si="5"/>
        <v>Asia-Pacific (Investments)</v>
      </c>
      <c r="D326">
        <v>77825</v>
      </c>
      <c r="E326" t="s">
        <v>39</v>
      </c>
    </row>
    <row r="327" spans="1:5" x14ac:dyDescent="0.2">
      <c r="A327" t="s">
        <v>115</v>
      </c>
      <c r="B327" t="s">
        <v>113</v>
      </c>
      <c r="C327" t="str">
        <f t="shared" si="5"/>
        <v>US (Consulting)</v>
      </c>
      <c r="D327">
        <v>10151</v>
      </c>
      <c r="E327" t="s">
        <v>16</v>
      </c>
    </row>
    <row r="328" spans="1:5" x14ac:dyDescent="0.2">
      <c r="A328" t="s">
        <v>114</v>
      </c>
      <c r="B328" t="s">
        <v>113</v>
      </c>
      <c r="C328" t="str">
        <f t="shared" si="5"/>
        <v>Africa (Consulting)</v>
      </c>
      <c r="D328">
        <v>15285</v>
      </c>
      <c r="E328" t="s">
        <v>20</v>
      </c>
    </row>
    <row r="329" spans="1:5" x14ac:dyDescent="0.2">
      <c r="A329" t="s">
        <v>118</v>
      </c>
      <c r="B329" t="s">
        <v>113</v>
      </c>
      <c r="C329" t="str">
        <f t="shared" si="5"/>
        <v>Asia-Pacific (Consulting)</v>
      </c>
      <c r="D329">
        <v>63405</v>
      </c>
      <c r="E329" t="s">
        <v>32</v>
      </c>
    </row>
    <row r="330" spans="1:5" x14ac:dyDescent="0.2">
      <c r="A330" t="s">
        <v>116</v>
      </c>
      <c r="B330" t="s">
        <v>113</v>
      </c>
      <c r="C330" t="str">
        <f t="shared" si="5"/>
        <v>Europe (Consulting)</v>
      </c>
      <c r="D330">
        <v>87229</v>
      </c>
      <c r="E330" t="s">
        <v>25</v>
      </c>
    </row>
    <row r="331" spans="1:5" x14ac:dyDescent="0.2">
      <c r="A331" t="s">
        <v>118</v>
      </c>
      <c r="B331" t="s">
        <v>113</v>
      </c>
      <c r="C331" t="str">
        <f t="shared" si="5"/>
        <v>Asia-Pacific (Consulting)</v>
      </c>
      <c r="D331">
        <v>53027</v>
      </c>
      <c r="E331" t="s">
        <v>11</v>
      </c>
    </row>
    <row r="332" spans="1:5" x14ac:dyDescent="0.2">
      <c r="A332" t="s">
        <v>114</v>
      </c>
      <c r="B332" t="s">
        <v>113</v>
      </c>
      <c r="C332" t="str">
        <f t="shared" si="5"/>
        <v>Africa (Consulting)</v>
      </c>
      <c r="D332">
        <v>75250</v>
      </c>
      <c r="E332" t="s">
        <v>24</v>
      </c>
    </row>
    <row r="333" spans="1:5" x14ac:dyDescent="0.2">
      <c r="A333" t="s">
        <v>117</v>
      </c>
      <c r="B333" t="s">
        <v>113</v>
      </c>
      <c r="C333" t="str">
        <f t="shared" si="5"/>
        <v>Middle-East (Consulting)</v>
      </c>
      <c r="D333">
        <v>43566</v>
      </c>
      <c r="E333" t="s">
        <v>7</v>
      </c>
    </row>
    <row r="334" spans="1:5" x14ac:dyDescent="0.2">
      <c r="A334" t="s">
        <v>114</v>
      </c>
      <c r="B334" t="s">
        <v>119</v>
      </c>
      <c r="C334" t="str">
        <f t="shared" si="5"/>
        <v>Africa (Facilities Management)</v>
      </c>
      <c r="D334">
        <v>39706</v>
      </c>
      <c r="E334" t="s">
        <v>23</v>
      </c>
    </row>
    <row r="335" spans="1:5" x14ac:dyDescent="0.2">
      <c r="A335" t="s">
        <v>114</v>
      </c>
      <c r="B335" t="s">
        <v>119</v>
      </c>
      <c r="C335" t="str">
        <f t="shared" si="5"/>
        <v>Africa (Facilities Management)</v>
      </c>
      <c r="D335">
        <v>47097</v>
      </c>
      <c r="E335" t="s">
        <v>20</v>
      </c>
    </row>
    <row r="336" spans="1:5" x14ac:dyDescent="0.2">
      <c r="A336" t="s">
        <v>117</v>
      </c>
      <c r="B336" t="s">
        <v>113</v>
      </c>
      <c r="C336" t="str">
        <f t="shared" si="5"/>
        <v>Middle-East (Consulting)</v>
      </c>
      <c r="D336">
        <v>63403</v>
      </c>
      <c r="E336" t="s">
        <v>5</v>
      </c>
    </row>
    <row r="337" spans="1:5" x14ac:dyDescent="0.2">
      <c r="A337" t="s">
        <v>117</v>
      </c>
      <c r="B337" t="s">
        <v>119</v>
      </c>
      <c r="C337" t="str">
        <f t="shared" si="5"/>
        <v>Middle-East (Facilities Management)</v>
      </c>
      <c r="D337">
        <v>69407</v>
      </c>
      <c r="E337" t="s">
        <v>23</v>
      </c>
    </row>
    <row r="338" spans="1:5" x14ac:dyDescent="0.2">
      <c r="A338" t="s">
        <v>118</v>
      </c>
      <c r="B338" t="s">
        <v>120</v>
      </c>
      <c r="C338" t="str">
        <f t="shared" si="5"/>
        <v>Asia-Pacific (Investments)</v>
      </c>
      <c r="D338">
        <v>30776</v>
      </c>
      <c r="E338" t="s">
        <v>38</v>
      </c>
    </row>
    <row r="339" spans="1:5" x14ac:dyDescent="0.2">
      <c r="A339" t="s">
        <v>115</v>
      </c>
      <c r="B339" t="s">
        <v>120</v>
      </c>
      <c r="C339" t="str">
        <f t="shared" si="5"/>
        <v>US (Investments)</v>
      </c>
      <c r="D339">
        <v>30310</v>
      </c>
      <c r="E339" t="s">
        <v>3</v>
      </c>
    </row>
    <row r="340" spans="1:5" x14ac:dyDescent="0.2">
      <c r="A340" t="s">
        <v>118</v>
      </c>
      <c r="B340" t="s">
        <v>120</v>
      </c>
      <c r="C340" t="str">
        <f t="shared" si="5"/>
        <v>Asia-Pacific (Investments)</v>
      </c>
      <c r="D340">
        <v>76523</v>
      </c>
      <c r="E340" t="s">
        <v>15</v>
      </c>
    </row>
    <row r="341" spans="1:5" x14ac:dyDescent="0.2">
      <c r="A341" t="s">
        <v>114</v>
      </c>
      <c r="B341" t="s">
        <v>120</v>
      </c>
      <c r="C341" t="str">
        <f t="shared" si="5"/>
        <v>Africa (Investments)</v>
      </c>
      <c r="D341">
        <v>43566</v>
      </c>
      <c r="E341" t="s">
        <v>42</v>
      </c>
    </row>
    <row r="342" spans="1:5" x14ac:dyDescent="0.2">
      <c r="A342" t="s">
        <v>116</v>
      </c>
      <c r="B342" t="s">
        <v>120</v>
      </c>
      <c r="C342" t="str">
        <f t="shared" si="5"/>
        <v>Europe (Investments)</v>
      </c>
      <c r="D342">
        <v>75884</v>
      </c>
      <c r="E342" t="s">
        <v>27</v>
      </c>
    </row>
    <row r="343" spans="1:5" x14ac:dyDescent="0.2">
      <c r="A343" t="s">
        <v>115</v>
      </c>
      <c r="B343" t="s">
        <v>119</v>
      </c>
      <c r="C343" t="str">
        <f t="shared" si="5"/>
        <v>US (Facilities Management)</v>
      </c>
      <c r="D343">
        <v>87696</v>
      </c>
      <c r="E343" t="s">
        <v>22</v>
      </c>
    </row>
    <row r="344" spans="1:5" x14ac:dyDescent="0.2">
      <c r="A344" t="s">
        <v>117</v>
      </c>
      <c r="B344" t="s">
        <v>119</v>
      </c>
      <c r="C344" t="str">
        <f t="shared" si="5"/>
        <v>Middle-East (Facilities Management)</v>
      </c>
      <c r="D344">
        <v>15777</v>
      </c>
      <c r="E344" t="s">
        <v>14</v>
      </c>
    </row>
    <row r="345" spans="1:5" x14ac:dyDescent="0.2">
      <c r="A345" t="s">
        <v>117</v>
      </c>
      <c r="B345" t="s">
        <v>120</v>
      </c>
      <c r="C345" t="str">
        <f t="shared" si="5"/>
        <v>Middle-East (Investments)</v>
      </c>
      <c r="D345">
        <v>77596</v>
      </c>
      <c r="E345" t="s">
        <v>20</v>
      </c>
    </row>
    <row r="346" spans="1:5" x14ac:dyDescent="0.2">
      <c r="A346" t="s">
        <v>117</v>
      </c>
      <c r="B346" t="s">
        <v>113</v>
      </c>
      <c r="C346" t="str">
        <f t="shared" si="5"/>
        <v>Middle-East (Consulting)</v>
      </c>
      <c r="D346">
        <v>70981</v>
      </c>
      <c r="E346" t="s">
        <v>32</v>
      </c>
    </row>
    <row r="347" spans="1:5" x14ac:dyDescent="0.2">
      <c r="A347" t="s">
        <v>118</v>
      </c>
      <c r="B347" t="s">
        <v>113</v>
      </c>
      <c r="C347" t="str">
        <f t="shared" si="5"/>
        <v>Asia-Pacific (Consulting)</v>
      </c>
      <c r="D347">
        <v>75257</v>
      </c>
      <c r="E347" t="s">
        <v>110</v>
      </c>
    </row>
    <row r="348" spans="1:5" x14ac:dyDescent="0.2">
      <c r="A348" t="s">
        <v>114</v>
      </c>
      <c r="B348" t="s">
        <v>113</v>
      </c>
      <c r="C348" t="str">
        <f t="shared" si="5"/>
        <v>Africa (Consulting)</v>
      </c>
      <c r="D348">
        <v>34613</v>
      </c>
      <c r="E348" t="s">
        <v>13</v>
      </c>
    </row>
    <row r="349" spans="1:5" x14ac:dyDescent="0.2">
      <c r="A349" t="s">
        <v>117</v>
      </c>
      <c r="B349" t="s">
        <v>113</v>
      </c>
      <c r="C349" t="str">
        <f t="shared" si="5"/>
        <v>Middle-East (Consulting)</v>
      </c>
      <c r="D349">
        <v>89486</v>
      </c>
      <c r="E349" t="s">
        <v>19</v>
      </c>
    </row>
    <row r="350" spans="1:5" x14ac:dyDescent="0.2">
      <c r="A350" t="s">
        <v>115</v>
      </c>
      <c r="B350" t="s">
        <v>119</v>
      </c>
      <c r="C350" t="str">
        <f t="shared" si="5"/>
        <v>US (Facilities Management)</v>
      </c>
      <c r="D350">
        <v>15285</v>
      </c>
      <c r="E350" t="s">
        <v>9</v>
      </c>
    </row>
    <row r="351" spans="1:5" x14ac:dyDescent="0.2">
      <c r="A351" t="s">
        <v>116</v>
      </c>
      <c r="B351" t="s">
        <v>120</v>
      </c>
      <c r="C351" t="str">
        <f t="shared" si="5"/>
        <v>Europe (Investments)</v>
      </c>
      <c r="D351">
        <v>56933</v>
      </c>
      <c r="E351" t="s">
        <v>110</v>
      </c>
    </row>
    <row r="352" spans="1:5" x14ac:dyDescent="0.2">
      <c r="A352" t="s">
        <v>114</v>
      </c>
      <c r="B352" t="s">
        <v>120</v>
      </c>
      <c r="C352" t="str">
        <f t="shared" si="5"/>
        <v>Africa (Investments)</v>
      </c>
      <c r="D352">
        <v>43566</v>
      </c>
      <c r="E352" t="s">
        <v>35</v>
      </c>
    </row>
    <row r="353" spans="1:5" x14ac:dyDescent="0.2">
      <c r="A353" t="s">
        <v>118</v>
      </c>
      <c r="B353" t="s">
        <v>120</v>
      </c>
      <c r="C353" t="str">
        <f t="shared" si="5"/>
        <v>Asia-Pacific (Investments)</v>
      </c>
      <c r="D353">
        <v>78601</v>
      </c>
      <c r="E353" t="s">
        <v>4</v>
      </c>
    </row>
    <row r="354" spans="1:5" x14ac:dyDescent="0.2">
      <c r="A354" t="s">
        <v>117</v>
      </c>
      <c r="B354" t="s">
        <v>120</v>
      </c>
      <c r="C354" t="str">
        <f t="shared" si="5"/>
        <v>Middle-East (Investments)</v>
      </c>
      <c r="D354">
        <v>79863</v>
      </c>
      <c r="E354" t="s">
        <v>26</v>
      </c>
    </row>
    <row r="355" spans="1:5" x14ac:dyDescent="0.2">
      <c r="A355" t="s">
        <v>118</v>
      </c>
      <c r="B355" t="s">
        <v>119</v>
      </c>
      <c r="C355" t="str">
        <f t="shared" si="5"/>
        <v>Asia-Pacific (Facilities Management)</v>
      </c>
      <c r="D355">
        <v>86095</v>
      </c>
      <c r="E355" t="s">
        <v>40</v>
      </c>
    </row>
    <row r="356" spans="1:5" x14ac:dyDescent="0.2">
      <c r="A356" t="s">
        <v>118</v>
      </c>
      <c r="B356" t="s">
        <v>120</v>
      </c>
      <c r="C356" t="str">
        <f t="shared" si="5"/>
        <v>Asia-Pacific (Investments)</v>
      </c>
      <c r="D356">
        <v>81857</v>
      </c>
      <c r="E356" t="s">
        <v>9</v>
      </c>
    </row>
    <row r="357" spans="1:5" x14ac:dyDescent="0.2">
      <c r="A357" t="s">
        <v>115</v>
      </c>
      <c r="B357" t="s">
        <v>113</v>
      </c>
      <c r="C357" t="str">
        <f t="shared" si="5"/>
        <v>US (Consulting)</v>
      </c>
      <c r="D357">
        <v>10151</v>
      </c>
      <c r="E357" t="s">
        <v>14</v>
      </c>
    </row>
    <row r="358" spans="1:5" x14ac:dyDescent="0.2">
      <c r="A358" t="s">
        <v>118</v>
      </c>
      <c r="B358" t="s">
        <v>119</v>
      </c>
      <c r="C358" t="str">
        <f t="shared" si="5"/>
        <v>Asia-Pacific (Facilities Management)</v>
      </c>
      <c r="D358">
        <v>79089</v>
      </c>
      <c r="E358" t="s">
        <v>5</v>
      </c>
    </row>
    <row r="359" spans="1:5" x14ac:dyDescent="0.2">
      <c r="A359" t="s">
        <v>114</v>
      </c>
      <c r="B359" t="s">
        <v>120</v>
      </c>
      <c r="C359" t="str">
        <f t="shared" si="5"/>
        <v>Africa (Investments)</v>
      </c>
      <c r="D359">
        <v>78221</v>
      </c>
      <c r="E359" t="s">
        <v>16</v>
      </c>
    </row>
    <row r="360" spans="1:5" x14ac:dyDescent="0.2">
      <c r="A360" t="s">
        <v>114</v>
      </c>
      <c r="B360" t="s">
        <v>120</v>
      </c>
      <c r="C360" t="str">
        <f t="shared" si="5"/>
        <v>Africa (Investments)</v>
      </c>
      <c r="D360">
        <v>25937</v>
      </c>
      <c r="E360" t="s">
        <v>9</v>
      </c>
    </row>
    <row r="361" spans="1:5" x14ac:dyDescent="0.2">
      <c r="A361" t="s">
        <v>116</v>
      </c>
      <c r="B361" t="s">
        <v>120</v>
      </c>
      <c r="C361" t="str">
        <f t="shared" si="5"/>
        <v>Europe (Investments)</v>
      </c>
      <c r="D361">
        <v>15777</v>
      </c>
      <c r="E361" t="s">
        <v>24</v>
      </c>
    </row>
    <row r="362" spans="1:5" x14ac:dyDescent="0.2">
      <c r="A362" t="s">
        <v>117</v>
      </c>
      <c r="B362" t="s">
        <v>120</v>
      </c>
      <c r="C362" t="str">
        <f t="shared" si="5"/>
        <v>Middle-East (Investments)</v>
      </c>
      <c r="D362">
        <v>28128</v>
      </c>
      <c r="E362" t="s">
        <v>39</v>
      </c>
    </row>
    <row r="363" spans="1:5" x14ac:dyDescent="0.2">
      <c r="A363" t="s">
        <v>115</v>
      </c>
      <c r="B363" t="s">
        <v>119</v>
      </c>
      <c r="C363" t="str">
        <f t="shared" si="5"/>
        <v>US (Facilities Management)</v>
      </c>
      <c r="D363">
        <v>51003</v>
      </c>
      <c r="E363" t="s">
        <v>12</v>
      </c>
    </row>
    <row r="364" spans="1:5" x14ac:dyDescent="0.2">
      <c r="A364" t="s">
        <v>118</v>
      </c>
      <c r="B364" t="s">
        <v>120</v>
      </c>
      <c r="C364" t="str">
        <f t="shared" si="5"/>
        <v>Asia-Pacific (Investments)</v>
      </c>
      <c r="D364">
        <v>50410</v>
      </c>
      <c r="E364" t="s">
        <v>5</v>
      </c>
    </row>
    <row r="365" spans="1:5" x14ac:dyDescent="0.2">
      <c r="A365" t="s">
        <v>115</v>
      </c>
      <c r="B365" t="s">
        <v>119</v>
      </c>
      <c r="C365" t="str">
        <f t="shared" si="5"/>
        <v>US (Facilities Management)</v>
      </c>
      <c r="D365">
        <v>64705</v>
      </c>
      <c r="E365" t="s">
        <v>13</v>
      </c>
    </row>
    <row r="366" spans="1:5" x14ac:dyDescent="0.2">
      <c r="A366" t="s">
        <v>116</v>
      </c>
      <c r="B366" t="s">
        <v>119</v>
      </c>
      <c r="C366" t="str">
        <f t="shared" si="5"/>
        <v>Europe (Facilities Management)</v>
      </c>
      <c r="D366">
        <v>74336</v>
      </c>
      <c r="E366" t="s">
        <v>35</v>
      </c>
    </row>
    <row r="367" spans="1:5" x14ac:dyDescent="0.2">
      <c r="A367" t="s">
        <v>114</v>
      </c>
      <c r="B367" t="s">
        <v>119</v>
      </c>
      <c r="C367" t="str">
        <f t="shared" si="5"/>
        <v>Africa (Facilities Management)</v>
      </c>
      <c r="D367">
        <v>47097</v>
      </c>
      <c r="E367" t="s">
        <v>14</v>
      </c>
    </row>
    <row r="368" spans="1:5" x14ac:dyDescent="0.2">
      <c r="A368" t="s">
        <v>117</v>
      </c>
      <c r="B368" t="s">
        <v>119</v>
      </c>
      <c r="C368" t="str">
        <f t="shared" si="5"/>
        <v>Middle-East (Facilities Management)</v>
      </c>
      <c r="D368">
        <v>21575</v>
      </c>
      <c r="E368" t="s">
        <v>23</v>
      </c>
    </row>
    <row r="369" spans="1:5" x14ac:dyDescent="0.2">
      <c r="A369" t="s">
        <v>115</v>
      </c>
      <c r="B369" t="s">
        <v>113</v>
      </c>
      <c r="C369" t="str">
        <f t="shared" si="5"/>
        <v>US (Consulting)</v>
      </c>
      <c r="D369">
        <v>10151</v>
      </c>
      <c r="E369" t="s">
        <v>31</v>
      </c>
    </row>
    <row r="370" spans="1:5" x14ac:dyDescent="0.2">
      <c r="A370" t="s">
        <v>116</v>
      </c>
      <c r="B370" t="s">
        <v>119</v>
      </c>
      <c r="C370" t="str">
        <f t="shared" si="5"/>
        <v>Europe (Facilities Management)</v>
      </c>
      <c r="D370">
        <v>36135</v>
      </c>
      <c r="E370" t="s">
        <v>43</v>
      </c>
    </row>
    <row r="371" spans="1:5" x14ac:dyDescent="0.2">
      <c r="A371" t="s">
        <v>114</v>
      </c>
      <c r="B371" t="s">
        <v>120</v>
      </c>
      <c r="C371" t="str">
        <f t="shared" si="5"/>
        <v>Africa (Investments)</v>
      </c>
      <c r="D371">
        <v>53789</v>
      </c>
      <c r="E371" t="s">
        <v>35</v>
      </c>
    </row>
    <row r="372" spans="1:5" x14ac:dyDescent="0.2">
      <c r="A372" t="s">
        <v>114</v>
      </c>
      <c r="B372" t="s">
        <v>120</v>
      </c>
      <c r="C372" t="str">
        <f t="shared" si="5"/>
        <v>Africa (Investments)</v>
      </c>
      <c r="D372">
        <v>72919</v>
      </c>
      <c r="E372" t="s">
        <v>24</v>
      </c>
    </row>
    <row r="373" spans="1:5" x14ac:dyDescent="0.2">
      <c r="A373" t="s">
        <v>117</v>
      </c>
      <c r="B373" t="s">
        <v>119</v>
      </c>
      <c r="C373" t="str">
        <f t="shared" si="5"/>
        <v>Middle-East (Facilities Management)</v>
      </c>
      <c r="D373">
        <v>66384</v>
      </c>
      <c r="E373" t="s">
        <v>37</v>
      </c>
    </row>
    <row r="374" spans="1:5" x14ac:dyDescent="0.2">
      <c r="A374" t="s">
        <v>114</v>
      </c>
      <c r="B374" t="s">
        <v>120</v>
      </c>
      <c r="C374" t="str">
        <f t="shared" si="5"/>
        <v>Africa (Investments)</v>
      </c>
      <c r="D374">
        <v>73889</v>
      </c>
      <c r="E374" t="s">
        <v>16</v>
      </c>
    </row>
    <row r="375" spans="1:5" x14ac:dyDescent="0.2">
      <c r="A375" t="s">
        <v>118</v>
      </c>
      <c r="B375" t="s">
        <v>113</v>
      </c>
      <c r="C375" t="str">
        <f t="shared" si="5"/>
        <v>Asia-Pacific (Consulting)</v>
      </c>
      <c r="D375">
        <v>24003</v>
      </c>
      <c r="E375" t="s">
        <v>35</v>
      </c>
    </row>
    <row r="376" spans="1:5" x14ac:dyDescent="0.2">
      <c r="A376" t="s">
        <v>115</v>
      </c>
      <c r="B376" t="s">
        <v>119</v>
      </c>
      <c r="C376" t="str">
        <f t="shared" si="5"/>
        <v>US (Facilities Management)</v>
      </c>
      <c r="D376">
        <v>89486</v>
      </c>
      <c r="E376" t="s">
        <v>11</v>
      </c>
    </row>
    <row r="377" spans="1:5" x14ac:dyDescent="0.2">
      <c r="A377" t="s">
        <v>114</v>
      </c>
      <c r="B377" t="s">
        <v>119</v>
      </c>
      <c r="C377" t="str">
        <f t="shared" si="5"/>
        <v>Africa (Facilities Management)</v>
      </c>
      <c r="D377">
        <v>21736</v>
      </c>
      <c r="E377" t="s">
        <v>29</v>
      </c>
    </row>
    <row r="378" spans="1:5" x14ac:dyDescent="0.2">
      <c r="A378" t="s">
        <v>114</v>
      </c>
      <c r="B378" t="s">
        <v>120</v>
      </c>
      <c r="C378" t="str">
        <f t="shared" si="5"/>
        <v>Africa (Investments)</v>
      </c>
      <c r="D378">
        <v>77825</v>
      </c>
      <c r="E378" t="s">
        <v>28</v>
      </c>
    </row>
    <row r="379" spans="1:5" x14ac:dyDescent="0.2">
      <c r="A379" t="s">
        <v>114</v>
      </c>
      <c r="B379" t="s">
        <v>120</v>
      </c>
      <c r="C379" t="str">
        <f t="shared" si="5"/>
        <v>Africa (Investments)</v>
      </c>
      <c r="D379">
        <v>53789</v>
      </c>
      <c r="E379" t="s">
        <v>9</v>
      </c>
    </row>
    <row r="380" spans="1:5" x14ac:dyDescent="0.2">
      <c r="A380" t="s">
        <v>116</v>
      </c>
      <c r="B380" t="s">
        <v>113</v>
      </c>
      <c r="C380" t="str">
        <f t="shared" si="5"/>
        <v>Europe (Consulting)</v>
      </c>
      <c r="D380">
        <v>77596</v>
      </c>
      <c r="E380" t="s">
        <v>4</v>
      </c>
    </row>
    <row r="381" spans="1:5" x14ac:dyDescent="0.2">
      <c r="A381" t="s">
        <v>118</v>
      </c>
      <c r="B381" t="s">
        <v>120</v>
      </c>
      <c r="C381" t="str">
        <f t="shared" si="5"/>
        <v>Asia-Pacific (Investments)</v>
      </c>
      <c r="D381">
        <v>24905</v>
      </c>
      <c r="E381" t="s">
        <v>39</v>
      </c>
    </row>
    <row r="382" spans="1:5" x14ac:dyDescent="0.2">
      <c r="A382" t="s">
        <v>116</v>
      </c>
      <c r="B382" t="s">
        <v>120</v>
      </c>
      <c r="C382" t="str">
        <f t="shared" si="5"/>
        <v>Europe (Investments)</v>
      </c>
      <c r="D382">
        <v>17019</v>
      </c>
      <c r="E382" t="s">
        <v>43</v>
      </c>
    </row>
    <row r="383" spans="1:5" x14ac:dyDescent="0.2">
      <c r="A383" t="s">
        <v>117</v>
      </c>
      <c r="B383" t="s">
        <v>119</v>
      </c>
      <c r="C383" t="str">
        <f t="shared" si="5"/>
        <v>Middle-East (Facilities Management)</v>
      </c>
      <c r="D383">
        <v>74838</v>
      </c>
      <c r="E383" t="s">
        <v>13</v>
      </c>
    </row>
    <row r="384" spans="1:5" x14ac:dyDescent="0.2">
      <c r="A384" t="s">
        <v>116</v>
      </c>
      <c r="B384" t="s">
        <v>119</v>
      </c>
      <c r="C384" t="str">
        <f t="shared" si="5"/>
        <v>Europe (Facilities Management)</v>
      </c>
      <c r="D384">
        <v>74336</v>
      </c>
      <c r="E384" t="s">
        <v>43</v>
      </c>
    </row>
    <row r="385" spans="1:5" x14ac:dyDescent="0.2">
      <c r="A385" t="s">
        <v>115</v>
      </c>
      <c r="B385" t="s">
        <v>120</v>
      </c>
      <c r="C385" t="str">
        <f t="shared" si="5"/>
        <v>US (Investments)</v>
      </c>
      <c r="D385">
        <v>11546</v>
      </c>
      <c r="E385" t="s">
        <v>9</v>
      </c>
    </row>
    <row r="386" spans="1:5" x14ac:dyDescent="0.2">
      <c r="A386" t="s">
        <v>114</v>
      </c>
      <c r="B386" t="s">
        <v>120</v>
      </c>
      <c r="C386" t="str">
        <f t="shared" si="5"/>
        <v>Africa (Investments)</v>
      </c>
      <c r="D386">
        <v>77825</v>
      </c>
      <c r="E386" t="s">
        <v>35</v>
      </c>
    </row>
    <row r="387" spans="1:5" x14ac:dyDescent="0.2">
      <c r="A387" t="s">
        <v>116</v>
      </c>
      <c r="B387" t="s">
        <v>113</v>
      </c>
      <c r="C387" t="str">
        <f t="shared" ref="C387:C450" si="6">CONCATENATE(A387, " (", B387, ")")</f>
        <v>Europe (Consulting)</v>
      </c>
      <c r="D387">
        <v>20218</v>
      </c>
      <c r="E387" t="s">
        <v>31</v>
      </c>
    </row>
    <row r="388" spans="1:5" x14ac:dyDescent="0.2">
      <c r="A388" t="s">
        <v>116</v>
      </c>
      <c r="B388" t="s">
        <v>113</v>
      </c>
      <c r="C388" t="str">
        <f t="shared" si="6"/>
        <v>Europe (Consulting)</v>
      </c>
      <c r="D388">
        <v>89472</v>
      </c>
      <c r="E388" t="s">
        <v>23</v>
      </c>
    </row>
    <row r="389" spans="1:5" x14ac:dyDescent="0.2">
      <c r="A389" t="s">
        <v>118</v>
      </c>
      <c r="B389" t="s">
        <v>113</v>
      </c>
      <c r="C389" t="str">
        <f t="shared" si="6"/>
        <v>Asia-Pacific (Consulting)</v>
      </c>
      <c r="D389">
        <v>86095</v>
      </c>
      <c r="E389" t="s">
        <v>31</v>
      </c>
    </row>
    <row r="390" spans="1:5" x14ac:dyDescent="0.2">
      <c r="A390" t="s">
        <v>116</v>
      </c>
      <c r="B390" t="s">
        <v>120</v>
      </c>
      <c r="C390" t="str">
        <f t="shared" si="6"/>
        <v>Europe (Investments)</v>
      </c>
      <c r="D390">
        <v>41143</v>
      </c>
      <c r="E390" t="s">
        <v>34</v>
      </c>
    </row>
    <row r="391" spans="1:5" x14ac:dyDescent="0.2">
      <c r="A391" t="s">
        <v>115</v>
      </c>
      <c r="B391" t="s">
        <v>120</v>
      </c>
      <c r="C391" t="str">
        <f t="shared" si="6"/>
        <v>US (Investments)</v>
      </c>
      <c r="D391">
        <v>43566</v>
      </c>
      <c r="E391" t="s">
        <v>41</v>
      </c>
    </row>
    <row r="392" spans="1:5" x14ac:dyDescent="0.2">
      <c r="A392" t="s">
        <v>116</v>
      </c>
      <c r="B392" t="s">
        <v>113</v>
      </c>
      <c r="C392" t="str">
        <f t="shared" si="6"/>
        <v>Europe (Consulting)</v>
      </c>
      <c r="D392">
        <v>56933</v>
      </c>
      <c r="E392" t="s">
        <v>110</v>
      </c>
    </row>
    <row r="393" spans="1:5" x14ac:dyDescent="0.2">
      <c r="A393" t="s">
        <v>115</v>
      </c>
      <c r="B393" t="s">
        <v>113</v>
      </c>
      <c r="C393" t="str">
        <f t="shared" si="6"/>
        <v>US (Consulting)</v>
      </c>
      <c r="D393">
        <v>76523</v>
      </c>
      <c r="E393" t="s">
        <v>23</v>
      </c>
    </row>
    <row r="394" spans="1:5" x14ac:dyDescent="0.2">
      <c r="A394" t="s">
        <v>114</v>
      </c>
      <c r="B394" t="s">
        <v>120</v>
      </c>
      <c r="C394" t="str">
        <f t="shared" si="6"/>
        <v>Africa (Investments)</v>
      </c>
      <c r="D394">
        <v>72919</v>
      </c>
      <c r="E394" t="s">
        <v>13</v>
      </c>
    </row>
    <row r="395" spans="1:5" x14ac:dyDescent="0.2">
      <c r="A395" t="s">
        <v>115</v>
      </c>
      <c r="B395" t="s">
        <v>120</v>
      </c>
      <c r="C395" t="str">
        <f t="shared" si="6"/>
        <v>US (Investments)</v>
      </c>
      <c r="D395">
        <v>47097</v>
      </c>
      <c r="E395" t="s">
        <v>17</v>
      </c>
    </row>
    <row r="396" spans="1:5" x14ac:dyDescent="0.2">
      <c r="A396" t="s">
        <v>114</v>
      </c>
      <c r="B396" t="s">
        <v>120</v>
      </c>
      <c r="C396" t="str">
        <f t="shared" si="6"/>
        <v>Africa (Investments)</v>
      </c>
      <c r="D396">
        <v>75884</v>
      </c>
      <c r="E396" t="s">
        <v>7</v>
      </c>
    </row>
    <row r="397" spans="1:5" x14ac:dyDescent="0.2">
      <c r="A397" t="s">
        <v>116</v>
      </c>
      <c r="B397" t="s">
        <v>120</v>
      </c>
      <c r="C397" t="str">
        <f t="shared" si="6"/>
        <v>Europe (Investments)</v>
      </c>
      <c r="D397">
        <v>57593</v>
      </c>
      <c r="E397" t="s">
        <v>22</v>
      </c>
    </row>
    <row r="398" spans="1:5" x14ac:dyDescent="0.2">
      <c r="A398" t="s">
        <v>116</v>
      </c>
      <c r="B398" t="s">
        <v>119</v>
      </c>
      <c r="C398" t="str">
        <f t="shared" si="6"/>
        <v>Europe (Facilities Management)</v>
      </c>
      <c r="D398">
        <v>44852</v>
      </c>
      <c r="E398" t="s">
        <v>31</v>
      </c>
    </row>
    <row r="399" spans="1:5" x14ac:dyDescent="0.2">
      <c r="A399" t="s">
        <v>117</v>
      </c>
      <c r="B399" t="s">
        <v>119</v>
      </c>
      <c r="C399" t="str">
        <f t="shared" si="6"/>
        <v>Middle-East (Facilities Management)</v>
      </c>
      <c r="D399">
        <v>15777</v>
      </c>
      <c r="E399" t="s">
        <v>41</v>
      </c>
    </row>
    <row r="400" spans="1:5" x14ac:dyDescent="0.2">
      <c r="A400" t="s">
        <v>116</v>
      </c>
      <c r="B400" t="s">
        <v>120</v>
      </c>
      <c r="C400" t="str">
        <f t="shared" si="6"/>
        <v>Europe (Investments)</v>
      </c>
      <c r="D400">
        <v>45792</v>
      </c>
      <c r="E400" t="s">
        <v>27</v>
      </c>
    </row>
    <row r="401" spans="1:5" x14ac:dyDescent="0.2">
      <c r="A401" t="s">
        <v>116</v>
      </c>
      <c r="B401" t="s">
        <v>119</v>
      </c>
      <c r="C401" t="str">
        <f t="shared" si="6"/>
        <v>Europe (Facilities Management)</v>
      </c>
      <c r="D401">
        <v>44852</v>
      </c>
      <c r="E401" t="s">
        <v>47</v>
      </c>
    </row>
    <row r="402" spans="1:5" x14ac:dyDescent="0.2">
      <c r="A402" t="s">
        <v>116</v>
      </c>
      <c r="B402" t="s">
        <v>113</v>
      </c>
      <c r="C402" t="str">
        <f t="shared" si="6"/>
        <v>Europe (Consulting)</v>
      </c>
      <c r="D402">
        <v>80154</v>
      </c>
      <c r="E402" t="s">
        <v>25</v>
      </c>
    </row>
    <row r="403" spans="1:5" x14ac:dyDescent="0.2">
      <c r="A403" t="s">
        <v>115</v>
      </c>
      <c r="B403" t="s">
        <v>119</v>
      </c>
      <c r="C403" t="str">
        <f t="shared" si="6"/>
        <v>US (Facilities Management)</v>
      </c>
      <c r="D403">
        <v>50695</v>
      </c>
      <c r="E403" t="s">
        <v>14</v>
      </c>
    </row>
    <row r="404" spans="1:5" x14ac:dyDescent="0.2">
      <c r="A404" t="s">
        <v>115</v>
      </c>
      <c r="B404" t="s">
        <v>113</v>
      </c>
      <c r="C404" t="str">
        <f t="shared" si="6"/>
        <v>US (Consulting)</v>
      </c>
      <c r="D404">
        <v>39706</v>
      </c>
      <c r="E404" t="s">
        <v>29</v>
      </c>
    </row>
    <row r="405" spans="1:5" x14ac:dyDescent="0.2">
      <c r="A405" t="s">
        <v>114</v>
      </c>
      <c r="B405" t="s">
        <v>113</v>
      </c>
      <c r="C405" t="str">
        <f t="shared" si="6"/>
        <v>Africa (Consulting)</v>
      </c>
      <c r="D405">
        <v>53027</v>
      </c>
      <c r="E405" t="s">
        <v>18</v>
      </c>
    </row>
    <row r="406" spans="1:5" x14ac:dyDescent="0.2">
      <c r="A406" t="s">
        <v>116</v>
      </c>
      <c r="B406" t="s">
        <v>120</v>
      </c>
      <c r="C406" t="str">
        <f t="shared" si="6"/>
        <v>Europe (Investments)</v>
      </c>
      <c r="D406">
        <v>36135</v>
      </c>
      <c r="E406" t="s">
        <v>37</v>
      </c>
    </row>
    <row r="407" spans="1:5" x14ac:dyDescent="0.2">
      <c r="A407" t="s">
        <v>115</v>
      </c>
      <c r="B407" t="s">
        <v>120</v>
      </c>
      <c r="C407" t="str">
        <f t="shared" si="6"/>
        <v>US (Investments)</v>
      </c>
      <c r="D407">
        <v>63405</v>
      </c>
      <c r="E407" t="s">
        <v>10</v>
      </c>
    </row>
    <row r="408" spans="1:5" x14ac:dyDescent="0.2">
      <c r="A408" t="s">
        <v>114</v>
      </c>
      <c r="B408" t="s">
        <v>120</v>
      </c>
      <c r="C408" t="str">
        <f t="shared" si="6"/>
        <v>Africa (Investments)</v>
      </c>
      <c r="D408">
        <v>75884</v>
      </c>
      <c r="E408" t="s">
        <v>15</v>
      </c>
    </row>
    <row r="409" spans="1:5" x14ac:dyDescent="0.2">
      <c r="A409" t="s">
        <v>114</v>
      </c>
      <c r="B409" t="s">
        <v>119</v>
      </c>
      <c r="C409" t="str">
        <f t="shared" si="6"/>
        <v>Africa (Facilities Management)</v>
      </c>
      <c r="D409">
        <v>47097</v>
      </c>
      <c r="E409" t="s">
        <v>12</v>
      </c>
    </row>
    <row r="410" spans="1:5" x14ac:dyDescent="0.2">
      <c r="A410" t="s">
        <v>118</v>
      </c>
      <c r="B410" t="s">
        <v>120</v>
      </c>
      <c r="C410" t="str">
        <f t="shared" si="6"/>
        <v>Asia-Pacific (Investments)</v>
      </c>
      <c r="D410">
        <v>15595</v>
      </c>
      <c r="E410" t="s">
        <v>40</v>
      </c>
    </row>
    <row r="411" spans="1:5" x14ac:dyDescent="0.2">
      <c r="A411" t="s">
        <v>118</v>
      </c>
      <c r="B411" t="s">
        <v>120</v>
      </c>
      <c r="C411" t="str">
        <f t="shared" si="6"/>
        <v>Asia-Pacific (Investments)</v>
      </c>
      <c r="D411">
        <v>24905</v>
      </c>
      <c r="E411" t="s">
        <v>43</v>
      </c>
    </row>
    <row r="412" spans="1:5" x14ac:dyDescent="0.2">
      <c r="A412" t="s">
        <v>116</v>
      </c>
      <c r="B412" t="s">
        <v>113</v>
      </c>
      <c r="C412" t="str">
        <f t="shared" si="6"/>
        <v>Europe (Consulting)</v>
      </c>
      <c r="D412">
        <v>33170</v>
      </c>
      <c r="E412" t="s">
        <v>8</v>
      </c>
    </row>
    <row r="413" spans="1:5" x14ac:dyDescent="0.2">
      <c r="A413" t="s">
        <v>118</v>
      </c>
      <c r="B413" t="s">
        <v>120</v>
      </c>
      <c r="C413" t="str">
        <f t="shared" si="6"/>
        <v>Asia-Pacific (Investments)</v>
      </c>
      <c r="D413">
        <v>80154</v>
      </c>
      <c r="E413" t="s">
        <v>38</v>
      </c>
    </row>
    <row r="414" spans="1:5" x14ac:dyDescent="0.2">
      <c r="A414" t="s">
        <v>117</v>
      </c>
      <c r="B414" t="s">
        <v>119</v>
      </c>
      <c r="C414" t="str">
        <f t="shared" si="6"/>
        <v>Middle-East (Facilities Management)</v>
      </c>
      <c r="D414">
        <v>64705</v>
      </c>
      <c r="E414" t="s">
        <v>43</v>
      </c>
    </row>
    <row r="415" spans="1:5" x14ac:dyDescent="0.2">
      <c r="A415" t="s">
        <v>114</v>
      </c>
      <c r="B415" t="s">
        <v>119</v>
      </c>
      <c r="C415" t="str">
        <f t="shared" si="6"/>
        <v>Africa (Facilities Management)</v>
      </c>
      <c r="D415">
        <v>75257</v>
      </c>
      <c r="E415" t="s">
        <v>39</v>
      </c>
    </row>
    <row r="416" spans="1:5" x14ac:dyDescent="0.2">
      <c r="A416" t="s">
        <v>115</v>
      </c>
      <c r="B416" t="s">
        <v>120</v>
      </c>
      <c r="C416" t="str">
        <f t="shared" si="6"/>
        <v>US (Investments)</v>
      </c>
      <c r="D416">
        <v>75257</v>
      </c>
      <c r="E416" t="s">
        <v>18</v>
      </c>
    </row>
    <row r="417" spans="1:5" x14ac:dyDescent="0.2">
      <c r="A417" t="s">
        <v>115</v>
      </c>
      <c r="B417" t="s">
        <v>120</v>
      </c>
      <c r="C417" t="str">
        <f t="shared" si="6"/>
        <v>US (Investments)</v>
      </c>
      <c r="D417">
        <v>45792</v>
      </c>
      <c r="E417" t="s">
        <v>26</v>
      </c>
    </row>
    <row r="418" spans="1:5" x14ac:dyDescent="0.2">
      <c r="A418" t="s">
        <v>115</v>
      </c>
      <c r="B418" t="s">
        <v>113</v>
      </c>
      <c r="C418" t="str">
        <f t="shared" si="6"/>
        <v>US (Consulting)</v>
      </c>
      <c r="D418">
        <v>47729</v>
      </c>
      <c r="E418" t="s">
        <v>31</v>
      </c>
    </row>
    <row r="419" spans="1:5" x14ac:dyDescent="0.2">
      <c r="A419" t="s">
        <v>115</v>
      </c>
      <c r="B419" t="s">
        <v>113</v>
      </c>
      <c r="C419" t="str">
        <f t="shared" si="6"/>
        <v>US (Consulting)</v>
      </c>
      <c r="D419">
        <v>27896</v>
      </c>
      <c r="E419" t="s">
        <v>16</v>
      </c>
    </row>
    <row r="420" spans="1:5" x14ac:dyDescent="0.2">
      <c r="A420" t="s">
        <v>116</v>
      </c>
      <c r="B420" t="s">
        <v>113</v>
      </c>
      <c r="C420" t="str">
        <f t="shared" si="6"/>
        <v>Europe (Consulting)</v>
      </c>
      <c r="D420">
        <v>86385</v>
      </c>
      <c r="E420" t="s">
        <v>24</v>
      </c>
    </row>
    <row r="421" spans="1:5" x14ac:dyDescent="0.2">
      <c r="A421" t="s">
        <v>115</v>
      </c>
      <c r="B421" t="s">
        <v>119</v>
      </c>
      <c r="C421" t="str">
        <f t="shared" si="6"/>
        <v>US (Facilities Management)</v>
      </c>
      <c r="D421">
        <v>30776</v>
      </c>
      <c r="E421" t="s">
        <v>44</v>
      </c>
    </row>
    <row r="422" spans="1:5" x14ac:dyDescent="0.2">
      <c r="A422" t="s">
        <v>118</v>
      </c>
      <c r="B422" t="s">
        <v>119</v>
      </c>
      <c r="C422" t="str">
        <f t="shared" si="6"/>
        <v>Asia-Pacific (Facilities Management)</v>
      </c>
      <c r="D422">
        <v>53789</v>
      </c>
      <c r="E422" t="s">
        <v>33</v>
      </c>
    </row>
    <row r="423" spans="1:5" x14ac:dyDescent="0.2">
      <c r="A423" t="s">
        <v>118</v>
      </c>
      <c r="B423" t="s">
        <v>113</v>
      </c>
      <c r="C423" t="str">
        <f t="shared" si="6"/>
        <v>Asia-Pacific (Consulting)</v>
      </c>
      <c r="D423">
        <v>75327</v>
      </c>
      <c r="E423" t="s">
        <v>24</v>
      </c>
    </row>
    <row r="424" spans="1:5" x14ac:dyDescent="0.2">
      <c r="A424" t="s">
        <v>118</v>
      </c>
      <c r="B424" t="s">
        <v>113</v>
      </c>
      <c r="C424" t="str">
        <f t="shared" si="6"/>
        <v>Asia-Pacific (Consulting)</v>
      </c>
      <c r="D424">
        <v>25382</v>
      </c>
      <c r="E424" t="s">
        <v>22</v>
      </c>
    </row>
    <row r="425" spans="1:5" x14ac:dyDescent="0.2">
      <c r="A425" t="s">
        <v>118</v>
      </c>
      <c r="B425" t="s">
        <v>113</v>
      </c>
      <c r="C425" t="str">
        <f t="shared" si="6"/>
        <v>Asia-Pacific (Consulting)</v>
      </c>
      <c r="D425">
        <v>46187</v>
      </c>
      <c r="E425" t="s">
        <v>35</v>
      </c>
    </row>
    <row r="426" spans="1:5" x14ac:dyDescent="0.2">
      <c r="A426" t="s">
        <v>118</v>
      </c>
      <c r="B426" t="s">
        <v>120</v>
      </c>
      <c r="C426" t="str">
        <f t="shared" si="6"/>
        <v>Asia-Pacific (Investments)</v>
      </c>
      <c r="D426">
        <v>88813</v>
      </c>
      <c r="E426" t="s">
        <v>16</v>
      </c>
    </row>
    <row r="427" spans="1:5" x14ac:dyDescent="0.2">
      <c r="A427" t="s">
        <v>116</v>
      </c>
      <c r="B427" t="s">
        <v>113</v>
      </c>
      <c r="C427" t="str">
        <f t="shared" si="6"/>
        <v>Europe (Consulting)</v>
      </c>
      <c r="D427">
        <v>33170</v>
      </c>
      <c r="E427" t="s">
        <v>31</v>
      </c>
    </row>
    <row r="428" spans="1:5" x14ac:dyDescent="0.2">
      <c r="A428" t="s">
        <v>117</v>
      </c>
      <c r="B428" t="s">
        <v>120</v>
      </c>
      <c r="C428" t="str">
        <f t="shared" si="6"/>
        <v>Middle-East (Investments)</v>
      </c>
      <c r="D428">
        <v>61232</v>
      </c>
      <c r="E428" t="s">
        <v>12</v>
      </c>
    </row>
    <row r="429" spans="1:5" x14ac:dyDescent="0.2">
      <c r="A429" t="s">
        <v>115</v>
      </c>
      <c r="B429" t="s">
        <v>119</v>
      </c>
      <c r="C429" t="str">
        <f t="shared" si="6"/>
        <v>US (Facilities Management)</v>
      </c>
      <c r="D429">
        <v>86095</v>
      </c>
      <c r="E429" t="s">
        <v>8</v>
      </c>
    </row>
    <row r="430" spans="1:5" x14ac:dyDescent="0.2">
      <c r="A430" t="s">
        <v>116</v>
      </c>
      <c r="B430" t="s">
        <v>119</v>
      </c>
      <c r="C430" t="str">
        <f t="shared" si="6"/>
        <v>Europe (Facilities Management)</v>
      </c>
      <c r="D430">
        <v>35143</v>
      </c>
      <c r="E430" t="s">
        <v>30</v>
      </c>
    </row>
    <row r="431" spans="1:5" x14ac:dyDescent="0.2">
      <c r="A431" t="s">
        <v>117</v>
      </c>
      <c r="B431" t="s">
        <v>120</v>
      </c>
      <c r="C431" t="str">
        <f t="shared" si="6"/>
        <v>Middle-East (Investments)</v>
      </c>
      <c r="D431">
        <v>28291</v>
      </c>
      <c r="E431" t="s">
        <v>30</v>
      </c>
    </row>
    <row r="432" spans="1:5" x14ac:dyDescent="0.2">
      <c r="A432" t="s">
        <v>114</v>
      </c>
      <c r="B432" t="s">
        <v>113</v>
      </c>
      <c r="C432" t="str">
        <f t="shared" si="6"/>
        <v>Africa (Consulting)</v>
      </c>
      <c r="D432">
        <v>34613</v>
      </c>
      <c r="E432" t="s">
        <v>110</v>
      </c>
    </row>
    <row r="433" spans="1:5" x14ac:dyDescent="0.2">
      <c r="A433" t="s">
        <v>114</v>
      </c>
      <c r="B433" t="s">
        <v>120</v>
      </c>
      <c r="C433" t="str">
        <f t="shared" si="6"/>
        <v>Africa (Investments)</v>
      </c>
      <c r="D433">
        <v>73889</v>
      </c>
      <c r="E433" t="s">
        <v>26</v>
      </c>
    </row>
    <row r="434" spans="1:5" x14ac:dyDescent="0.2">
      <c r="A434" t="s">
        <v>117</v>
      </c>
      <c r="B434" t="s">
        <v>119</v>
      </c>
      <c r="C434" t="str">
        <f t="shared" si="6"/>
        <v>Middle-East (Facilities Management)</v>
      </c>
      <c r="D434">
        <v>68945</v>
      </c>
      <c r="E434" t="s">
        <v>22</v>
      </c>
    </row>
    <row r="435" spans="1:5" x14ac:dyDescent="0.2">
      <c r="A435" t="s">
        <v>114</v>
      </c>
      <c r="B435" t="s">
        <v>120</v>
      </c>
      <c r="C435" t="str">
        <f t="shared" si="6"/>
        <v>Africa (Investments)</v>
      </c>
      <c r="D435">
        <v>23326</v>
      </c>
      <c r="E435" t="s">
        <v>110</v>
      </c>
    </row>
    <row r="436" spans="1:5" x14ac:dyDescent="0.2">
      <c r="A436" t="s">
        <v>118</v>
      </c>
      <c r="B436" t="s">
        <v>120</v>
      </c>
      <c r="C436" t="str">
        <f t="shared" si="6"/>
        <v>Asia-Pacific (Investments)</v>
      </c>
      <c r="D436">
        <v>88813</v>
      </c>
      <c r="E436" t="s">
        <v>6</v>
      </c>
    </row>
    <row r="437" spans="1:5" x14ac:dyDescent="0.2">
      <c r="A437" t="s">
        <v>114</v>
      </c>
      <c r="B437" t="s">
        <v>113</v>
      </c>
      <c r="C437" t="str">
        <f t="shared" si="6"/>
        <v>Africa (Consulting)</v>
      </c>
      <c r="D437">
        <v>21736</v>
      </c>
      <c r="E437" t="s">
        <v>26</v>
      </c>
    </row>
    <row r="438" spans="1:5" x14ac:dyDescent="0.2">
      <c r="A438" t="s">
        <v>116</v>
      </c>
      <c r="B438" t="s">
        <v>120</v>
      </c>
      <c r="C438" t="str">
        <f t="shared" si="6"/>
        <v>Europe (Investments)</v>
      </c>
      <c r="D438">
        <v>17019</v>
      </c>
      <c r="E438" t="s">
        <v>10</v>
      </c>
    </row>
    <row r="439" spans="1:5" x14ac:dyDescent="0.2">
      <c r="A439" t="s">
        <v>118</v>
      </c>
      <c r="B439" t="s">
        <v>120</v>
      </c>
      <c r="C439" t="str">
        <f t="shared" si="6"/>
        <v>Asia-Pacific (Investments)</v>
      </c>
      <c r="D439">
        <v>25937</v>
      </c>
      <c r="E439" t="s">
        <v>40</v>
      </c>
    </row>
    <row r="440" spans="1:5" x14ac:dyDescent="0.2">
      <c r="A440" t="s">
        <v>116</v>
      </c>
      <c r="B440" t="s">
        <v>119</v>
      </c>
      <c r="C440" t="str">
        <f t="shared" si="6"/>
        <v>Europe (Facilities Management)</v>
      </c>
      <c r="D440">
        <v>45792</v>
      </c>
      <c r="E440" t="s">
        <v>22</v>
      </c>
    </row>
    <row r="441" spans="1:5" x14ac:dyDescent="0.2">
      <c r="A441" t="s">
        <v>116</v>
      </c>
      <c r="B441" t="s">
        <v>120</v>
      </c>
      <c r="C441" t="str">
        <f t="shared" si="6"/>
        <v>Europe (Investments)</v>
      </c>
      <c r="D441">
        <v>53681</v>
      </c>
      <c r="E441" t="s">
        <v>47</v>
      </c>
    </row>
    <row r="442" spans="1:5" x14ac:dyDescent="0.2">
      <c r="A442" t="s">
        <v>118</v>
      </c>
      <c r="B442" t="s">
        <v>119</v>
      </c>
      <c r="C442" t="str">
        <f t="shared" si="6"/>
        <v>Asia-Pacific (Facilities Management)</v>
      </c>
      <c r="D442">
        <v>67561</v>
      </c>
      <c r="E442" t="s">
        <v>25</v>
      </c>
    </row>
    <row r="443" spans="1:5" x14ac:dyDescent="0.2">
      <c r="A443" t="s">
        <v>118</v>
      </c>
      <c r="B443" t="s">
        <v>120</v>
      </c>
      <c r="C443" t="str">
        <f t="shared" si="6"/>
        <v>Asia-Pacific (Investments)</v>
      </c>
      <c r="D443">
        <v>25937</v>
      </c>
      <c r="E443" t="s">
        <v>32</v>
      </c>
    </row>
    <row r="444" spans="1:5" x14ac:dyDescent="0.2">
      <c r="A444" t="s">
        <v>118</v>
      </c>
      <c r="B444" t="s">
        <v>119</v>
      </c>
      <c r="C444" t="str">
        <f t="shared" si="6"/>
        <v>Asia-Pacific (Facilities Management)</v>
      </c>
      <c r="D444">
        <v>78398</v>
      </c>
      <c r="E444" t="s">
        <v>20</v>
      </c>
    </row>
    <row r="445" spans="1:5" x14ac:dyDescent="0.2">
      <c r="A445" t="s">
        <v>114</v>
      </c>
      <c r="B445" t="s">
        <v>119</v>
      </c>
      <c r="C445" t="str">
        <f t="shared" si="6"/>
        <v>Africa (Facilities Management)</v>
      </c>
      <c r="D445">
        <v>46187</v>
      </c>
      <c r="E445" t="s">
        <v>13</v>
      </c>
    </row>
    <row r="446" spans="1:5" x14ac:dyDescent="0.2">
      <c r="A446" t="s">
        <v>117</v>
      </c>
      <c r="B446" t="s">
        <v>120</v>
      </c>
      <c r="C446" t="str">
        <f t="shared" si="6"/>
        <v>Middle-East (Investments)</v>
      </c>
      <c r="D446">
        <v>17019</v>
      </c>
      <c r="E446" t="s">
        <v>30</v>
      </c>
    </row>
    <row r="447" spans="1:5" x14ac:dyDescent="0.2">
      <c r="A447" t="s">
        <v>118</v>
      </c>
      <c r="B447" t="s">
        <v>120</v>
      </c>
      <c r="C447" t="str">
        <f t="shared" si="6"/>
        <v>Asia-Pacific (Investments)</v>
      </c>
      <c r="D447">
        <v>26271</v>
      </c>
      <c r="E447" t="s">
        <v>24</v>
      </c>
    </row>
    <row r="448" spans="1:5" x14ac:dyDescent="0.2">
      <c r="A448" t="s">
        <v>116</v>
      </c>
      <c r="B448" t="s">
        <v>119</v>
      </c>
      <c r="C448" t="str">
        <f t="shared" si="6"/>
        <v>Europe (Facilities Management)</v>
      </c>
      <c r="D448">
        <v>36135</v>
      </c>
      <c r="E448" t="s">
        <v>14</v>
      </c>
    </row>
    <row r="449" spans="1:5" x14ac:dyDescent="0.2">
      <c r="A449" t="s">
        <v>115</v>
      </c>
      <c r="B449" t="s">
        <v>120</v>
      </c>
      <c r="C449" t="str">
        <f t="shared" si="6"/>
        <v>US (Investments)</v>
      </c>
      <c r="D449">
        <v>24014</v>
      </c>
      <c r="E449" t="s">
        <v>24</v>
      </c>
    </row>
    <row r="450" spans="1:5" x14ac:dyDescent="0.2">
      <c r="A450" t="s">
        <v>118</v>
      </c>
      <c r="B450" t="s">
        <v>120</v>
      </c>
      <c r="C450" t="str">
        <f t="shared" si="6"/>
        <v>Asia-Pacific (Investments)</v>
      </c>
      <c r="D450">
        <v>78601</v>
      </c>
      <c r="E450" t="s">
        <v>21</v>
      </c>
    </row>
    <row r="451" spans="1:5" x14ac:dyDescent="0.2">
      <c r="A451" t="s">
        <v>114</v>
      </c>
      <c r="B451" t="s">
        <v>119</v>
      </c>
      <c r="C451" t="str">
        <f t="shared" ref="C451:C514" si="7">CONCATENATE(A451, " (", B451, ")")</f>
        <v>Africa (Facilities Management)</v>
      </c>
      <c r="D451">
        <v>65050</v>
      </c>
      <c r="E451" t="s">
        <v>4</v>
      </c>
    </row>
    <row r="452" spans="1:5" x14ac:dyDescent="0.2">
      <c r="A452" t="s">
        <v>114</v>
      </c>
      <c r="B452" t="s">
        <v>120</v>
      </c>
      <c r="C452" t="str">
        <f t="shared" si="7"/>
        <v>Africa (Investments)</v>
      </c>
      <c r="D452">
        <v>24905</v>
      </c>
      <c r="E452" t="s">
        <v>41</v>
      </c>
    </row>
    <row r="453" spans="1:5" x14ac:dyDescent="0.2">
      <c r="A453" t="s">
        <v>118</v>
      </c>
      <c r="B453" t="s">
        <v>120</v>
      </c>
      <c r="C453" t="str">
        <f t="shared" si="7"/>
        <v>Asia-Pacific (Investments)</v>
      </c>
      <c r="D453">
        <v>14686</v>
      </c>
      <c r="E453" t="s">
        <v>27</v>
      </c>
    </row>
    <row r="454" spans="1:5" x14ac:dyDescent="0.2">
      <c r="A454" t="s">
        <v>115</v>
      </c>
      <c r="B454" t="s">
        <v>113</v>
      </c>
      <c r="C454" t="str">
        <f t="shared" si="7"/>
        <v>US (Consulting)</v>
      </c>
      <c r="D454">
        <v>37559</v>
      </c>
      <c r="E454" t="s">
        <v>27</v>
      </c>
    </row>
    <row r="455" spans="1:5" x14ac:dyDescent="0.2">
      <c r="A455" t="s">
        <v>117</v>
      </c>
      <c r="B455" t="s">
        <v>113</v>
      </c>
      <c r="C455" t="str">
        <f t="shared" si="7"/>
        <v>Middle-East (Consulting)</v>
      </c>
      <c r="D455">
        <v>36055</v>
      </c>
      <c r="E455" t="s">
        <v>3</v>
      </c>
    </row>
    <row r="456" spans="1:5" x14ac:dyDescent="0.2">
      <c r="A456" t="s">
        <v>117</v>
      </c>
      <c r="B456" t="s">
        <v>120</v>
      </c>
      <c r="C456" t="str">
        <f t="shared" si="7"/>
        <v>Middle-East (Investments)</v>
      </c>
      <c r="D456">
        <v>61232</v>
      </c>
      <c r="E456" t="s">
        <v>35</v>
      </c>
    </row>
    <row r="457" spans="1:5" x14ac:dyDescent="0.2">
      <c r="A457" t="s">
        <v>114</v>
      </c>
      <c r="B457" t="s">
        <v>120</v>
      </c>
      <c r="C457" t="str">
        <f t="shared" si="7"/>
        <v>Africa (Investments)</v>
      </c>
      <c r="D457">
        <v>51457</v>
      </c>
      <c r="E457" t="s">
        <v>29</v>
      </c>
    </row>
    <row r="458" spans="1:5" x14ac:dyDescent="0.2">
      <c r="A458" t="s">
        <v>115</v>
      </c>
      <c r="B458" t="s">
        <v>113</v>
      </c>
      <c r="C458" t="str">
        <f t="shared" si="7"/>
        <v>US (Consulting)</v>
      </c>
      <c r="D458">
        <v>56869</v>
      </c>
      <c r="E458" t="s">
        <v>38</v>
      </c>
    </row>
    <row r="459" spans="1:5" x14ac:dyDescent="0.2">
      <c r="A459" t="s">
        <v>114</v>
      </c>
      <c r="B459" t="s">
        <v>120</v>
      </c>
      <c r="C459" t="str">
        <f t="shared" si="7"/>
        <v>Africa (Investments)</v>
      </c>
      <c r="D459">
        <v>75884</v>
      </c>
      <c r="E459" t="s">
        <v>36</v>
      </c>
    </row>
    <row r="460" spans="1:5" x14ac:dyDescent="0.2">
      <c r="A460" t="s">
        <v>118</v>
      </c>
      <c r="B460" t="s">
        <v>119</v>
      </c>
      <c r="C460" t="str">
        <f t="shared" si="7"/>
        <v>Asia-Pacific (Facilities Management)</v>
      </c>
      <c r="D460">
        <v>79863</v>
      </c>
      <c r="E460" t="s">
        <v>42</v>
      </c>
    </row>
    <row r="461" spans="1:5" x14ac:dyDescent="0.2">
      <c r="A461" t="s">
        <v>118</v>
      </c>
      <c r="B461" t="s">
        <v>119</v>
      </c>
      <c r="C461" t="str">
        <f t="shared" si="7"/>
        <v>Asia-Pacific (Facilities Management)</v>
      </c>
      <c r="D461">
        <v>34613</v>
      </c>
      <c r="E461" t="s">
        <v>31</v>
      </c>
    </row>
    <row r="462" spans="1:5" x14ac:dyDescent="0.2">
      <c r="A462" t="s">
        <v>114</v>
      </c>
      <c r="B462" t="s">
        <v>120</v>
      </c>
      <c r="C462" t="str">
        <f t="shared" si="7"/>
        <v>Africa (Investments)</v>
      </c>
      <c r="D462">
        <v>75250</v>
      </c>
      <c r="E462" t="s">
        <v>110</v>
      </c>
    </row>
    <row r="463" spans="1:5" x14ac:dyDescent="0.2">
      <c r="A463" t="s">
        <v>117</v>
      </c>
      <c r="B463" t="s">
        <v>119</v>
      </c>
      <c r="C463" t="str">
        <f t="shared" si="7"/>
        <v>Middle-East (Facilities Management)</v>
      </c>
      <c r="D463">
        <v>82313</v>
      </c>
      <c r="E463" t="s">
        <v>39</v>
      </c>
    </row>
    <row r="464" spans="1:5" x14ac:dyDescent="0.2">
      <c r="A464" t="s">
        <v>118</v>
      </c>
      <c r="B464" t="s">
        <v>113</v>
      </c>
      <c r="C464" t="str">
        <f t="shared" si="7"/>
        <v>Asia-Pacific (Consulting)</v>
      </c>
      <c r="D464">
        <v>26287</v>
      </c>
      <c r="E464" t="s">
        <v>43</v>
      </c>
    </row>
    <row r="465" spans="1:5" x14ac:dyDescent="0.2">
      <c r="A465" t="s">
        <v>117</v>
      </c>
      <c r="B465" t="s">
        <v>119</v>
      </c>
      <c r="C465" t="str">
        <f t="shared" si="7"/>
        <v>Middle-East (Facilities Management)</v>
      </c>
      <c r="D465">
        <v>76523</v>
      </c>
      <c r="E465" t="s">
        <v>14</v>
      </c>
    </row>
    <row r="466" spans="1:5" x14ac:dyDescent="0.2">
      <c r="A466" t="s">
        <v>115</v>
      </c>
      <c r="B466" t="s">
        <v>120</v>
      </c>
      <c r="C466" t="str">
        <f t="shared" si="7"/>
        <v>US (Investments)</v>
      </c>
      <c r="D466">
        <v>43566</v>
      </c>
      <c r="E466" t="s">
        <v>26</v>
      </c>
    </row>
    <row r="467" spans="1:5" x14ac:dyDescent="0.2">
      <c r="A467" t="s">
        <v>116</v>
      </c>
      <c r="B467" t="s">
        <v>119</v>
      </c>
      <c r="C467" t="str">
        <f t="shared" si="7"/>
        <v>Europe (Facilities Management)</v>
      </c>
      <c r="D467">
        <v>78398</v>
      </c>
      <c r="E467" t="s">
        <v>20</v>
      </c>
    </row>
    <row r="468" spans="1:5" x14ac:dyDescent="0.2">
      <c r="A468" t="s">
        <v>114</v>
      </c>
      <c r="B468" t="s">
        <v>120</v>
      </c>
      <c r="C468" t="str">
        <f t="shared" si="7"/>
        <v>Africa (Investments)</v>
      </c>
      <c r="D468">
        <v>23326</v>
      </c>
      <c r="E468" t="s">
        <v>21</v>
      </c>
    </row>
    <row r="469" spans="1:5" x14ac:dyDescent="0.2">
      <c r="A469" t="s">
        <v>117</v>
      </c>
      <c r="B469" t="s">
        <v>119</v>
      </c>
      <c r="C469" t="str">
        <f t="shared" si="7"/>
        <v>Middle-East (Facilities Management)</v>
      </c>
      <c r="D469">
        <v>21575</v>
      </c>
      <c r="E469" t="s">
        <v>13</v>
      </c>
    </row>
    <row r="470" spans="1:5" x14ac:dyDescent="0.2">
      <c r="A470" t="s">
        <v>114</v>
      </c>
      <c r="B470" t="s">
        <v>113</v>
      </c>
      <c r="C470" t="str">
        <f t="shared" si="7"/>
        <v>Africa (Consulting)</v>
      </c>
      <c r="D470">
        <v>53681</v>
      </c>
      <c r="E470" t="s">
        <v>19</v>
      </c>
    </row>
    <row r="471" spans="1:5" x14ac:dyDescent="0.2">
      <c r="A471" t="s">
        <v>118</v>
      </c>
      <c r="B471" t="s">
        <v>120</v>
      </c>
      <c r="C471" t="str">
        <f t="shared" si="7"/>
        <v>Asia-Pacific (Investments)</v>
      </c>
      <c r="D471">
        <v>58876</v>
      </c>
      <c r="E471" t="s">
        <v>39</v>
      </c>
    </row>
    <row r="472" spans="1:5" x14ac:dyDescent="0.2">
      <c r="A472" t="s">
        <v>118</v>
      </c>
      <c r="B472" t="s">
        <v>113</v>
      </c>
      <c r="C472" t="str">
        <f t="shared" si="7"/>
        <v>Asia-Pacific (Consulting)</v>
      </c>
      <c r="D472">
        <v>50695</v>
      </c>
      <c r="E472" t="s">
        <v>31</v>
      </c>
    </row>
    <row r="473" spans="1:5" x14ac:dyDescent="0.2">
      <c r="A473" t="s">
        <v>118</v>
      </c>
      <c r="B473" t="s">
        <v>113</v>
      </c>
      <c r="C473" t="str">
        <f t="shared" si="7"/>
        <v>Asia-Pacific (Consulting)</v>
      </c>
      <c r="D473">
        <v>86095</v>
      </c>
      <c r="E473" t="s">
        <v>7</v>
      </c>
    </row>
    <row r="474" spans="1:5" x14ac:dyDescent="0.2">
      <c r="A474" t="s">
        <v>115</v>
      </c>
      <c r="B474" t="s">
        <v>120</v>
      </c>
      <c r="C474" t="str">
        <f t="shared" si="7"/>
        <v>US (Investments)</v>
      </c>
      <c r="D474">
        <v>11546</v>
      </c>
      <c r="E474" t="s">
        <v>11</v>
      </c>
    </row>
    <row r="475" spans="1:5" x14ac:dyDescent="0.2">
      <c r="A475" t="s">
        <v>116</v>
      </c>
      <c r="B475" t="s">
        <v>119</v>
      </c>
      <c r="C475" t="str">
        <f t="shared" si="7"/>
        <v>Europe (Facilities Management)</v>
      </c>
      <c r="D475">
        <v>53789</v>
      </c>
      <c r="E475" t="s">
        <v>7</v>
      </c>
    </row>
    <row r="476" spans="1:5" x14ac:dyDescent="0.2">
      <c r="A476" t="s">
        <v>114</v>
      </c>
      <c r="B476" t="s">
        <v>119</v>
      </c>
      <c r="C476" t="str">
        <f t="shared" si="7"/>
        <v>Africa (Facilities Management)</v>
      </c>
      <c r="D476">
        <v>46187</v>
      </c>
      <c r="E476" t="s">
        <v>4</v>
      </c>
    </row>
    <row r="477" spans="1:5" x14ac:dyDescent="0.2">
      <c r="A477" t="s">
        <v>116</v>
      </c>
      <c r="B477" t="s">
        <v>120</v>
      </c>
      <c r="C477" t="str">
        <f t="shared" si="7"/>
        <v>Europe (Investments)</v>
      </c>
      <c r="D477">
        <v>39706</v>
      </c>
      <c r="E477" t="s">
        <v>32</v>
      </c>
    </row>
    <row r="478" spans="1:5" x14ac:dyDescent="0.2">
      <c r="A478" t="s">
        <v>114</v>
      </c>
      <c r="B478" t="s">
        <v>119</v>
      </c>
      <c r="C478" t="str">
        <f t="shared" si="7"/>
        <v>Africa (Facilities Management)</v>
      </c>
      <c r="D478">
        <v>20218</v>
      </c>
      <c r="E478" t="s">
        <v>26</v>
      </c>
    </row>
    <row r="479" spans="1:5" x14ac:dyDescent="0.2">
      <c r="A479" t="s">
        <v>115</v>
      </c>
      <c r="B479" t="s">
        <v>119</v>
      </c>
      <c r="C479" t="str">
        <f t="shared" si="7"/>
        <v>US (Facilities Management)</v>
      </c>
      <c r="D479">
        <v>20294</v>
      </c>
      <c r="E479" t="s">
        <v>9</v>
      </c>
    </row>
    <row r="480" spans="1:5" x14ac:dyDescent="0.2">
      <c r="A480" t="s">
        <v>116</v>
      </c>
      <c r="B480" t="s">
        <v>120</v>
      </c>
      <c r="C480" t="str">
        <f t="shared" si="7"/>
        <v>Europe (Investments)</v>
      </c>
      <c r="D480">
        <v>41143</v>
      </c>
      <c r="E480" t="s">
        <v>25</v>
      </c>
    </row>
    <row r="481" spans="1:5" x14ac:dyDescent="0.2">
      <c r="A481" t="s">
        <v>117</v>
      </c>
      <c r="B481" t="s">
        <v>119</v>
      </c>
      <c r="C481" t="str">
        <f t="shared" si="7"/>
        <v>Middle-East (Facilities Management)</v>
      </c>
      <c r="D481">
        <v>57593</v>
      </c>
      <c r="E481" t="s">
        <v>32</v>
      </c>
    </row>
    <row r="482" spans="1:5" x14ac:dyDescent="0.2">
      <c r="A482" t="s">
        <v>117</v>
      </c>
      <c r="B482" t="s">
        <v>120</v>
      </c>
      <c r="C482" t="str">
        <f t="shared" si="7"/>
        <v>Middle-East (Investments)</v>
      </c>
      <c r="D482">
        <v>87775</v>
      </c>
      <c r="E482" t="s">
        <v>16</v>
      </c>
    </row>
    <row r="483" spans="1:5" x14ac:dyDescent="0.2">
      <c r="A483" t="s">
        <v>114</v>
      </c>
      <c r="B483" t="s">
        <v>113</v>
      </c>
      <c r="C483" t="str">
        <f t="shared" si="7"/>
        <v>Africa (Consulting)</v>
      </c>
      <c r="D483">
        <v>53027</v>
      </c>
      <c r="E483" t="s">
        <v>39</v>
      </c>
    </row>
    <row r="484" spans="1:5" x14ac:dyDescent="0.2">
      <c r="A484" t="s">
        <v>115</v>
      </c>
      <c r="B484" t="s">
        <v>119</v>
      </c>
      <c r="C484" t="str">
        <f t="shared" si="7"/>
        <v>US (Facilities Management)</v>
      </c>
      <c r="D484">
        <v>15595</v>
      </c>
      <c r="E484" t="s">
        <v>29</v>
      </c>
    </row>
    <row r="485" spans="1:5" x14ac:dyDescent="0.2">
      <c r="A485" t="s">
        <v>118</v>
      </c>
      <c r="B485" t="s">
        <v>120</v>
      </c>
      <c r="C485" t="str">
        <f t="shared" si="7"/>
        <v>Asia-Pacific (Investments)</v>
      </c>
      <c r="D485">
        <v>56073</v>
      </c>
      <c r="E485" t="s">
        <v>19</v>
      </c>
    </row>
    <row r="486" spans="1:5" x14ac:dyDescent="0.2">
      <c r="A486" t="s">
        <v>114</v>
      </c>
      <c r="B486" t="s">
        <v>119</v>
      </c>
      <c r="C486" t="str">
        <f t="shared" si="7"/>
        <v>Africa (Facilities Management)</v>
      </c>
      <c r="D486">
        <v>79177</v>
      </c>
      <c r="E486" t="s">
        <v>13</v>
      </c>
    </row>
    <row r="487" spans="1:5" x14ac:dyDescent="0.2">
      <c r="A487" t="s">
        <v>114</v>
      </c>
      <c r="B487" t="s">
        <v>113</v>
      </c>
      <c r="C487" t="str">
        <f t="shared" si="7"/>
        <v>Africa (Consulting)</v>
      </c>
      <c r="D487">
        <v>86272</v>
      </c>
      <c r="E487" t="s">
        <v>13</v>
      </c>
    </row>
    <row r="488" spans="1:5" x14ac:dyDescent="0.2">
      <c r="A488" t="s">
        <v>118</v>
      </c>
      <c r="B488" t="s">
        <v>113</v>
      </c>
      <c r="C488" t="str">
        <f t="shared" si="7"/>
        <v>Asia-Pacific (Consulting)</v>
      </c>
      <c r="D488">
        <v>25937</v>
      </c>
      <c r="E488" t="s">
        <v>27</v>
      </c>
    </row>
    <row r="489" spans="1:5" x14ac:dyDescent="0.2">
      <c r="A489" t="s">
        <v>115</v>
      </c>
      <c r="B489" t="s">
        <v>120</v>
      </c>
      <c r="C489" t="str">
        <f t="shared" si="7"/>
        <v>US (Investments)</v>
      </c>
      <c r="D489">
        <v>35207</v>
      </c>
      <c r="E489" t="s">
        <v>20</v>
      </c>
    </row>
    <row r="490" spans="1:5" x14ac:dyDescent="0.2">
      <c r="A490" t="s">
        <v>118</v>
      </c>
      <c r="B490" t="s">
        <v>120</v>
      </c>
      <c r="C490" t="str">
        <f t="shared" si="7"/>
        <v>Asia-Pacific (Investments)</v>
      </c>
      <c r="D490">
        <v>30310</v>
      </c>
      <c r="E490" t="s">
        <v>43</v>
      </c>
    </row>
    <row r="491" spans="1:5" x14ac:dyDescent="0.2">
      <c r="A491" t="s">
        <v>118</v>
      </c>
      <c r="B491" t="s">
        <v>119</v>
      </c>
      <c r="C491" t="str">
        <f t="shared" si="7"/>
        <v>Asia-Pacific (Facilities Management)</v>
      </c>
      <c r="D491">
        <v>34613</v>
      </c>
      <c r="E491" t="s">
        <v>17</v>
      </c>
    </row>
    <row r="492" spans="1:5" x14ac:dyDescent="0.2">
      <c r="A492" t="s">
        <v>117</v>
      </c>
      <c r="B492" t="s">
        <v>120</v>
      </c>
      <c r="C492" t="str">
        <f t="shared" si="7"/>
        <v>Middle-East (Investments)</v>
      </c>
      <c r="D492">
        <v>87775</v>
      </c>
      <c r="E492" t="s">
        <v>26</v>
      </c>
    </row>
    <row r="493" spans="1:5" x14ac:dyDescent="0.2">
      <c r="A493" t="s">
        <v>114</v>
      </c>
      <c r="B493" t="s">
        <v>120</v>
      </c>
      <c r="C493" t="str">
        <f t="shared" si="7"/>
        <v>Africa (Investments)</v>
      </c>
      <c r="D493">
        <v>25937</v>
      </c>
      <c r="E493" t="s">
        <v>35</v>
      </c>
    </row>
    <row r="494" spans="1:5" x14ac:dyDescent="0.2">
      <c r="A494" t="s">
        <v>115</v>
      </c>
      <c r="B494" t="s">
        <v>113</v>
      </c>
      <c r="C494" t="str">
        <f t="shared" si="7"/>
        <v>US (Consulting)</v>
      </c>
      <c r="D494">
        <v>37559</v>
      </c>
      <c r="E494" t="s">
        <v>3</v>
      </c>
    </row>
    <row r="495" spans="1:5" x14ac:dyDescent="0.2">
      <c r="A495" t="s">
        <v>118</v>
      </c>
      <c r="B495" t="s">
        <v>113</v>
      </c>
      <c r="C495" t="str">
        <f t="shared" si="7"/>
        <v>Asia-Pacific (Consulting)</v>
      </c>
      <c r="D495">
        <v>86095</v>
      </c>
      <c r="E495" t="s">
        <v>36</v>
      </c>
    </row>
    <row r="496" spans="1:5" x14ac:dyDescent="0.2">
      <c r="A496" t="s">
        <v>114</v>
      </c>
      <c r="B496" t="s">
        <v>120</v>
      </c>
      <c r="C496" t="str">
        <f t="shared" si="7"/>
        <v>Africa (Investments)</v>
      </c>
      <c r="D496">
        <v>51457</v>
      </c>
      <c r="E496" t="s">
        <v>31</v>
      </c>
    </row>
    <row r="497" spans="1:5" x14ac:dyDescent="0.2">
      <c r="A497" t="s">
        <v>117</v>
      </c>
      <c r="B497" t="s">
        <v>119</v>
      </c>
      <c r="C497" t="str">
        <f t="shared" si="7"/>
        <v>Middle-East (Facilities Management)</v>
      </c>
      <c r="D497">
        <v>87778</v>
      </c>
      <c r="E497" t="s">
        <v>21</v>
      </c>
    </row>
    <row r="498" spans="1:5" x14ac:dyDescent="0.2">
      <c r="A498" t="s">
        <v>116</v>
      </c>
      <c r="B498" t="s">
        <v>119</v>
      </c>
      <c r="C498" t="str">
        <f t="shared" si="7"/>
        <v>Europe (Facilities Management)</v>
      </c>
      <c r="D498">
        <v>35143</v>
      </c>
      <c r="E498" t="s">
        <v>40</v>
      </c>
    </row>
    <row r="499" spans="1:5" x14ac:dyDescent="0.2">
      <c r="A499" t="s">
        <v>116</v>
      </c>
      <c r="B499" t="s">
        <v>120</v>
      </c>
      <c r="C499" t="str">
        <f t="shared" si="7"/>
        <v>Europe (Investments)</v>
      </c>
      <c r="D499">
        <v>68945</v>
      </c>
      <c r="E499" t="s">
        <v>31</v>
      </c>
    </row>
    <row r="500" spans="1:5" x14ac:dyDescent="0.2">
      <c r="A500" t="s">
        <v>115</v>
      </c>
      <c r="B500" t="s">
        <v>119</v>
      </c>
      <c r="C500" t="str">
        <f t="shared" si="7"/>
        <v>US (Facilities Management)</v>
      </c>
      <c r="D500">
        <v>88179</v>
      </c>
      <c r="E500" t="s">
        <v>3</v>
      </c>
    </row>
    <row r="501" spans="1:5" x14ac:dyDescent="0.2">
      <c r="A501" t="s">
        <v>114</v>
      </c>
      <c r="B501" t="s">
        <v>119</v>
      </c>
      <c r="C501" t="str">
        <f t="shared" si="7"/>
        <v>Africa (Facilities Management)</v>
      </c>
      <c r="D501">
        <v>65050</v>
      </c>
      <c r="E501" t="s">
        <v>16</v>
      </c>
    </row>
    <row r="502" spans="1:5" x14ac:dyDescent="0.2">
      <c r="A502" t="s">
        <v>118</v>
      </c>
      <c r="B502" t="s">
        <v>119</v>
      </c>
      <c r="C502" t="str">
        <f t="shared" si="7"/>
        <v>Asia-Pacific (Facilities Management)</v>
      </c>
      <c r="D502">
        <v>87696</v>
      </c>
      <c r="E502" t="s">
        <v>19</v>
      </c>
    </row>
    <row r="503" spans="1:5" x14ac:dyDescent="0.2">
      <c r="A503" t="s">
        <v>117</v>
      </c>
      <c r="B503" t="s">
        <v>119</v>
      </c>
      <c r="C503" t="str">
        <f t="shared" si="7"/>
        <v>Middle-East (Facilities Management)</v>
      </c>
      <c r="D503">
        <v>50410</v>
      </c>
      <c r="E503" t="s">
        <v>30</v>
      </c>
    </row>
    <row r="504" spans="1:5" x14ac:dyDescent="0.2">
      <c r="A504" t="s">
        <v>117</v>
      </c>
      <c r="B504" t="s">
        <v>113</v>
      </c>
      <c r="C504" t="str">
        <f t="shared" si="7"/>
        <v>Middle-East (Consulting)</v>
      </c>
      <c r="D504">
        <v>49282</v>
      </c>
      <c r="E504" t="s">
        <v>12</v>
      </c>
    </row>
    <row r="505" spans="1:5" x14ac:dyDescent="0.2">
      <c r="A505" t="s">
        <v>118</v>
      </c>
      <c r="B505" t="s">
        <v>113</v>
      </c>
      <c r="C505" t="str">
        <f t="shared" si="7"/>
        <v>Asia-Pacific (Consulting)</v>
      </c>
      <c r="D505">
        <v>72187</v>
      </c>
      <c r="E505" t="s">
        <v>42</v>
      </c>
    </row>
    <row r="506" spans="1:5" x14ac:dyDescent="0.2">
      <c r="A506" t="s">
        <v>116</v>
      </c>
      <c r="B506" t="s">
        <v>119</v>
      </c>
      <c r="C506" t="str">
        <f t="shared" si="7"/>
        <v>Europe (Facilities Management)</v>
      </c>
      <c r="D506">
        <v>20910</v>
      </c>
      <c r="E506" t="s">
        <v>25</v>
      </c>
    </row>
    <row r="507" spans="1:5" x14ac:dyDescent="0.2">
      <c r="A507" t="s">
        <v>116</v>
      </c>
      <c r="B507" t="s">
        <v>113</v>
      </c>
      <c r="C507" t="str">
        <f t="shared" si="7"/>
        <v>Europe (Consulting)</v>
      </c>
      <c r="D507">
        <v>36055</v>
      </c>
      <c r="E507" t="s">
        <v>32</v>
      </c>
    </row>
    <row r="508" spans="1:5" x14ac:dyDescent="0.2">
      <c r="A508" t="s">
        <v>115</v>
      </c>
      <c r="B508" t="s">
        <v>113</v>
      </c>
      <c r="C508" t="str">
        <f t="shared" si="7"/>
        <v>US (Consulting)</v>
      </c>
      <c r="D508">
        <v>38696</v>
      </c>
      <c r="E508" t="s">
        <v>29</v>
      </c>
    </row>
    <row r="509" spans="1:5" x14ac:dyDescent="0.2">
      <c r="A509" t="s">
        <v>118</v>
      </c>
      <c r="B509" t="s">
        <v>120</v>
      </c>
      <c r="C509" t="str">
        <f t="shared" si="7"/>
        <v>Asia-Pacific (Investments)</v>
      </c>
      <c r="D509">
        <v>76523</v>
      </c>
      <c r="E509" t="s">
        <v>14</v>
      </c>
    </row>
    <row r="510" spans="1:5" x14ac:dyDescent="0.2">
      <c r="A510" t="s">
        <v>115</v>
      </c>
      <c r="B510" t="s">
        <v>120</v>
      </c>
      <c r="C510" t="str">
        <f t="shared" si="7"/>
        <v>US (Investments)</v>
      </c>
      <c r="D510">
        <v>64705</v>
      </c>
      <c r="E510" t="s">
        <v>3</v>
      </c>
    </row>
    <row r="511" spans="1:5" x14ac:dyDescent="0.2">
      <c r="A511" t="s">
        <v>114</v>
      </c>
      <c r="B511" t="s">
        <v>113</v>
      </c>
      <c r="C511" t="str">
        <f t="shared" si="7"/>
        <v>Africa (Consulting)</v>
      </c>
      <c r="D511">
        <v>63220</v>
      </c>
      <c r="E511" t="s">
        <v>47</v>
      </c>
    </row>
    <row r="512" spans="1:5" x14ac:dyDescent="0.2">
      <c r="A512" t="s">
        <v>116</v>
      </c>
      <c r="B512" t="s">
        <v>113</v>
      </c>
      <c r="C512" t="str">
        <f t="shared" si="7"/>
        <v>Europe (Consulting)</v>
      </c>
      <c r="D512">
        <v>20218</v>
      </c>
      <c r="E512" t="s">
        <v>20</v>
      </c>
    </row>
    <row r="513" spans="1:5" x14ac:dyDescent="0.2">
      <c r="A513" t="s">
        <v>117</v>
      </c>
      <c r="B513" t="s">
        <v>119</v>
      </c>
      <c r="C513" t="str">
        <f t="shared" si="7"/>
        <v>Middle-East (Facilities Management)</v>
      </c>
      <c r="D513">
        <v>82313</v>
      </c>
      <c r="E513" t="s">
        <v>14</v>
      </c>
    </row>
    <row r="514" spans="1:5" x14ac:dyDescent="0.2">
      <c r="A514" t="s">
        <v>118</v>
      </c>
      <c r="B514" t="s">
        <v>113</v>
      </c>
      <c r="C514" t="str">
        <f t="shared" si="7"/>
        <v>Asia-Pacific (Consulting)</v>
      </c>
      <c r="D514">
        <v>41143</v>
      </c>
      <c r="E514" t="s">
        <v>23</v>
      </c>
    </row>
    <row r="515" spans="1:5" x14ac:dyDescent="0.2">
      <c r="A515" t="s">
        <v>117</v>
      </c>
      <c r="B515" t="s">
        <v>120</v>
      </c>
      <c r="C515" t="str">
        <f t="shared" ref="C515:C578" si="8">CONCATENATE(A515, " (", B515, ")")</f>
        <v>Middle-East (Investments)</v>
      </c>
      <c r="D515">
        <v>36768</v>
      </c>
      <c r="E515" t="s">
        <v>14</v>
      </c>
    </row>
    <row r="516" spans="1:5" x14ac:dyDescent="0.2">
      <c r="A516" t="s">
        <v>114</v>
      </c>
      <c r="B516" t="s">
        <v>119</v>
      </c>
      <c r="C516" t="str">
        <f t="shared" si="8"/>
        <v>Africa (Facilities Management)</v>
      </c>
      <c r="D516">
        <v>53027</v>
      </c>
      <c r="E516" t="s">
        <v>42</v>
      </c>
    </row>
    <row r="517" spans="1:5" x14ac:dyDescent="0.2">
      <c r="A517" t="s">
        <v>117</v>
      </c>
      <c r="B517" t="s">
        <v>113</v>
      </c>
      <c r="C517" t="str">
        <f t="shared" si="8"/>
        <v>Middle-East (Consulting)</v>
      </c>
      <c r="D517">
        <v>49282</v>
      </c>
      <c r="E517" t="s">
        <v>34</v>
      </c>
    </row>
    <row r="518" spans="1:5" x14ac:dyDescent="0.2">
      <c r="A518" t="s">
        <v>114</v>
      </c>
      <c r="B518" t="s">
        <v>113</v>
      </c>
      <c r="C518" t="str">
        <f t="shared" si="8"/>
        <v>Africa (Consulting)</v>
      </c>
      <c r="D518">
        <v>15285</v>
      </c>
      <c r="E518" t="s">
        <v>43</v>
      </c>
    </row>
    <row r="519" spans="1:5" x14ac:dyDescent="0.2">
      <c r="A519" t="s">
        <v>115</v>
      </c>
      <c r="B519" t="s">
        <v>120</v>
      </c>
      <c r="C519" t="str">
        <f t="shared" si="8"/>
        <v>US (Investments)</v>
      </c>
      <c r="D519">
        <v>36135</v>
      </c>
      <c r="E519" t="s">
        <v>26</v>
      </c>
    </row>
    <row r="520" spans="1:5" x14ac:dyDescent="0.2">
      <c r="A520" t="s">
        <v>114</v>
      </c>
      <c r="B520" t="s">
        <v>113</v>
      </c>
      <c r="C520" t="str">
        <f t="shared" si="8"/>
        <v>Africa (Consulting)</v>
      </c>
      <c r="D520">
        <v>11546</v>
      </c>
      <c r="E520" t="s">
        <v>110</v>
      </c>
    </row>
    <row r="521" spans="1:5" x14ac:dyDescent="0.2">
      <c r="A521" t="s">
        <v>118</v>
      </c>
      <c r="B521" t="s">
        <v>120</v>
      </c>
      <c r="C521" t="str">
        <f t="shared" si="8"/>
        <v>Asia-Pacific (Investments)</v>
      </c>
      <c r="D521">
        <v>25937</v>
      </c>
      <c r="E521" t="s">
        <v>28</v>
      </c>
    </row>
    <row r="522" spans="1:5" x14ac:dyDescent="0.2">
      <c r="A522" t="s">
        <v>118</v>
      </c>
      <c r="B522" t="s">
        <v>113</v>
      </c>
      <c r="C522" t="str">
        <f t="shared" si="8"/>
        <v>Asia-Pacific (Consulting)</v>
      </c>
      <c r="D522">
        <v>75257</v>
      </c>
      <c r="E522" t="s">
        <v>12</v>
      </c>
    </row>
    <row r="523" spans="1:5" x14ac:dyDescent="0.2">
      <c r="A523" t="s">
        <v>116</v>
      </c>
      <c r="B523" t="s">
        <v>119</v>
      </c>
      <c r="C523" t="str">
        <f t="shared" si="8"/>
        <v>Europe (Facilities Management)</v>
      </c>
      <c r="D523">
        <v>63220</v>
      </c>
      <c r="E523" t="s">
        <v>42</v>
      </c>
    </row>
    <row r="524" spans="1:5" x14ac:dyDescent="0.2">
      <c r="A524" t="s">
        <v>114</v>
      </c>
      <c r="B524" t="s">
        <v>119</v>
      </c>
      <c r="C524" t="str">
        <f t="shared" si="8"/>
        <v>Africa (Facilities Management)</v>
      </c>
      <c r="D524">
        <v>82313</v>
      </c>
      <c r="E524" t="s">
        <v>32</v>
      </c>
    </row>
    <row r="525" spans="1:5" x14ac:dyDescent="0.2">
      <c r="A525" t="s">
        <v>117</v>
      </c>
      <c r="B525" t="s">
        <v>120</v>
      </c>
      <c r="C525" t="str">
        <f t="shared" si="8"/>
        <v>Middle-East (Investments)</v>
      </c>
      <c r="D525">
        <v>28291</v>
      </c>
      <c r="E525" t="s">
        <v>26</v>
      </c>
    </row>
    <row r="526" spans="1:5" x14ac:dyDescent="0.2">
      <c r="A526" t="s">
        <v>114</v>
      </c>
      <c r="B526" t="s">
        <v>120</v>
      </c>
      <c r="C526" t="str">
        <f t="shared" si="8"/>
        <v>Africa (Investments)</v>
      </c>
      <c r="D526">
        <v>24905</v>
      </c>
      <c r="E526" t="s">
        <v>18</v>
      </c>
    </row>
    <row r="527" spans="1:5" x14ac:dyDescent="0.2">
      <c r="A527" t="s">
        <v>114</v>
      </c>
      <c r="B527" t="s">
        <v>113</v>
      </c>
      <c r="C527" t="str">
        <f t="shared" si="8"/>
        <v>Africa (Consulting)</v>
      </c>
      <c r="D527">
        <v>17019</v>
      </c>
      <c r="E527" t="s">
        <v>15</v>
      </c>
    </row>
    <row r="528" spans="1:5" x14ac:dyDescent="0.2">
      <c r="A528" t="s">
        <v>114</v>
      </c>
      <c r="B528" t="s">
        <v>113</v>
      </c>
      <c r="C528" t="str">
        <f t="shared" si="8"/>
        <v>Africa (Consulting)</v>
      </c>
      <c r="D528">
        <v>42461</v>
      </c>
      <c r="E528" t="s">
        <v>28</v>
      </c>
    </row>
    <row r="529" spans="1:5" x14ac:dyDescent="0.2">
      <c r="A529" t="s">
        <v>118</v>
      </c>
      <c r="B529" t="s">
        <v>120</v>
      </c>
      <c r="C529" t="str">
        <f t="shared" si="8"/>
        <v>Asia-Pacific (Investments)</v>
      </c>
      <c r="D529">
        <v>26271</v>
      </c>
      <c r="E529" t="s">
        <v>36</v>
      </c>
    </row>
    <row r="530" spans="1:5" x14ac:dyDescent="0.2">
      <c r="A530" t="s">
        <v>116</v>
      </c>
      <c r="B530" t="s">
        <v>119</v>
      </c>
      <c r="C530" t="str">
        <f t="shared" si="8"/>
        <v>Europe (Facilities Management)</v>
      </c>
      <c r="D530">
        <v>72739</v>
      </c>
      <c r="E530" t="s">
        <v>40</v>
      </c>
    </row>
    <row r="531" spans="1:5" x14ac:dyDescent="0.2">
      <c r="A531" t="s">
        <v>114</v>
      </c>
      <c r="B531" t="s">
        <v>119</v>
      </c>
      <c r="C531" t="str">
        <f t="shared" si="8"/>
        <v>Africa (Facilities Management)</v>
      </c>
      <c r="D531">
        <v>24905</v>
      </c>
      <c r="E531" t="s">
        <v>18</v>
      </c>
    </row>
    <row r="532" spans="1:5" x14ac:dyDescent="0.2">
      <c r="A532" t="s">
        <v>117</v>
      </c>
      <c r="B532" t="s">
        <v>119</v>
      </c>
      <c r="C532" t="str">
        <f t="shared" si="8"/>
        <v>Middle-East (Facilities Management)</v>
      </c>
      <c r="D532">
        <v>66384</v>
      </c>
      <c r="E532" t="s">
        <v>26</v>
      </c>
    </row>
    <row r="533" spans="1:5" x14ac:dyDescent="0.2">
      <c r="A533" t="s">
        <v>117</v>
      </c>
      <c r="B533" t="s">
        <v>113</v>
      </c>
      <c r="C533" t="str">
        <f t="shared" si="8"/>
        <v>Middle-East (Consulting)</v>
      </c>
      <c r="D533">
        <v>49282</v>
      </c>
      <c r="E533" t="s">
        <v>19</v>
      </c>
    </row>
    <row r="534" spans="1:5" x14ac:dyDescent="0.2">
      <c r="A534" t="s">
        <v>118</v>
      </c>
      <c r="B534" t="s">
        <v>120</v>
      </c>
      <c r="C534" t="str">
        <f t="shared" si="8"/>
        <v>Asia-Pacific (Investments)</v>
      </c>
      <c r="D534">
        <v>15595</v>
      </c>
      <c r="E534" t="s">
        <v>44</v>
      </c>
    </row>
    <row r="535" spans="1:5" x14ac:dyDescent="0.2">
      <c r="A535" t="s">
        <v>118</v>
      </c>
      <c r="B535" t="s">
        <v>113</v>
      </c>
      <c r="C535" t="str">
        <f t="shared" si="8"/>
        <v>Asia-Pacific (Consulting)</v>
      </c>
      <c r="D535">
        <v>46638</v>
      </c>
      <c r="E535" t="s">
        <v>33</v>
      </c>
    </row>
    <row r="536" spans="1:5" x14ac:dyDescent="0.2">
      <c r="A536" t="s">
        <v>115</v>
      </c>
      <c r="B536" t="s">
        <v>120</v>
      </c>
      <c r="C536" t="str">
        <f t="shared" si="8"/>
        <v>US (Investments)</v>
      </c>
      <c r="D536">
        <v>30310</v>
      </c>
      <c r="E536" t="s">
        <v>29</v>
      </c>
    </row>
    <row r="537" spans="1:5" x14ac:dyDescent="0.2">
      <c r="A537" t="s">
        <v>115</v>
      </c>
      <c r="B537" t="s">
        <v>113</v>
      </c>
      <c r="C537" t="str">
        <f t="shared" si="8"/>
        <v>US (Consulting)</v>
      </c>
      <c r="D537">
        <v>34613</v>
      </c>
      <c r="E537" t="s">
        <v>9</v>
      </c>
    </row>
    <row r="538" spans="1:5" x14ac:dyDescent="0.2">
      <c r="A538" t="s">
        <v>115</v>
      </c>
      <c r="B538" t="s">
        <v>113</v>
      </c>
      <c r="C538" t="str">
        <f t="shared" si="8"/>
        <v>US (Consulting)</v>
      </c>
      <c r="D538">
        <v>27896</v>
      </c>
      <c r="E538" t="s">
        <v>3</v>
      </c>
    </row>
    <row r="539" spans="1:5" x14ac:dyDescent="0.2">
      <c r="A539" t="s">
        <v>115</v>
      </c>
      <c r="B539" t="s">
        <v>113</v>
      </c>
      <c r="C539" t="str">
        <f t="shared" si="8"/>
        <v>US (Consulting)</v>
      </c>
      <c r="D539">
        <v>10151</v>
      </c>
      <c r="E539" t="s">
        <v>22</v>
      </c>
    </row>
    <row r="540" spans="1:5" x14ac:dyDescent="0.2">
      <c r="A540" t="s">
        <v>115</v>
      </c>
      <c r="B540" t="s">
        <v>120</v>
      </c>
      <c r="C540" t="str">
        <f t="shared" si="8"/>
        <v>US (Investments)</v>
      </c>
      <c r="D540">
        <v>72187</v>
      </c>
      <c r="E540" t="s">
        <v>13</v>
      </c>
    </row>
    <row r="541" spans="1:5" x14ac:dyDescent="0.2">
      <c r="A541" t="s">
        <v>118</v>
      </c>
      <c r="B541" t="s">
        <v>113</v>
      </c>
      <c r="C541" t="str">
        <f t="shared" si="8"/>
        <v>Asia-Pacific (Consulting)</v>
      </c>
      <c r="D541">
        <v>46187</v>
      </c>
      <c r="E541" t="s">
        <v>42</v>
      </c>
    </row>
    <row r="542" spans="1:5" x14ac:dyDescent="0.2">
      <c r="A542" t="s">
        <v>117</v>
      </c>
      <c r="B542" t="s">
        <v>120</v>
      </c>
      <c r="C542" t="str">
        <f t="shared" si="8"/>
        <v>Middle-East (Investments)</v>
      </c>
      <c r="D542">
        <v>77596</v>
      </c>
      <c r="E542" t="s">
        <v>7</v>
      </c>
    </row>
    <row r="543" spans="1:5" x14ac:dyDescent="0.2">
      <c r="A543" t="s">
        <v>115</v>
      </c>
      <c r="B543" t="s">
        <v>113</v>
      </c>
      <c r="C543" t="str">
        <f t="shared" si="8"/>
        <v>US (Consulting)</v>
      </c>
      <c r="D543">
        <v>24003</v>
      </c>
      <c r="E543" t="s">
        <v>44</v>
      </c>
    </row>
    <row r="544" spans="1:5" x14ac:dyDescent="0.2">
      <c r="A544" t="s">
        <v>114</v>
      </c>
      <c r="B544" t="s">
        <v>120</v>
      </c>
      <c r="C544" t="str">
        <f t="shared" si="8"/>
        <v>Africa (Investments)</v>
      </c>
      <c r="D544">
        <v>79177</v>
      </c>
      <c r="E544" t="s">
        <v>26</v>
      </c>
    </row>
    <row r="545" spans="1:5" x14ac:dyDescent="0.2">
      <c r="A545" t="s">
        <v>116</v>
      </c>
      <c r="B545" t="s">
        <v>113</v>
      </c>
      <c r="C545" t="str">
        <f t="shared" si="8"/>
        <v>Europe (Consulting)</v>
      </c>
      <c r="D545">
        <v>53681</v>
      </c>
      <c r="E545" t="s">
        <v>20</v>
      </c>
    </row>
    <row r="546" spans="1:5" x14ac:dyDescent="0.2">
      <c r="A546" t="s">
        <v>118</v>
      </c>
      <c r="B546" t="s">
        <v>120</v>
      </c>
      <c r="C546" t="str">
        <f t="shared" si="8"/>
        <v>Asia-Pacific (Investments)</v>
      </c>
      <c r="D546">
        <v>76523</v>
      </c>
      <c r="E546" t="s">
        <v>42</v>
      </c>
    </row>
    <row r="547" spans="1:5" x14ac:dyDescent="0.2">
      <c r="A547" t="s">
        <v>117</v>
      </c>
      <c r="B547" t="s">
        <v>119</v>
      </c>
      <c r="C547" t="str">
        <f t="shared" si="8"/>
        <v>Middle-East (Facilities Management)</v>
      </c>
      <c r="D547">
        <v>88813</v>
      </c>
      <c r="E547" t="s">
        <v>5</v>
      </c>
    </row>
    <row r="548" spans="1:5" x14ac:dyDescent="0.2">
      <c r="A548" t="s">
        <v>115</v>
      </c>
      <c r="B548" t="s">
        <v>119</v>
      </c>
      <c r="C548" t="str">
        <f t="shared" si="8"/>
        <v>US (Facilities Management)</v>
      </c>
      <c r="D548">
        <v>35143</v>
      </c>
      <c r="E548" t="s">
        <v>18</v>
      </c>
    </row>
    <row r="549" spans="1:5" x14ac:dyDescent="0.2">
      <c r="A549" t="s">
        <v>116</v>
      </c>
      <c r="B549" t="s">
        <v>120</v>
      </c>
      <c r="C549" t="str">
        <f t="shared" si="8"/>
        <v>Europe (Investments)</v>
      </c>
      <c r="D549">
        <v>56933</v>
      </c>
      <c r="E549" t="s">
        <v>21</v>
      </c>
    </row>
    <row r="550" spans="1:5" x14ac:dyDescent="0.2">
      <c r="A550" t="s">
        <v>114</v>
      </c>
      <c r="B550" t="s">
        <v>113</v>
      </c>
      <c r="C550" t="str">
        <f t="shared" si="8"/>
        <v>Africa (Consulting)</v>
      </c>
      <c r="D550">
        <v>86272</v>
      </c>
      <c r="E550" t="s">
        <v>18</v>
      </c>
    </row>
    <row r="551" spans="1:5" x14ac:dyDescent="0.2">
      <c r="A551" t="s">
        <v>114</v>
      </c>
      <c r="B551" t="s">
        <v>120</v>
      </c>
      <c r="C551" t="str">
        <f t="shared" si="8"/>
        <v>Africa (Investments)</v>
      </c>
      <c r="D551">
        <v>63220</v>
      </c>
      <c r="E551" t="s">
        <v>18</v>
      </c>
    </row>
    <row r="552" spans="1:5" x14ac:dyDescent="0.2">
      <c r="A552" t="s">
        <v>118</v>
      </c>
      <c r="B552" t="s">
        <v>120</v>
      </c>
      <c r="C552" t="str">
        <f t="shared" si="8"/>
        <v>Asia-Pacific (Investments)</v>
      </c>
      <c r="D552">
        <v>81857</v>
      </c>
      <c r="E552" t="s">
        <v>42</v>
      </c>
    </row>
    <row r="553" spans="1:5" x14ac:dyDescent="0.2">
      <c r="A553" t="s">
        <v>117</v>
      </c>
      <c r="B553" t="s">
        <v>119</v>
      </c>
      <c r="C553" t="str">
        <f t="shared" si="8"/>
        <v>Middle-East (Facilities Management)</v>
      </c>
      <c r="D553">
        <v>78601</v>
      </c>
      <c r="E553" t="s">
        <v>19</v>
      </c>
    </row>
    <row r="554" spans="1:5" x14ac:dyDescent="0.2">
      <c r="A554" t="s">
        <v>116</v>
      </c>
      <c r="B554" t="s">
        <v>120</v>
      </c>
      <c r="C554" t="str">
        <f t="shared" si="8"/>
        <v>Europe (Investments)</v>
      </c>
      <c r="D554">
        <v>68945</v>
      </c>
      <c r="E554" t="s">
        <v>27</v>
      </c>
    </row>
    <row r="555" spans="1:5" x14ac:dyDescent="0.2">
      <c r="A555" t="s">
        <v>114</v>
      </c>
      <c r="B555" t="s">
        <v>120</v>
      </c>
      <c r="C555" t="str">
        <f t="shared" si="8"/>
        <v>Africa (Investments)</v>
      </c>
      <c r="D555">
        <v>82313</v>
      </c>
      <c r="E555" t="s">
        <v>14</v>
      </c>
    </row>
    <row r="556" spans="1:5" x14ac:dyDescent="0.2">
      <c r="A556" t="s">
        <v>118</v>
      </c>
      <c r="B556" t="s">
        <v>120</v>
      </c>
      <c r="C556" t="str">
        <f t="shared" si="8"/>
        <v>Asia-Pacific (Investments)</v>
      </c>
      <c r="D556">
        <v>80154</v>
      </c>
      <c r="E556" t="s">
        <v>32</v>
      </c>
    </row>
    <row r="557" spans="1:5" x14ac:dyDescent="0.2">
      <c r="A557" t="s">
        <v>115</v>
      </c>
      <c r="B557" t="s">
        <v>119</v>
      </c>
      <c r="C557" t="str">
        <f t="shared" si="8"/>
        <v>US (Facilities Management)</v>
      </c>
      <c r="D557">
        <v>78221</v>
      </c>
      <c r="E557" t="s">
        <v>5</v>
      </c>
    </row>
    <row r="558" spans="1:5" x14ac:dyDescent="0.2">
      <c r="A558" t="s">
        <v>118</v>
      </c>
      <c r="B558" t="s">
        <v>113</v>
      </c>
      <c r="C558" t="str">
        <f t="shared" si="8"/>
        <v>Asia-Pacific (Consulting)</v>
      </c>
      <c r="D558">
        <v>26271</v>
      </c>
      <c r="E558" t="s">
        <v>29</v>
      </c>
    </row>
    <row r="559" spans="1:5" x14ac:dyDescent="0.2">
      <c r="A559" t="s">
        <v>114</v>
      </c>
      <c r="B559" t="s">
        <v>120</v>
      </c>
      <c r="C559" t="str">
        <f t="shared" si="8"/>
        <v>Africa (Investments)</v>
      </c>
      <c r="D559">
        <v>73889</v>
      </c>
      <c r="E559" t="s">
        <v>22</v>
      </c>
    </row>
    <row r="560" spans="1:5" x14ac:dyDescent="0.2">
      <c r="A560" t="s">
        <v>118</v>
      </c>
      <c r="B560" t="s">
        <v>120</v>
      </c>
      <c r="C560" t="str">
        <f t="shared" si="8"/>
        <v>Asia-Pacific (Investments)</v>
      </c>
      <c r="D560">
        <v>15595</v>
      </c>
      <c r="E560" t="s">
        <v>16</v>
      </c>
    </row>
    <row r="561" spans="1:5" x14ac:dyDescent="0.2">
      <c r="A561" t="s">
        <v>115</v>
      </c>
      <c r="B561" t="s">
        <v>113</v>
      </c>
      <c r="C561" t="str">
        <f t="shared" si="8"/>
        <v>US (Consulting)</v>
      </c>
      <c r="D561">
        <v>65050</v>
      </c>
      <c r="E561" t="s">
        <v>110</v>
      </c>
    </row>
    <row r="562" spans="1:5" x14ac:dyDescent="0.2">
      <c r="A562" t="s">
        <v>114</v>
      </c>
      <c r="B562" t="s">
        <v>119</v>
      </c>
      <c r="C562" t="str">
        <f t="shared" si="8"/>
        <v>Africa (Facilities Management)</v>
      </c>
      <c r="D562">
        <v>23259</v>
      </c>
      <c r="E562" t="s">
        <v>7</v>
      </c>
    </row>
    <row r="563" spans="1:5" x14ac:dyDescent="0.2">
      <c r="A563" t="s">
        <v>114</v>
      </c>
      <c r="B563" t="s">
        <v>120</v>
      </c>
      <c r="C563" t="str">
        <f t="shared" si="8"/>
        <v>Africa (Investments)</v>
      </c>
      <c r="D563">
        <v>51457</v>
      </c>
      <c r="E563" t="s">
        <v>40</v>
      </c>
    </row>
    <row r="564" spans="1:5" x14ac:dyDescent="0.2">
      <c r="A564" t="s">
        <v>117</v>
      </c>
      <c r="B564" t="s">
        <v>113</v>
      </c>
      <c r="C564" t="str">
        <f t="shared" si="8"/>
        <v>Middle-East (Consulting)</v>
      </c>
      <c r="D564">
        <v>70981</v>
      </c>
      <c r="E564" t="s">
        <v>13</v>
      </c>
    </row>
    <row r="565" spans="1:5" x14ac:dyDescent="0.2">
      <c r="A565" t="s">
        <v>117</v>
      </c>
      <c r="B565" t="s">
        <v>119</v>
      </c>
      <c r="C565" t="str">
        <f t="shared" si="8"/>
        <v>Middle-East (Facilities Management)</v>
      </c>
      <c r="D565">
        <v>51198</v>
      </c>
      <c r="E565" t="s">
        <v>41</v>
      </c>
    </row>
    <row r="566" spans="1:5" x14ac:dyDescent="0.2">
      <c r="A566" t="s">
        <v>114</v>
      </c>
      <c r="B566" t="s">
        <v>120</v>
      </c>
      <c r="C566" t="str">
        <f t="shared" si="8"/>
        <v>Africa (Investments)</v>
      </c>
      <c r="D566">
        <v>73889</v>
      </c>
      <c r="E566" t="s">
        <v>5</v>
      </c>
    </row>
    <row r="567" spans="1:5" x14ac:dyDescent="0.2">
      <c r="A567" t="s">
        <v>118</v>
      </c>
      <c r="B567" t="s">
        <v>120</v>
      </c>
      <c r="C567" t="str">
        <f t="shared" si="8"/>
        <v>Asia-Pacific (Investments)</v>
      </c>
      <c r="D567">
        <v>76523</v>
      </c>
      <c r="E567" t="s">
        <v>3</v>
      </c>
    </row>
    <row r="568" spans="1:5" x14ac:dyDescent="0.2">
      <c r="A568" t="s">
        <v>116</v>
      </c>
      <c r="B568" t="s">
        <v>120</v>
      </c>
      <c r="C568" t="str">
        <f t="shared" si="8"/>
        <v>Europe (Investments)</v>
      </c>
      <c r="D568">
        <v>65050</v>
      </c>
      <c r="E568" t="s">
        <v>3</v>
      </c>
    </row>
    <row r="569" spans="1:5" x14ac:dyDescent="0.2">
      <c r="A569" t="s">
        <v>118</v>
      </c>
      <c r="B569" t="s">
        <v>119</v>
      </c>
      <c r="C569" t="str">
        <f t="shared" si="8"/>
        <v>Asia-Pacific (Facilities Management)</v>
      </c>
      <c r="D569">
        <v>26271</v>
      </c>
      <c r="E569" t="s">
        <v>44</v>
      </c>
    </row>
    <row r="570" spans="1:5" x14ac:dyDescent="0.2">
      <c r="A570" t="s">
        <v>118</v>
      </c>
      <c r="B570" t="s">
        <v>120</v>
      </c>
      <c r="C570" t="str">
        <f t="shared" si="8"/>
        <v>Asia-Pacific (Investments)</v>
      </c>
      <c r="D570">
        <v>80154</v>
      </c>
      <c r="E570" t="s">
        <v>21</v>
      </c>
    </row>
    <row r="571" spans="1:5" x14ac:dyDescent="0.2">
      <c r="A571" t="s">
        <v>115</v>
      </c>
      <c r="B571" t="s">
        <v>120</v>
      </c>
      <c r="C571" t="str">
        <f t="shared" si="8"/>
        <v>US (Investments)</v>
      </c>
      <c r="D571">
        <v>63405</v>
      </c>
      <c r="E571" t="s">
        <v>28</v>
      </c>
    </row>
    <row r="572" spans="1:5" x14ac:dyDescent="0.2">
      <c r="A572" t="s">
        <v>116</v>
      </c>
      <c r="B572" t="s">
        <v>120</v>
      </c>
      <c r="C572" t="str">
        <f t="shared" si="8"/>
        <v>Europe (Investments)</v>
      </c>
      <c r="D572">
        <v>53681</v>
      </c>
      <c r="E572" t="s">
        <v>31</v>
      </c>
    </row>
    <row r="573" spans="1:5" x14ac:dyDescent="0.2">
      <c r="A573" t="s">
        <v>115</v>
      </c>
      <c r="B573" t="s">
        <v>120</v>
      </c>
      <c r="C573" t="str">
        <f t="shared" si="8"/>
        <v>US (Investments)</v>
      </c>
      <c r="D573">
        <v>35143</v>
      </c>
      <c r="E573" t="s">
        <v>27</v>
      </c>
    </row>
    <row r="574" spans="1:5" x14ac:dyDescent="0.2">
      <c r="A574" t="s">
        <v>116</v>
      </c>
      <c r="B574" t="s">
        <v>119</v>
      </c>
      <c r="C574" t="str">
        <f t="shared" si="8"/>
        <v>Europe (Facilities Management)</v>
      </c>
      <c r="D574">
        <v>74336</v>
      </c>
      <c r="E574" t="s">
        <v>21</v>
      </c>
    </row>
    <row r="575" spans="1:5" x14ac:dyDescent="0.2">
      <c r="A575" t="s">
        <v>117</v>
      </c>
      <c r="B575" t="s">
        <v>120</v>
      </c>
      <c r="C575" t="str">
        <f t="shared" si="8"/>
        <v>Middle-East (Investments)</v>
      </c>
      <c r="D575">
        <v>87775</v>
      </c>
      <c r="E575" t="s">
        <v>5</v>
      </c>
    </row>
    <row r="576" spans="1:5" x14ac:dyDescent="0.2">
      <c r="A576" t="s">
        <v>117</v>
      </c>
      <c r="B576" t="s">
        <v>119</v>
      </c>
      <c r="C576" t="str">
        <f t="shared" si="8"/>
        <v>Middle-East (Facilities Management)</v>
      </c>
      <c r="D576">
        <v>27528</v>
      </c>
      <c r="E576" t="s">
        <v>15</v>
      </c>
    </row>
    <row r="577" spans="1:5" x14ac:dyDescent="0.2">
      <c r="A577" t="s">
        <v>116</v>
      </c>
      <c r="B577" t="s">
        <v>120</v>
      </c>
      <c r="C577" t="str">
        <f t="shared" si="8"/>
        <v>Europe (Investments)</v>
      </c>
      <c r="D577">
        <v>45792</v>
      </c>
      <c r="E577" t="s">
        <v>110</v>
      </c>
    </row>
    <row r="578" spans="1:5" x14ac:dyDescent="0.2">
      <c r="A578" t="s">
        <v>114</v>
      </c>
      <c r="B578" t="s">
        <v>113</v>
      </c>
      <c r="C578" t="str">
        <f t="shared" si="8"/>
        <v>Africa (Consulting)</v>
      </c>
      <c r="D578">
        <v>72739</v>
      </c>
      <c r="E578" t="s">
        <v>6</v>
      </c>
    </row>
    <row r="579" spans="1:5" x14ac:dyDescent="0.2">
      <c r="A579" t="s">
        <v>116</v>
      </c>
      <c r="B579" t="s">
        <v>113</v>
      </c>
      <c r="C579" t="str">
        <f t="shared" ref="C579:C642" si="9">CONCATENATE(A579, " (", B579, ")")</f>
        <v>Europe (Consulting)</v>
      </c>
      <c r="D579">
        <v>36055</v>
      </c>
      <c r="E579" t="s">
        <v>33</v>
      </c>
    </row>
    <row r="580" spans="1:5" x14ac:dyDescent="0.2">
      <c r="A580" t="s">
        <v>115</v>
      </c>
      <c r="B580" t="s">
        <v>119</v>
      </c>
      <c r="C580" t="str">
        <f t="shared" si="9"/>
        <v>US (Facilities Management)</v>
      </c>
      <c r="D580">
        <v>23259</v>
      </c>
      <c r="E580" t="s">
        <v>35</v>
      </c>
    </row>
    <row r="581" spans="1:5" x14ac:dyDescent="0.2">
      <c r="A581" t="s">
        <v>117</v>
      </c>
      <c r="B581" t="s">
        <v>120</v>
      </c>
      <c r="C581" t="str">
        <f t="shared" si="9"/>
        <v>Middle-East (Investments)</v>
      </c>
      <c r="D581">
        <v>66919</v>
      </c>
      <c r="E581" t="s">
        <v>11</v>
      </c>
    </row>
    <row r="582" spans="1:5" x14ac:dyDescent="0.2">
      <c r="A582" t="s">
        <v>117</v>
      </c>
      <c r="B582" t="s">
        <v>113</v>
      </c>
      <c r="C582" t="str">
        <f t="shared" si="9"/>
        <v>Middle-East (Consulting)</v>
      </c>
      <c r="D582">
        <v>63403</v>
      </c>
      <c r="E582" t="s">
        <v>37</v>
      </c>
    </row>
    <row r="583" spans="1:5" x14ac:dyDescent="0.2">
      <c r="A583" t="s">
        <v>116</v>
      </c>
      <c r="B583" t="s">
        <v>120</v>
      </c>
      <c r="C583" t="str">
        <f t="shared" si="9"/>
        <v>Europe (Investments)</v>
      </c>
      <c r="D583">
        <v>13175</v>
      </c>
      <c r="E583" t="s">
        <v>12</v>
      </c>
    </row>
    <row r="584" spans="1:5" x14ac:dyDescent="0.2">
      <c r="A584" t="s">
        <v>117</v>
      </c>
      <c r="B584" t="s">
        <v>119</v>
      </c>
      <c r="C584" t="str">
        <f t="shared" si="9"/>
        <v>Middle-East (Facilities Management)</v>
      </c>
      <c r="D584">
        <v>51198</v>
      </c>
      <c r="E584" t="s">
        <v>39</v>
      </c>
    </row>
    <row r="585" spans="1:5" x14ac:dyDescent="0.2">
      <c r="A585" t="s">
        <v>115</v>
      </c>
      <c r="B585" t="s">
        <v>113</v>
      </c>
      <c r="C585" t="str">
        <f t="shared" si="9"/>
        <v>US (Consulting)</v>
      </c>
      <c r="D585">
        <v>77825</v>
      </c>
      <c r="E585" t="s">
        <v>34</v>
      </c>
    </row>
    <row r="586" spans="1:5" x14ac:dyDescent="0.2">
      <c r="A586" t="s">
        <v>117</v>
      </c>
      <c r="B586" t="s">
        <v>120</v>
      </c>
      <c r="C586" t="str">
        <f t="shared" si="9"/>
        <v>Middle-East (Investments)</v>
      </c>
      <c r="D586">
        <v>66919</v>
      </c>
      <c r="E586" t="s">
        <v>8</v>
      </c>
    </row>
    <row r="587" spans="1:5" x14ac:dyDescent="0.2">
      <c r="A587" t="s">
        <v>114</v>
      </c>
      <c r="B587" t="s">
        <v>119</v>
      </c>
      <c r="C587" t="str">
        <f t="shared" si="9"/>
        <v>Africa (Facilities Management)</v>
      </c>
      <c r="D587">
        <v>53027</v>
      </c>
      <c r="E587" t="s">
        <v>34</v>
      </c>
    </row>
    <row r="588" spans="1:5" x14ac:dyDescent="0.2">
      <c r="A588" t="s">
        <v>116</v>
      </c>
      <c r="B588" t="s">
        <v>120</v>
      </c>
      <c r="C588" t="str">
        <f t="shared" si="9"/>
        <v>Europe (Investments)</v>
      </c>
      <c r="D588">
        <v>61232</v>
      </c>
      <c r="E588" t="s">
        <v>34</v>
      </c>
    </row>
    <row r="589" spans="1:5" x14ac:dyDescent="0.2">
      <c r="A589" t="s">
        <v>117</v>
      </c>
      <c r="B589" t="s">
        <v>120</v>
      </c>
      <c r="C589" t="str">
        <f t="shared" si="9"/>
        <v>Middle-East (Investments)</v>
      </c>
      <c r="D589">
        <v>46969</v>
      </c>
      <c r="E589" t="s">
        <v>12</v>
      </c>
    </row>
    <row r="590" spans="1:5" x14ac:dyDescent="0.2">
      <c r="A590" t="s">
        <v>118</v>
      </c>
      <c r="B590" t="s">
        <v>119</v>
      </c>
      <c r="C590" t="str">
        <f t="shared" si="9"/>
        <v>Asia-Pacific (Facilities Management)</v>
      </c>
      <c r="D590">
        <v>53789</v>
      </c>
      <c r="E590" t="s">
        <v>19</v>
      </c>
    </row>
    <row r="591" spans="1:5" x14ac:dyDescent="0.2">
      <c r="A591" t="s">
        <v>116</v>
      </c>
      <c r="B591" t="s">
        <v>113</v>
      </c>
      <c r="C591" t="str">
        <f t="shared" si="9"/>
        <v>Europe (Consulting)</v>
      </c>
      <c r="D591">
        <v>47729</v>
      </c>
      <c r="E591" t="s">
        <v>19</v>
      </c>
    </row>
    <row r="592" spans="1:5" x14ac:dyDescent="0.2">
      <c r="A592" t="s">
        <v>114</v>
      </c>
      <c r="B592" t="s">
        <v>119</v>
      </c>
      <c r="C592" t="str">
        <f t="shared" si="9"/>
        <v>Africa (Facilities Management)</v>
      </c>
      <c r="D592">
        <v>50768</v>
      </c>
      <c r="E592" t="s">
        <v>6</v>
      </c>
    </row>
    <row r="593" spans="1:5" x14ac:dyDescent="0.2">
      <c r="A593" t="s">
        <v>117</v>
      </c>
      <c r="B593" t="s">
        <v>119</v>
      </c>
      <c r="C593" t="str">
        <f t="shared" si="9"/>
        <v>Middle-East (Facilities Management)</v>
      </c>
      <c r="D593">
        <v>15777</v>
      </c>
      <c r="E593" t="s">
        <v>47</v>
      </c>
    </row>
    <row r="594" spans="1:5" x14ac:dyDescent="0.2">
      <c r="A594" t="s">
        <v>118</v>
      </c>
      <c r="B594" t="s">
        <v>120</v>
      </c>
      <c r="C594" t="str">
        <f t="shared" si="9"/>
        <v>Asia-Pacific (Investments)</v>
      </c>
      <c r="D594">
        <v>56073</v>
      </c>
      <c r="E594" t="s">
        <v>39</v>
      </c>
    </row>
    <row r="595" spans="1:5" x14ac:dyDescent="0.2">
      <c r="A595" t="s">
        <v>115</v>
      </c>
      <c r="B595" t="s">
        <v>120</v>
      </c>
      <c r="C595" t="str">
        <f t="shared" si="9"/>
        <v>US (Investments)</v>
      </c>
      <c r="D595">
        <v>88813</v>
      </c>
      <c r="E595" t="s">
        <v>10</v>
      </c>
    </row>
    <row r="596" spans="1:5" x14ac:dyDescent="0.2">
      <c r="A596" t="s">
        <v>117</v>
      </c>
      <c r="B596" t="s">
        <v>119</v>
      </c>
      <c r="C596" t="str">
        <f t="shared" si="9"/>
        <v>Middle-East (Facilities Management)</v>
      </c>
      <c r="D596">
        <v>68945</v>
      </c>
      <c r="E596" t="s">
        <v>8</v>
      </c>
    </row>
    <row r="597" spans="1:5" x14ac:dyDescent="0.2">
      <c r="A597" t="s">
        <v>115</v>
      </c>
      <c r="B597" t="s">
        <v>119</v>
      </c>
      <c r="C597" t="str">
        <f t="shared" si="9"/>
        <v>US (Facilities Management)</v>
      </c>
      <c r="D597">
        <v>43342</v>
      </c>
      <c r="E597" t="s">
        <v>9</v>
      </c>
    </row>
    <row r="598" spans="1:5" x14ac:dyDescent="0.2">
      <c r="A598" t="s">
        <v>117</v>
      </c>
      <c r="B598" t="s">
        <v>120</v>
      </c>
      <c r="C598" t="str">
        <f t="shared" si="9"/>
        <v>Middle-East (Investments)</v>
      </c>
      <c r="D598">
        <v>81857</v>
      </c>
      <c r="E598" t="s">
        <v>20</v>
      </c>
    </row>
    <row r="599" spans="1:5" x14ac:dyDescent="0.2">
      <c r="A599" t="s">
        <v>114</v>
      </c>
      <c r="B599" t="s">
        <v>120</v>
      </c>
      <c r="C599" t="str">
        <f t="shared" si="9"/>
        <v>Africa (Investments)</v>
      </c>
      <c r="D599">
        <v>46969</v>
      </c>
      <c r="E599" t="s">
        <v>20</v>
      </c>
    </row>
    <row r="600" spans="1:5" x14ac:dyDescent="0.2">
      <c r="A600" t="s">
        <v>115</v>
      </c>
      <c r="B600" t="s">
        <v>119</v>
      </c>
      <c r="C600" t="str">
        <f t="shared" si="9"/>
        <v>US (Facilities Management)</v>
      </c>
      <c r="D600">
        <v>24014</v>
      </c>
      <c r="E600" t="s">
        <v>16</v>
      </c>
    </row>
    <row r="601" spans="1:5" x14ac:dyDescent="0.2">
      <c r="A601" t="s">
        <v>114</v>
      </c>
      <c r="B601" t="s">
        <v>113</v>
      </c>
      <c r="C601" t="str">
        <f t="shared" si="9"/>
        <v>Africa (Consulting)</v>
      </c>
      <c r="D601">
        <v>81857</v>
      </c>
      <c r="E601" t="s">
        <v>20</v>
      </c>
    </row>
    <row r="602" spans="1:5" x14ac:dyDescent="0.2">
      <c r="A602" t="s">
        <v>117</v>
      </c>
      <c r="B602" t="s">
        <v>120</v>
      </c>
      <c r="C602" t="str">
        <f t="shared" si="9"/>
        <v>Middle-East (Investments)</v>
      </c>
      <c r="D602">
        <v>61551</v>
      </c>
      <c r="E602" t="s">
        <v>35</v>
      </c>
    </row>
    <row r="603" spans="1:5" x14ac:dyDescent="0.2">
      <c r="A603" t="s">
        <v>115</v>
      </c>
      <c r="B603" t="s">
        <v>113</v>
      </c>
      <c r="C603" t="str">
        <f t="shared" si="9"/>
        <v>US (Consulting)</v>
      </c>
      <c r="D603">
        <v>26287</v>
      </c>
      <c r="E603" t="s">
        <v>20</v>
      </c>
    </row>
    <row r="604" spans="1:5" x14ac:dyDescent="0.2">
      <c r="A604" t="s">
        <v>114</v>
      </c>
      <c r="B604" t="s">
        <v>119</v>
      </c>
      <c r="C604" t="str">
        <f t="shared" si="9"/>
        <v>Africa (Facilities Management)</v>
      </c>
      <c r="D604">
        <v>20218</v>
      </c>
      <c r="E604" t="s">
        <v>33</v>
      </c>
    </row>
    <row r="605" spans="1:5" x14ac:dyDescent="0.2">
      <c r="A605" t="s">
        <v>114</v>
      </c>
      <c r="B605" t="s">
        <v>119</v>
      </c>
      <c r="C605" t="str">
        <f t="shared" si="9"/>
        <v>Africa (Facilities Management)</v>
      </c>
      <c r="D605">
        <v>53027</v>
      </c>
      <c r="E605" t="s">
        <v>22</v>
      </c>
    </row>
    <row r="606" spans="1:5" x14ac:dyDescent="0.2">
      <c r="A606" t="s">
        <v>117</v>
      </c>
      <c r="B606" t="s">
        <v>120</v>
      </c>
      <c r="C606" t="str">
        <f t="shared" si="9"/>
        <v>Middle-East (Investments)</v>
      </c>
      <c r="D606">
        <v>17019</v>
      </c>
      <c r="E606" t="s">
        <v>110</v>
      </c>
    </row>
    <row r="607" spans="1:5" x14ac:dyDescent="0.2">
      <c r="A607" t="s">
        <v>117</v>
      </c>
      <c r="B607" t="s">
        <v>120</v>
      </c>
      <c r="C607" t="str">
        <f t="shared" si="9"/>
        <v>Middle-East (Investments)</v>
      </c>
      <c r="D607">
        <v>28128</v>
      </c>
      <c r="E607" t="s">
        <v>110</v>
      </c>
    </row>
    <row r="608" spans="1:5" x14ac:dyDescent="0.2">
      <c r="A608" t="s">
        <v>115</v>
      </c>
      <c r="B608" t="s">
        <v>120</v>
      </c>
      <c r="C608" t="str">
        <f t="shared" si="9"/>
        <v>US (Investments)</v>
      </c>
      <c r="D608">
        <v>23089</v>
      </c>
      <c r="E608" t="s">
        <v>3</v>
      </c>
    </row>
    <row r="609" spans="1:5" x14ac:dyDescent="0.2">
      <c r="A609" t="s">
        <v>117</v>
      </c>
      <c r="B609" t="s">
        <v>120</v>
      </c>
      <c r="C609" t="str">
        <f t="shared" si="9"/>
        <v>Middle-East (Investments)</v>
      </c>
      <c r="D609">
        <v>28128</v>
      </c>
      <c r="E609" t="s">
        <v>16</v>
      </c>
    </row>
    <row r="610" spans="1:5" x14ac:dyDescent="0.2">
      <c r="A610" t="s">
        <v>118</v>
      </c>
      <c r="B610" t="s">
        <v>120</v>
      </c>
      <c r="C610" t="str">
        <f t="shared" si="9"/>
        <v>Asia-Pacific (Investments)</v>
      </c>
      <c r="D610">
        <v>25937</v>
      </c>
      <c r="E610" t="s">
        <v>17</v>
      </c>
    </row>
    <row r="611" spans="1:5" x14ac:dyDescent="0.2">
      <c r="A611" t="s">
        <v>114</v>
      </c>
      <c r="B611" t="s">
        <v>119</v>
      </c>
      <c r="C611" t="str">
        <f t="shared" si="9"/>
        <v>Africa (Facilities Management)</v>
      </c>
      <c r="D611">
        <v>75257</v>
      </c>
      <c r="E611" t="s">
        <v>15</v>
      </c>
    </row>
    <row r="612" spans="1:5" x14ac:dyDescent="0.2">
      <c r="A612" t="s">
        <v>115</v>
      </c>
      <c r="B612" t="s">
        <v>119</v>
      </c>
      <c r="C612" t="str">
        <f t="shared" si="9"/>
        <v>US (Facilities Management)</v>
      </c>
      <c r="D612">
        <v>42461</v>
      </c>
      <c r="E612" t="s">
        <v>6</v>
      </c>
    </row>
    <row r="613" spans="1:5" x14ac:dyDescent="0.2">
      <c r="A613" t="s">
        <v>118</v>
      </c>
      <c r="B613" t="s">
        <v>119</v>
      </c>
      <c r="C613" t="str">
        <f t="shared" si="9"/>
        <v>Asia-Pacific (Facilities Management)</v>
      </c>
      <c r="D613">
        <v>78601</v>
      </c>
      <c r="E613" t="s">
        <v>20</v>
      </c>
    </row>
    <row r="614" spans="1:5" x14ac:dyDescent="0.2">
      <c r="A614" t="s">
        <v>118</v>
      </c>
      <c r="B614" t="s">
        <v>120</v>
      </c>
      <c r="C614" t="str">
        <f t="shared" si="9"/>
        <v>Asia-Pacific (Investments)</v>
      </c>
      <c r="D614">
        <v>77825</v>
      </c>
      <c r="E614" t="s">
        <v>27</v>
      </c>
    </row>
    <row r="615" spans="1:5" x14ac:dyDescent="0.2">
      <c r="A615" t="s">
        <v>115</v>
      </c>
      <c r="B615" t="s">
        <v>120</v>
      </c>
      <c r="C615" t="str">
        <f t="shared" si="9"/>
        <v>US (Investments)</v>
      </c>
      <c r="D615">
        <v>75257</v>
      </c>
      <c r="E615" t="s">
        <v>41</v>
      </c>
    </row>
    <row r="616" spans="1:5" x14ac:dyDescent="0.2">
      <c r="A616" t="s">
        <v>115</v>
      </c>
      <c r="B616" t="s">
        <v>120</v>
      </c>
      <c r="C616" t="str">
        <f t="shared" si="9"/>
        <v>US (Investments)</v>
      </c>
      <c r="D616">
        <v>72919</v>
      </c>
      <c r="E616" t="s">
        <v>22</v>
      </c>
    </row>
    <row r="617" spans="1:5" x14ac:dyDescent="0.2">
      <c r="A617" t="s">
        <v>116</v>
      </c>
      <c r="B617" t="s">
        <v>120</v>
      </c>
      <c r="C617" t="str">
        <f t="shared" si="9"/>
        <v>Europe (Investments)</v>
      </c>
      <c r="D617">
        <v>15285</v>
      </c>
      <c r="E617" t="s">
        <v>22</v>
      </c>
    </row>
    <row r="618" spans="1:5" x14ac:dyDescent="0.2">
      <c r="A618" t="s">
        <v>114</v>
      </c>
      <c r="B618" t="s">
        <v>113</v>
      </c>
      <c r="C618" t="str">
        <f t="shared" si="9"/>
        <v>Africa (Consulting)</v>
      </c>
      <c r="D618">
        <v>10151</v>
      </c>
      <c r="E618" t="s">
        <v>43</v>
      </c>
    </row>
    <row r="619" spans="1:5" x14ac:dyDescent="0.2">
      <c r="A619" t="s">
        <v>118</v>
      </c>
      <c r="B619" t="s">
        <v>113</v>
      </c>
      <c r="C619" t="str">
        <f t="shared" si="9"/>
        <v>Asia-Pacific (Consulting)</v>
      </c>
      <c r="D619">
        <v>26287</v>
      </c>
      <c r="E619" t="s">
        <v>110</v>
      </c>
    </row>
    <row r="620" spans="1:5" x14ac:dyDescent="0.2">
      <c r="A620" t="s">
        <v>118</v>
      </c>
      <c r="B620" t="s">
        <v>120</v>
      </c>
      <c r="C620" t="str">
        <f t="shared" si="9"/>
        <v>Asia-Pacific (Investments)</v>
      </c>
      <c r="D620">
        <v>81857</v>
      </c>
      <c r="E620" t="s">
        <v>19</v>
      </c>
    </row>
    <row r="621" spans="1:5" x14ac:dyDescent="0.2">
      <c r="A621" t="s">
        <v>118</v>
      </c>
      <c r="B621" t="s">
        <v>120</v>
      </c>
      <c r="C621" t="str">
        <f t="shared" si="9"/>
        <v>Asia-Pacific (Investments)</v>
      </c>
      <c r="D621">
        <v>26271</v>
      </c>
      <c r="E621" t="s">
        <v>17</v>
      </c>
    </row>
    <row r="622" spans="1:5" x14ac:dyDescent="0.2">
      <c r="A622" t="s">
        <v>114</v>
      </c>
      <c r="B622" t="s">
        <v>119</v>
      </c>
      <c r="C622" t="str">
        <f t="shared" si="9"/>
        <v>Africa (Facilities Management)</v>
      </c>
      <c r="D622">
        <v>79177</v>
      </c>
      <c r="E622" t="s">
        <v>17</v>
      </c>
    </row>
    <row r="623" spans="1:5" x14ac:dyDescent="0.2">
      <c r="A623" t="s">
        <v>118</v>
      </c>
      <c r="B623" t="s">
        <v>120</v>
      </c>
      <c r="C623" t="str">
        <f t="shared" si="9"/>
        <v>Asia-Pacific (Investments)</v>
      </c>
      <c r="D623">
        <v>77825</v>
      </c>
      <c r="E623" t="s">
        <v>14</v>
      </c>
    </row>
    <row r="624" spans="1:5" x14ac:dyDescent="0.2">
      <c r="A624" t="s">
        <v>117</v>
      </c>
      <c r="B624" t="s">
        <v>119</v>
      </c>
      <c r="C624" t="str">
        <f t="shared" si="9"/>
        <v>Middle-East (Facilities Management)</v>
      </c>
      <c r="D624">
        <v>79089</v>
      </c>
      <c r="E624" t="s">
        <v>13</v>
      </c>
    </row>
    <row r="625" spans="1:5" x14ac:dyDescent="0.2">
      <c r="A625" t="s">
        <v>118</v>
      </c>
      <c r="B625" t="s">
        <v>113</v>
      </c>
      <c r="C625" t="str">
        <f t="shared" si="9"/>
        <v>Asia-Pacific (Consulting)</v>
      </c>
      <c r="D625">
        <v>82602</v>
      </c>
      <c r="E625" t="s">
        <v>8</v>
      </c>
    </row>
    <row r="626" spans="1:5" x14ac:dyDescent="0.2">
      <c r="A626" t="s">
        <v>118</v>
      </c>
      <c r="B626" t="s">
        <v>120</v>
      </c>
      <c r="C626" t="str">
        <f t="shared" si="9"/>
        <v>Asia-Pacific (Investments)</v>
      </c>
      <c r="D626">
        <v>30310</v>
      </c>
      <c r="E626" t="s">
        <v>44</v>
      </c>
    </row>
    <row r="627" spans="1:5" x14ac:dyDescent="0.2">
      <c r="A627" t="s">
        <v>114</v>
      </c>
      <c r="B627" t="s">
        <v>113</v>
      </c>
      <c r="C627" t="str">
        <f t="shared" si="9"/>
        <v>Africa (Consulting)</v>
      </c>
      <c r="D627">
        <v>79863</v>
      </c>
      <c r="E627" t="s">
        <v>19</v>
      </c>
    </row>
    <row r="628" spans="1:5" x14ac:dyDescent="0.2">
      <c r="A628" t="s">
        <v>114</v>
      </c>
      <c r="B628" t="s">
        <v>119</v>
      </c>
      <c r="C628" t="str">
        <f t="shared" si="9"/>
        <v>Africa (Facilities Management)</v>
      </c>
      <c r="D628">
        <v>24905</v>
      </c>
      <c r="E628" t="s">
        <v>14</v>
      </c>
    </row>
    <row r="629" spans="1:5" x14ac:dyDescent="0.2">
      <c r="A629" t="s">
        <v>114</v>
      </c>
      <c r="B629" t="s">
        <v>119</v>
      </c>
      <c r="C629" t="str">
        <f t="shared" si="9"/>
        <v>Africa (Facilities Management)</v>
      </c>
      <c r="D629">
        <v>20218</v>
      </c>
      <c r="E629" t="s">
        <v>11</v>
      </c>
    </row>
    <row r="630" spans="1:5" x14ac:dyDescent="0.2">
      <c r="A630" t="s">
        <v>117</v>
      </c>
      <c r="B630" t="s">
        <v>119</v>
      </c>
      <c r="C630" t="str">
        <f t="shared" si="9"/>
        <v>Middle-East (Facilities Management)</v>
      </c>
      <c r="D630">
        <v>50410</v>
      </c>
      <c r="E630" t="s">
        <v>41</v>
      </c>
    </row>
    <row r="631" spans="1:5" x14ac:dyDescent="0.2">
      <c r="A631" t="s">
        <v>116</v>
      </c>
      <c r="B631" t="s">
        <v>120</v>
      </c>
      <c r="C631" t="str">
        <f t="shared" si="9"/>
        <v>Europe (Investments)</v>
      </c>
      <c r="D631">
        <v>15285</v>
      </c>
      <c r="E631" t="s">
        <v>14</v>
      </c>
    </row>
    <row r="632" spans="1:5" x14ac:dyDescent="0.2">
      <c r="A632" t="s">
        <v>114</v>
      </c>
      <c r="B632" t="s">
        <v>113</v>
      </c>
      <c r="C632" t="str">
        <f t="shared" si="9"/>
        <v>Africa (Consulting)</v>
      </c>
      <c r="D632">
        <v>42461</v>
      </c>
      <c r="E632" t="s">
        <v>17</v>
      </c>
    </row>
    <row r="633" spans="1:5" x14ac:dyDescent="0.2">
      <c r="A633" t="s">
        <v>116</v>
      </c>
      <c r="B633" t="s">
        <v>113</v>
      </c>
      <c r="C633" t="str">
        <f t="shared" si="9"/>
        <v>Europe (Consulting)</v>
      </c>
      <c r="D633">
        <v>67561</v>
      </c>
      <c r="E633" t="s">
        <v>4</v>
      </c>
    </row>
    <row r="634" spans="1:5" x14ac:dyDescent="0.2">
      <c r="A634" t="s">
        <v>115</v>
      </c>
      <c r="B634" t="s">
        <v>113</v>
      </c>
      <c r="C634" t="str">
        <f t="shared" si="9"/>
        <v>US (Consulting)</v>
      </c>
      <c r="D634">
        <v>86385</v>
      </c>
      <c r="E634" t="s">
        <v>47</v>
      </c>
    </row>
    <row r="635" spans="1:5" x14ac:dyDescent="0.2">
      <c r="A635" t="s">
        <v>117</v>
      </c>
      <c r="B635" t="s">
        <v>119</v>
      </c>
      <c r="C635" t="str">
        <f t="shared" si="9"/>
        <v>Middle-East (Facilities Management)</v>
      </c>
      <c r="D635">
        <v>79089</v>
      </c>
      <c r="E635" t="s">
        <v>26</v>
      </c>
    </row>
    <row r="636" spans="1:5" x14ac:dyDescent="0.2">
      <c r="A636" t="s">
        <v>118</v>
      </c>
      <c r="B636" t="s">
        <v>113</v>
      </c>
      <c r="C636" t="str">
        <f t="shared" si="9"/>
        <v>Asia-Pacific (Consulting)</v>
      </c>
      <c r="D636">
        <v>37424</v>
      </c>
      <c r="E636" t="s">
        <v>32</v>
      </c>
    </row>
    <row r="637" spans="1:5" x14ac:dyDescent="0.2">
      <c r="A637" t="s">
        <v>115</v>
      </c>
      <c r="B637" t="s">
        <v>113</v>
      </c>
      <c r="C637" t="str">
        <f t="shared" si="9"/>
        <v>US (Consulting)</v>
      </c>
      <c r="D637">
        <v>86385</v>
      </c>
      <c r="E637" t="s">
        <v>3</v>
      </c>
    </row>
    <row r="638" spans="1:5" x14ac:dyDescent="0.2">
      <c r="A638" t="s">
        <v>115</v>
      </c>
      <c r="B638" t="s">
        <v>113</v>
      </c>
      <c r="C638" t="str">
        <f t="shared" si="9"/>
        <v>US (Consulting)</v>
      </c>
      <c r="D638">
        <v>86095</v>
      </c>
      <c r="E638" t="s">
        <v>20</v>
      </c>
    </row>
    <row r="639" spans="1:5" x14ac:dyDescent="0.2">
      <c r="A639" t="s">
        <v>115</v>
      </c>
      <c r="B639" t="s">
        <v>120</v>
      </c>
      <c r="C639" t="str">
        <f t="shared" si="9"/>
        <v>US (Investments)</v>
      </c>
      <c r="D639">
        <v>37424</v>
      </c>
      <c r="E639" t="s">
        <v>9</v>
      </c>
    </row>
    <row r="640" spans="1:5" x14ac:dyDescent="0.2">
      <c r="A640" t="s">
        <v>115</v>
      </c>
      <c r="B640" t="s">
        <v>119</v>
      </c>
      <c r="C640" t="str">
        <f t="shared" si="9"/>
        <v>US (Facilities Management)</v>
      </c>
      <c r="D640">
        <v>15285</v>
      </c>
      <c r="E640" t="s">
        <v>29</v>
      </c>
    </row>
    <row r="641" spans="1:5" x14ac:dyDescent="0.2">
      <c r="A641" t="s">
        <v>116</v>
      </c>
      <c r="B641" t="s">
        <v>119</v>
      </c>
      <c r="C641" t="str">
        <f t="shared" si="9"/>
        <v>Europe (Facilities Management)</v>
      </c>
      <c r="D641">
        <v>13175</v>
      </c>
      <c r="E641" t="s">
        <v>42</v>
      </c>
    </row>
    <row r="642" spans="1:5" x14ac:dyDescent="0.2">
      <c r="A642" t="s">
        <v>116</v>
      </c>
      <c r="B642" t="s">
        <v>113</v>
      </c>
      <c r="C642" t="str">
        <f t="shared" si="9"/>
        <v>Europe (Consulting)</v>
      </c>
      <c r="D642">
        <v>81857</v>
      </c>
      <c r="E642" t="s">
        <v>15</v>
      </c>
    </row>
    <row r="643" spans="1:5" x14ac:dyDescent="0.2">
      <c r="A643" t="s">
        <v>114</v>
      </c>
      <c r="B643" t="s">
        <v>113</v>
      </c>
      <c r="C643" t="str">
        <f t="shared" ref="C643:C706" si="10">CONCATENATE(A643, " (", B643, ")")</f>
        <v>Africa (Consulting)</v>
      </c>
      <c r="D643">
        <v>53027</v>
      </c>
      <c r="E643" t="s">
        <v>24</v>
      </c>
    </row>
    <row r="644" spans="1:5" x14ac:dyDescent="0.2">
      <c r="A644" t="s">
        <v>117</v>
      </c>
      <c r="B644" t="s">
        <v>120</v>
      </c>
      <c r="C644" t="str">
        <f t="shared" si="10"/>
        <v>Middle-East (Investments)</v>
      </c>
      <c r="D644">
        <v>28128</v>
      </c>
      <c r="E644" t="s">
        <v>42</v>
      </c>
    </row>
    <row r="645" spans="1:5" x14ac:dyDescent="0.2">
      <c r="A645" t="s">
        <v>118</v>
      </c>
      <c r="B645" t="s">
        <v>120</v>
      </c>
      <c r="C645" t="str">
        <f t="shared" si="10"/>
        <v>Asia-Pacific (Investments)</v>
      </c>
      <c r="D645">
        <v>24905</v>
      </c>
      <c r="E645" t="s">
        <v>9</v>
      </c>
    </row>
    <row r="646" spans="1:5" x14ac:dyDescent="0.2">
      <c r="A646" t="s">
        <v>116</v>
      </c>
      <c r="B646" t="s">
        <v>120</v>
      </c>
      <c r="C646" t="str">
        <f t="shared" si="10"/>
        <v>Europe (Investments)</v>
      </c>
      <c r="D646">
        <v>68945</v>
      </c>
      <c r="E646" t="s">
        <v>41</v>
      </c>
    </row>
    <row r="647" spans="1:5" x14ac:dyDescent="0.2">
      <c r="A647" t="s">
        <v>117</v>
      </c>
      <c r="B647" t="s">
        <v>120</v>
      </c>
      <c r="C647" t="str">
        <f t="shared" si="10"/>
        <v>Middle-East (Investments)</v>
      </c>
      <c r="D647">
        <v>28128</v>
      </c>
      <c r="E647" t="s">
        <v>6</v>
      </c>
    </row>
    <row r="648" spans="1:5" x14ac:dyDescent="0.2">
      <c r="A648" t="s">
        <v>118</v>
      </c>
      <c r="B648" t="s">
        <v>119</v>
      </c>
      <c r="C648" t="str">
        <f t="shared" si="10"/>
        <v>Asia-Pacific (Facilities Management)</v>
      </c>
      <c r="D648">
        <v>46638</v>
      </c>
      <c r="E648" t="s">
        <v>13</v>
      </c>
    </row>
    <row r="649" spans="1:5" x14ac:dyDescent="0.2">
      <c r="A649" t="s">
        <v>116</v>
      </c>
      <c r="B649" t="s">
        <v>119</v>
      </c>
      <c r="C649" t="str">
        <f t="shared" si="10"/>
        <v>Europe (Facilities Management)</v>
      </c>
      <c r="D649">
        <v>13175</v>
      </c>
      <c r="E649" t="s">
        <v>32</v>
      </c>
    </row>
    <row r="650" spans="1:5" x14ac:dyDescent="0.2">
      <c r="A650" t="s">
        <v>115</v>
      </c>
      <c r="B650" t="s">
        <v>113</v>
      </c>
      <c r="C650" t="str">
        <f t="shared" si="10"/>
        <v>US (Consulting)</v>
      </c>
      <c r="D650">
        <v>24003</v>
      </c>
      <c r="E650" t="s">
        <v>8</v>
      </c>
    </row>
    <row r="651" spans="1:5" x14ac:dyDescent="0.2">
      <c r="A651" t="s">
        <v>114</v>
      </c>
      <c r="B651" t="s">
        <v>119</v>
      </c>
      <c r="C651" t="str">
        <f t="shared" si="10"/>
        <v>Africa (Facilities Management)</v>
      </c>
      <c r="D651">
        <v>20218</v>
      </c>
      <c r="E651" t="s">
        <v>29</v>
      </c>
    </row>
    <row r="652" spans="1:5" x14ac:dyDescent="0.2">
      <c r="A652" t="s">
        <v>118</v>
      </c>
      <c r="B652" t="s">
        <v>113</v>
      </c>
      <c r="C652" t="str">
        <f t="shared" si="10"/>
        <v>Asia-Pacific (Consulting)</v>
      </c>
      <c r="D652">
        <v>51198</v>
      </c>
      <c r="E652" t="s">
        <v>29</v>
      </c>
    </row>
    <row r="653" spans="1:5" x14ac:dyDescent="0.2">
      <c r="A653" t="s">
        <v>117</v>
      </c>
      <c r="B653" t="s">
        <v>120</v>
      </c>
      <c r="C653" t="str">
        <f t="shared" si="10"/>
        <v>Middle-East (Investments)</v>
      </c>
      <c r="D653">
        <v>61232</v>
      </c>
      <c r="E653" t="s">
        <v>4</v>
      </c>
    </row>
    <row r="654" spans="1:5" x14ac:dyDescent="0.2">
      <c r="A654" t="s">
        <v>117</v>
      </c>
      <c r="B654" t="s">
        <v>119</v>
      </c>
      <c r="C654" t="str">
        <f t="shared" si="10"/>
        <v>Middle-East (Facilities Management)</v>
      </c>
      <c r="D654">
        <v>78601</v>
      </c>
      <c r="E654" t="s">
        <v>28</v>
      </c>
    </row>
    <row r="655" spans="1:5" x14ac:dyDescent="0.2">
      <c r="A655" t="s">
        <v>115</v>
      </c>
      <c r="B655" t="s">
        <v>119</v>
      </c>
      <c r="C655" t="str">
        <f t="shared" si="10"/>
        <v>US (Facilities Management)</v>
      </c>
      <c r="D655">
        <v>66919</v>
      </c>
      <c r="E655" t="s">
        <v>42</v>
      </c>
    </row>
    <row r="656" spans="1:5" x14ac:dyDescent="0.2">
      <c r="A656" t="s">
        <v>118</v>
      </c>
      <c r="B656" t="s">
        <v>113</v>
      </c>
      <c r="C656" t="str">
        <f t="shared" si="10"/>
        <v>Asia-Pacific (Consulting)</v>
      </c>
      <c r="D656">
        <v>24003</v>
      </c>
      <c r="E656" t="s">
        <v>39</v>
      </c>
    </row>
    <row r="657" spans="1:5" x14ac:dyDescent="0.2">
      <c r="A657" t="s">
        <v>117</v>
      </c>
      <c r="B657" t="s">
        <v>113</v>
      </c>
      <c r="C657" t="str">
        <f t="shared" si="10"/>
        <v>Middle-East (Consulting)</v>
      </c>
      <c r="D657">
        <v>89486</v>
      </c>
      <c r="E657" t="s">
        <v>110</v>
      </c>
    </row>
    <row r="658" spans="1:5" x14ac:dyDescent="0.2">
      <c r="A658" t="s">
        <v>118</v>
      </c>
      <c r="B658" t="s">
        <v>113</v>
      </c>
      <c r="C658" t="str">
        <f t="shared" si="10"/>
        <v>Asia-Pacific (Consulting)</v>
      </c>
      <c r="D658">
        <v>24003</v>
      </c>
      <c r="E658" t="s">
        <v>17</v>
      </c>
    </row>
    <row r="659" spans="1:5" x14ac:dyDescent="0.2">
      <c r="A659" t="s">
        <v>118</v>
      </c>
      <c r="B659" t="s">
        <v>120</v>
      </c>
      <c r="C659" t="str">
        <f t="shared" si="10"/>
        <v>Asia-Pacific (Investments)</v>
      </c>
      <c r="D659">
        <v>30310</v>
      </c>
      <c r="E659" t="s">
        <v>34</v>
      </c>
    </row>
    <row r="660" spans="1:5" x14ac:dyDescent="0.2">
      <c r="A660" t="s">
        <v>115</v>
      </c>
      <c r="B660" t="s">
        <v>120</v>
      </c>
      <c r="C660" t="str">
        <f t="shared" si="10"/>
        <v>US (Investments)</v>
      </c>
      <c r="D660">
        <v>64705</v>
      </c>
      <c r="E660" t="s">
        <v>14</v>
      </c>
    </row>
    <row r="661" spans="1:5" x14ac:dyDescent="0.2">
      <c r="A661" t="s">
        <v>117</v>
      </c>
      <c r="B661" t="s">
        <v>113</v>
      </c>
      <c r="C661" t="str">
        <f t="shared" si="10"/>
        <v>Middle-East (Consulting)</v>
      </c>
      <c r="D661">
        <v>42461</v>
      </c>
      <c r="E661" t="s">
        <v>5</v>
      </c>
    </row>
    <row r="662" spans="1:5" x14ac:dyDescent="0.2">
      <c r="A662" t="s">
        <v>114</v>
      </c>
      <c r="B662" t="s">
        <v>120</v>
      </c>
      <c r="C662" t="str">
        <f t="shared" si="10"/>
        <v>Africa (Investments)</v>
      </c>
      <c r="D662">
        <v>24905</v>
      </c>
      <c r="E662" t="s">
        <v>7</v>
      </c>
    </row>
    <row r="663" spans="1:5" x14ac:dyDescent="0.2">
      <c r="A663" t="s">
        <v>118</v>
      </c>
      <c r="B663" t="s">
        <v>113</v>
      </c>
      <c r="C663" t="str">
        <f t="shared" si="10"/>
        <v>Asia-Pacific (Consulting)</v>
      </c>
      <c r="D663">
        <v>46187</v>
      </c>
      <c r="E663" t="s">
        <v>39</v>
      </c>
    </row>
    <row r="664" spans="1:5" x14ac:dyDescent="0.2">
      <c r="A664" t="s">
        <v>116</v>
      </c>
      <c r="B664" t="s">
        <v>113</v>
      </c>
      <c r="C664" t="str">
        <f t="shared" si="10"/>
        <v>Europe (Consulting)</v>
      </c>
      <c r="D664">
        <v>67561</v>
      </c>
      <c r="E664" t="s">
        <v>16</v>
      </c>
    </row>
    <row r="665" spans="1:5" x14ac:dyDescent="0.2">
      <c r="A665" t="s">
        <v>116</v>
      </c>
      <c r="B665" t="s">
        <v>113</v>
      </c>
      <c r="C665" t="str">
        <f t="shared" si="10"/>
        <v>Europe (Consulting)</v>
      </c>
      <c r="D665">
        <v>35415</v>
      </c>
      <c r="E665" t="s">
        <v>26</v>
      </c>
    </row>
    <row r="666" spans="1:5" x14ac:dyDescent="0.2">
      <c r="A666" t="s">
        <v>117</v>
      </c>
      <c r="B666" t="s">
        <v>120</v>
      </c>
      <c r="C666" t="str">
        <f t="shared" si="10"/>
        <v>Middle-East (Investments)</v>
      </c>
      <c r="D666">
        <v>36768</v>
      </c>
      <c r="E666" t="s">
        <v>42</v>
      </c>
    </row>
    <row r="667" spans="1:5" x14ac:dyDescent="0.2">
      <c r="A667" t="s">
        <v>115</v>
      </c>
      <c r="B667" t="s">
        <v>120</v>
      </c>
      <c r="C667" t="str">
        <f t="shared" si="10"/>
        <v>US (Investments)</v>
      </c>
      <c r="D667">
        <v>88813</v>
      </c>
      <c r="E667" t="s">
        <v>28</v>
      </c>
    </row>
    <row r="668" spans="1:5" x14ac:dyDescent="0.2">
      <c r="A668" t="s">
        <v>116</v>
      </c>
      <c r="B668" t="s">
        <v>113</v>
      </c>
      <c r="C668" t="str">
        <f t="shared" si="10"/>
        <v>Europe (Consulting)</v>
      </c>
      <c r="D668">
        <v>63220</v>
      </c>
      <c r="E668" t="s">
        <v>110</v>
      </c>
    </row>
    <row r="669" spans="1:5" x14ac:dyDescent="0.2">
      <c r="A669" t="s">
        <v>114</v>
      </c>
      <c r="B669" t="s">
        <v>113</v>
      </c>
      <c r="C669" t="str">
        <f t="shared" si="10"/>
        <v>Africa (Consulting)</v>
      </c>
      <c r="D669">
        <v>81857</v>
      </c>
      <c r="E669" t="s">
        <v>26</v>
      </c>
    </row>
    <row r="670" spans="1:5" x14ac:dyDescent="0.2">
      <c r="A670" t="s">
        <v>114</v>
      </c>
      <c r="B670" t="s">
        <v>113</v>
      </c>
      <c r="C670" t="str">
        <f t="shared" si="10"/>
        <v>Africa (Consulting)</v>
      </c>
      <c r="D670">
        <v>11546</v>
      </c>
      <c r="E670" t="s">
        <v>21</v>
      </c>
    </row>
    <row r="671" spans="1:5" x14ac:dyDescent="0.2">
      <c r="A671" t="s">
        <v>115</v>
      </c>
      <c r="B671" t="s">
        <v>120</v>
      </c>
      <c r="C671" t="str">
        <f t="shared" si="10"/>
        <v>US (Investments)</v>
      </c>
      <c r="D671">
        <v>56073</v>
      </c>
      <c r="E671" t="s">
        <v>33</v>
      </c>
    </row>
    <row r="672" spans="1:5" x14ac:dyDescent="0.2">
      <c r="A672" t="s">
        <v>114</v>
      </c>
      <c r="B672" t="s">
        <v>119</v>
      </c>
      <c r="C672" t="str">
        <f t="shared" si="10"/>
        <v>Africa (Facilities Management)</v>
      </c>
      <c r="D672">
        <v>82313</v>
      </c>
      <c r="E672" t="s">
        <v>24</v>
      </c>
    </row>
    <row r="673" spans="1:5" x14ac:dyDescent="0.2">
      <c r="A673" t="s">
        <v>117</v>
      </c>
      <c r="B673" t="s">
        <v>113</v>
      </c>
      <c r="C673" t="str">
        <f t="shared" si="10"/>
        <v>Middle-East (Consulting)</v>
      </c>
      <c r="D673">
        <v>49282</v>
      </c>
      <c r="E673" t="s">
        <v>17</v>
      </c>
    </row>
    <row r="674" spans="1:5" x14ac:dyDescent="0.2">
      <c r="A674" t="s">
        <v>115</v>
      </c>
      <c r="B674" t="s">
        <v>120</v>
      </c>
      <c r="C674" t="str">
        <f t="shared" si="10"/>
        <v>US (Investments)</v>
      </c>
      <c r="D674">
        <v>65050</v>
      </c>
      <c r="E674" t="s">
        <v>43</v>
      </c>
    </row>
    <row r="675" spans="1:5" x14ac:dyDescent="0.2">
      <c r="A675" t="s">
        <v>116</v>
      </c>
      <c r="B675" t="s">
        <v>113</v>
      </c>
      <c r="C675" t="str">
        <f t="shared" si="10"/>
        <v>Europe (Consulting)</v>
      </c>
      <c r="D675">
        <v>72739</v>
      </c>
      <c r="E675" t="s">
        <v>25</v>
      </c>
    </row>
    <row r="676" spans="1:5" x14ac:dyDescent="0.2">
      <c r="A676" t="s">
        <v>116</v>
      </c>
      <c r="B676" t="s">
        <v>113</v>
      </c>
      <c r="C676" t="str">
        <f t="shared" si="10"/>
        <v>Europe (Consulting)</v>
      </c>
      <c r="D676">
        <v>47729</v>
      </c>
      <c r="E676" t="s">
        <v>35</v>
      </c>
    </row>
    <row r="677" spans="1:5" x14ac:dyDescent="0.2">
      <c r="A677" t="s">
        <v>115</v>
      </c>
      <c r="B677" t="s">
        <v>119</v>
      </c>
      <c r="C677" t="str">
        <f t="shared" si="10"/>
        <v>US (Facilities Management)</v>
      </c>
      <c r="D677">
        <v>23259</v>
      </c>
      <c r="E677" t="s">
        <v>11</v>
      </c>
    </row>
    <row r="678" spans="1:5" x14ac:dyDescent="0.2">
      <c r="A678" t="s">
        <v>118</v>
      </c>
      <c r="B678" t="s">
        <v>113</v>
      </c>
      <c r="C678" t="str">
        <f t="shared" si="10"/>
        <v>Asia-Pacific (Consulting)</v>
      </c>
      <c r="D678">
        <v>63405</v>
      </c>
      <c r="E678" t="s">
        <v>40</v>
      </c>
    </row>
    <row r="679" spans="1:5" x14ac:dyDescent="0.2">
      <c r="A679" t="s">
        <v>116</v>
      </c>
      <c r="B679" t="s">
        <v>119</v>
      </c>
      <c r="C679" t="str">
        <f t="shared" si="10"/>
        <v>Europe (Facilities Management)</v>
      </c>
      <c r="D679">
        <v>53789</v>
      </c>
      <c r="E679" t="s">
        <v>16</v>
      </c>
    </row>
    <row r="680" spans="1:5" x14ac:dyDescent="0.2">
      <c r="A680" t="s">
        <v>115</v>
      </c>
      <c r="B680" t="s">
        <v>119</v>
      </c>
      <c r="C680" t="str">
        <f t="shared" si="10"/>
        <v>US (Facilities Management)</v>
      </c>
      <c r="D680">
        <v>69407</v>
      </c>
      <c r="E680" t="s">
        <v>4</v>
      </c>
    </row>
    <row r="681" spans="1:5" x14ac:dyDescent="0.2">
      <c r="A681" t="s">
        <v>116</v>
      </c>
      <c r="B681" t="s">
        <v>120</v>
      </c>
      <c r="C681" t="str">
        <f t="shared" si="10"/>
        <v>Europe (Investments)</v>
      </c>
      <c r="D681">
        <v>70981</v>
      </c>
      <c r="E681" t="s">
        <v>28</v>
      </c>
    </row>
    <row r="682" spans="1:5" x14ac:dyDescent="0.2">
      <c r="A682" t="s">
        <v>114</v>
      </c>
      <c r="B682" t="s">
        <v>120</v>
      </c>
      <c r="C682" t="str">
        <f t="shared" si="10"/>
        <v>Africa (Investments)</v>
      </c>
      <c r="D682">
        <v>51457</v>
      </c>
      <c r="E682" t="s">
        <v>33</v>
      </c>
    </row>
    <row r="683" spans="1:5" x14ac:dyDescent="0.2">
      <c r="A683" t="s">
        <v>114</v>
      </c>
      <c r="B683" t="s">
        <v>120</v>
      </c>
      <c r="C683" t="str">
        <f t="shared" si="10"/>
        <v>Africa (Investments)</v>
      </c>
      <c r="D683">
        <v>79177</v>
      </c>
      <c r="E683" t="s">
        <v>9</v>
      </c>
    </row>
    <row r="684" spans="1:5" x14ac:dyDescent="0.2">
      <c r="A684" t="s">
        <v>114</v>
      </c>
      <c r="B684" t="s">
        <v>120</v>
      </c>
      <c r="C684" t="str">
        <f t="shared" si="10"/>
        <v>Africa (Investments)</v>
      </c>
      <c r="D684">
        <v>75884</v>
      </c>
      <c r="E684" t="s">
        <v>26</v>
      </c>
    </row>
    <row r="685" spans="1:5" x14ac:dyDescent="0.2">
      <c r="A685" t="s">
        <v>116</v>
      </c>
      <c r="B685" t="s">
        <v>113</v>
      </c>
      <c r="C685" t="str">
        <f t="shared" si="10"/>
        <v>Europe (Consulting)</v>
      </c>
      <c r="D685">
        <v>32784</v>
      </c>
      <c r="E685" t="s">
        <v>22</v>
      </c>
    </row>
    <row r="686" spans="1:5" x14ac:dyDescent="0.2">
      <c r="A686" t="s">
        <v>118</v>
      </c>
      <c r="B686" t="s">
        <v>113</v>
      </c>
      <c r="C686" t="str">
        <f t="shared" si="10"/>
        <v>Asia-Pacific (Consulting)</v>
      </c>
      <c r="D686">
        <v>50240</v>
      </c>
      <c r="E686" t="s">
        <v>36</v>
      </c>
    </row>
    <row r="687" spans="1:5" x14ac:dyDescent="0.2">
      <c r="A687" t="s">
        <v>115</v>
      </c>
      <c r="B687" t="s">
        <v>113</v>
      </c>
      <c r="C687" t="str">
        <f t="shared" si="10"/>
        <v>US (Consulting)</v>
      </c>
      <c r="D687">
        <v>17845</v>
      </c>
      <c r="E687" t="s">
        <v>14</v>
      </c>
    </row>
    <row r="688" spans="1:5" x14ac:dyDescent="0.2">
      <c r="A688" t="s">
        <v>115</v>
      </c>
      <c r="B688" t="s">
        <v>119</v>
      </c>
      <c r="C688" t="str">
        <f t="shared" si="10"/>
        <v>US (Facilities Management)</v>
      </c>
      <c r="D688">
        <v>24014</v>
      </c>
      <c r="E688" t="s">
        <v>31</v>
      </c>
    </row>
    <row r="689" spans="1:5" x14ac:dyDescent="0.2">
      <c r="A689" t="s">
        <v>114</v>
      </c>
      <c r="B689" t="s">
        <v>120</v>
      </c>
      <c r="C689" t="str">
        <f t="shared" si="10"/>
        <v>Africa (Investments)</v>
      </c>
      <c r="D689">
        <v>51457</v>
      </c>
      <c r="E689" t="s">
        <v>36</v>
      </c>
    </row>
    <row r="690" spans="1:5" x14ac:dyDescent="0.2">
      <c r="A690" t="s">
        <v>118</v>
      </c>
      <c r="B690" t="s">
        <v>119</v>
      </c>
      <c r="C690" t="str">
        <f t="shared" si="10"/>
        <v>Asia-Pacific (Facilities Management)</v>
      </c>
      <c r="D690">
        <v>53789</v>
      </c>
      <c r="E690" t="s">
        <v>8</v>
      </c>
    </row>
    <row r="691" spans="1:5" x14ac:dyDescent="0.2">
      <c r="A691" t="s">
        <v>114</v>
      </c>
      <c r="B691" t="s">
        <v>120</v>
      </c>
      <c r="C691" t="str">
        <f t="shared" si="10"/>
        <v>Africa (Investments)</v>
      </c>
      <c r="D691">
        <v>73889</v>
      </c>
      <c r="E691" t="s">
        <v>17</v>
      </c>
    </row>
    <row r="692" spans="1:5" x14ac:dyDescent="0.2">
      <c r="A692" t="s">
        <v>115</v>
      </c>
      <c r="B692" t="s">
        <v>119</v>
      </c>
      <c r="C692" t="str">
        <f t="shared" si="10"/>
        <v>US (Facilities Management)</v>
      </c>
      <c r="D692">
        <v>64705</v>
      </c>
      <c r="E692" t="s">
        <v>11</v>
      </c>
    </row>
    <row r="693" spans="1:5" x14ac:dyDescent="0.2">
      <c r="A693" t="s">
        <v>115</v>
      </c>
      <c r="B693" t="s">
        <v>120</v>
      </c>
      <c r="C693" t="str">
        <f t="shared" si="10"/>
        <v>US (Investments)</v>
      </c>
      <c r="D693">
        <v>78398</v>
      </c>
      <c r="E693" t="s">
        <v>21</v>
      </c>
    </row>
    <row r="694" spans="1:5" x14ac:dyDescent="0.2">
      <c r="A694" t="s">
        <v>117</v>
      </c>
      <c r="B694" t="s">
        <v>119</v>
      </c>
      <c r="C694" t="str">
        <f t="shared" si="10"/>
        <v>Middle-East (Facilities Management)</v>
      </c>
      <c r="D694">
        <v>14275</v>
      </c>
      <c r="E694" t="s">
        <v>14</v>
      </c>
    </row>
    <row r="695" spans="1:5" x14ac:dyDescent="0.2">
      <c r="A695" t="s">
        <v>115</v>
      </c>
      <c r="B695" t="s">
        <v>120</v>
      </c>
      <c r="C695" t="str">
        <f t="shared" si="10"/>
        <v>US (Investments)</v>
      </c>
      <c r="D695">
        <v>35207</v>
      </c>
      <c r="E695" t="s">
        <v>110</v>
      </c>
    </row>
    <row r="696" spans="1:5" x14ac:dyDescent="0.2">
      <c r="A696" t="s">
        <v>116</v>
      </c>
      <c r="B696" t="s">
        <v>113</v>
      </c>
      <c r="C696" t="str">
        <f t="shared" si="10"/>
        <v>Europe (Consulting)</v>
      </c>
      <c r="D696">
        <v>53681</v>
      </c>
      <c r="E696" t="s">
        <v>32</v>
      </c>
    </row>
    <row r="697" spans="1:5" x14ac:dyDescent="0.2">
      <c r="A697" t="s">
        <v>115</v>
      </c>
      <c r="B697" t="s">
        <v>119</v>
      </c>
      <c r="C697" t="str">
        <f t="shared" si="10"/>
        <v>US (Facilities Management)</v>
      </c>
      <c r="D697">
        <v>73889</v>
      </c>
      <c r="E697" t="s">
        <v>8</v>
      </c>
    </row>
    <row r="698" spans="1:5" x14ac:dyDescent="0.2">
      <c r="A698" t="s">
        <v>114</v>
      </c>
      <c r="B698" t="s">
        <v>113</v>
      </c>
      <c r="C698" t="str">
        <f t="shared" si="10"/>
        <v>Africa (Consulting)</v>
      </c>
      <c r="D698">
        <v>56073</v>
      </c>
      <c r="E698" t="s">
        <v>47</v>
      </c>
    </row>
    <row r="699" spans="1:5" x14ac:dyDescent="0.2">
      <c r="A699" t="s">
        <v>118</v>
      </c>
      <c r="B699" t="s">
        <v>120</v>
      </c>
      <c r="C699" t="str">
        <f t="shared" si="10"/>
        <v>Asia-Pacific (Investments)</v>
      </c>
      <c r="D699">
        <v>77825</v>
      </c>
      <c r="E699" t="s">
        <v>13</v>
      </c>
    </row>
    <row r="700" spans="1:5" x14ac:dyDescent="0.2">
      <c r="A700" t="s">
        <v>114</v>
      </c>
      <c r="B700" t="s">
        <v>113</v>
      </c>
      <c r="C700" t="str">
        <f t="shared" si="10"/>
        <v>Africa (Consulting)</v>
      </c>
      <c r="D700">
        <v>86272</v>
      </c>
      <c r="E700" t="s">
        <v>34</v>
      </c>
    </row>
    <row r="701" spans="1:5" x14ac:dyDescent="0.2">
      <c r="A701" t="s">
        <v>115</v>
      </c>
      <c r="B701" t="s">
        <v>120</v>
      </c>
      <c r="C701" t="str">
        <f t="shared" si="10"/>
        <v>US (Investments)</v>
      </c>
      <c r="D701">
        <v>56073</v>
      </c>
      <c r="E701" t="s">
        <v>19</v>
      </c>
    </row>
    <row r="702" spans="1:5" x14ac:dyDescent="0.2">
      <c r="A702" t="s">
        <v>114</v>
      </c>
      <c r="B702" t="s">
        <v>119</v>
      </c>
      <c r="C702" t="str">
        <f t="shared" si="10"/>
        <v>Africa (Facilities Management)</v>
      </c>
      <c r="D702">
        <v>50768</v>
      </c>
      <c r="E702" t="s">
        <v>9</v>
      </c>
    </row>
    <row r="703" spans="1:5" x14ac:dyDescent="0.2">
      <c r="A703" t="s">
        <v>118</v>
      </c>
      <c r="B703" t="s">
        <v>113</v>
      </c>
      <c r="C703" t="str">
        <f t="shared" si="10"/>
        <v>Asia-Pacific (Consulting)</v>
      </c>
      <c r="D703">
        <v>53027</v>
      </c>
      <c r="E703" t="s">
        <v>16</v>
      </c>
    </row>
    <row r="704" spans="1:5" x14ac:dyDescent="0.2">
      <c r="A704" t="s">
        <v>117</v>
      </c>
      <c r="B704" t="s">
        <v>113</v>
      </c>
      <c r="C704" t="str">
        <f t="shared" si="10"/>
        <v>Middle-East (Consulting)</v>
      </c>
      <c r="D704">
        <v>20218</v>
      </c>
      <c r="E704" t="s">
        <v>24</v>
      </c>
    </row>
    <row r="705" spans="1:5" x14ac:dyDescent="0.2">
      <c r="A705" t="s">
        <v>117</v>
      </c>
      <c r="B705" t="s">
        <v>113</v>
      </c>
      <c r="C705" t="str">
        <f t="shared" si="10"/>
        <v>Middle-East (Consulting)</v>
      </c>
      <c r="D705">
        <v>63405</v>
      </c>
      <c r="E705" t="s">
        <v>40</v>
      </c>
    </row>
    <row r="706" spans="1:5" x14ac:dyDescent="0.2">
      <c r="A706" t="s">
        <v>114</v>
      </c>
      <c r="B706" t="s">
        <v>119</v>
      </c>
      <c r="C706" t="str">
        <f t="shared" si="10"/>
        <v>Africa (Facilities Management)</v>
      </c>
      <c r="D706">
        <v>21736</v>
      </c>
      <c r="E706" t="s">
        <v>7</v>
      </c>
    </row>
    <row r="707" spans="1:5" x14ac:dyDescent="0.2">
      <c r="A707" t="s">
        <v>115</v>
      </c>
      <c r="B707" t="s">
        <v>119</v>
      </c>
      <c r="C707" t="str">
        <f t="shared" ref="C707:C770" si="11">CONCATENATE(A707, " (", B707, ")")</f>
        <v>US (Facilities Management)</v>
      </c>
      <c r="D707">
        <v>87696</v>
      </c>
      <c r="E707" t="s">
        <v>30</v>
      </c>
    </row>
    <row r="708" spans="1:5" x14ac:dyDescent="0.2">
      <c r="A708" t="s">
        <v>118</v>
      </c>
      <c r="B708" t="s">
        <v>113</v>
      </c>
      <c r="C708" t="str">
        <f t="shared" si="11"/>
        <v>Asia-Pacific (Consulting)</v>
      </c>
      <c r="D708">
        <v>80154</v>
      </c>
      <c r="E708" t="s">
        <v>14</v>
      </c>
    </row>
    <row r="709" spans="1:5" x14ac:dyDescent="0.2">
      <c r="A709" t="s">
        <v>115</v>
      </c>
      <c r="B709" t="s">
        <v>113</v>
      </c>
      <c r="C709" t="str">
        <f t="shared" si="11"/>
        <v>US (Consulting)</v>
      </c>
      <c r="D709">
        <v>10151</v>
      </c>
      <c r="E709" t="s">
        <v>35</v>
      </c>
    </row>
    <row r="710" spans="1:5" x14ac:dyDescent="0.2">
      <c r="A710" t="s">
        <v>117</v>
      </c>
      <c r="B710" t="s">
        <v>120</v>
      </c>
      <c r="C710" t="str">
        <f t="shared" si="11"/>
        <v>Middle-East (Investments)</v>
      </c>
      <c r="D710">
        <v>81857</v>
      </c>
      <c r="E710" t="s">
        <v>30</v>
      </c>
    </row>
    <row r="711" spans="1:5" x14ac:dyDescent="0.2">
      <c r="A711" t="s">
        <v>118</v>
      </c>
      <c r="B711" t="s">
        <v>119</v>
      </c>
      <c r="C711" t="str">
        <f t="shared" si="11"/>
        <v>Asia-Pacific (Facilities Management)</v>
      </c>
      <c r="D711">
        <v>82602</v>
      </c>
      <c r="E711" t="s">
        <v>26</v>
      </c>
    </row>
    <row r="712" spans="1:5" x14ac:dyDescent="0.2">
      <c r="A712" t="s">
        <v>115</v>
      </c>
      <c r="B712" t="s">
        <v>113</v>
      </c>
      <c r="C712" t="str">
        <f t="shared" si="11"/>
        <v>US (Consulting)</v>
      </c>
      <c r="D712">
        <v>17845</v>
      </c>
      <c r="E712" t="s">
        <v>43</v>
      </c>
    </row>
    <row r="713" spans="1:5" x14ac:dyDescent="0.2">
      <c r="A713" t="s">
        <v>115</v>
      </c>
      <c r="B713" t="s">
        <v>113</v>
      </c>
      <c r="C713" t="str">
        <f t="shared" si="11"/>
        <v>US (Consulting)</v>
      </c>
      <c r="D713">
        <v>25382</v>
      </c>
      <c r="E713" t="s">
        <v>36</v>
      </c>
    </row>
    <row r="714" spans="1:5" x14ac:dyDescent="0.2">
      <c r="A714" t="s">
        <v>116</v>
      </c>
      <c r="B714" t="s">
        <v>119</v>
      </c>
      <c r="C714" t="str">
        <f t="shared" si="11"/>
        <v>Europe (Facilities Management)</v>
      </c>
      <c r="D714">
        <v>48636</v>
      </c>
      <c r="E714" t="s">
        <v>24</v>
      </c>
    </row>
    <row r="715" spans="1:5" x14ac:dyDescent="0.2">
      <c r="A715" t="s">
        <v>116</v>
      </c>
      <c r="B715" t="s">
        <v>119</v>
      </c>
      <c r="C715" t="str">
        <f t="shared" si="11"/>
        <v>Europe (Facilities Management)</v>
      </c>
      <c r="D715">
        <v>50768</v>
      </c>
      <c r="E715" t="s">
        <v>21</v>
      </c>
    </row>
    <row r="716" spans="1:5" x14ac:dyDescent="0.2">
      <c r="A716" t="s">
        <v>115</v>
      </c>
      <c r="B716" t="s">
        <v>119</v>
      </c>
      <c r="C716" t="str">
        <f t="shared" si="11"/>
        <v>US (Facilities Management)</v>
      </c>
      <c r="D716">
        <v>58876</v>
      </c>
      <c r="E716" t="s">
        <v>28</v>
      </c>
    </row>
    <row r="717" spans="1:5" x14ac:dyDescent="0.2">
      <c r="A717" t="s">
        <v>117</v>
      </c>
      <c r="B717" t="s">
        <v>120</v>
      </c>
      <c r="C717" t="str">
        <f t="shared" si="11"/>
        <v>Middle-East (Investments)</v>
      </c>
      <c r="D717">
        <v>66919</v>
      </c>
      <c r="E717" t="s">
        <v>110</v>
      </c>
    </row>
    <row r="718" spans="1:5" x14ac:dyDescent="0.2">
      <c r="A718" t="s">
        <v>114</v>
      </c>
      <c r="B718" t="s">
        <v>120</v>
      </c>
      <c r="C718" t="str">
        <f t="shared" si="11"/>
        <v>Africa (Investments)</v>
      </c>
      <c r="D718">
        <v>24905</v>
      </c>
      <c r="E718" t="s">
        <v>16</v>
      </c>
    </row>
    <row r="719" spans="1:5" x14ac:dyDescent="0.2">
      <c r="A719" t="s">
        <v>114</v>
      </c>
      <c r="B719" t="s">
        <v>120</v>
      </c>
      <c r="C719" t="str">
        <f t="shared" si="11"/>
        <v>Africa (Investments)</v>
      </c>
      <c r="D719">
        <v>24905</v>
      </c>
      <c r="E719" t="s">
        <v>20</v>
      </c>
    </row>
    <row r="720" spans="1:5" x14ac:dyDescent="0.2">
      <c r="A720" t="s">
        <v>117</v>
      </c>
      <c r="B720" t="s">
        <v>120</v>
      </c>
      <c r="C720" t="str">
        <f t="shared" si="11"/>
        <v>Middle-East (Investments)</v>
      </c>
      <c r="D720">
        <v>28128</v>
      </c>
      <c r="E720" t="s">
        <v>3</v>
      </c>
    </row>
    <row r="721" spans="1:5" x14ac:dyDescent="0.2">
      <c r="A721" t="s">
        <v>118</v>
      </c>
      <c r="B721" t="s">
        <v>113</v>
      </c>
      <c r="C721" t="str">
        <f t="shared" si="11"/>
        <v>Asia-Pacific (Consulting)</v>
      </c>
      <c r="D721">
        <v>46187</v>
      </c>
      <c r="E721" t="s">
        <v>110</v>
      </c>
    </row>
    <row r="722" spans="1:5" x14ac:dyDescent="0.2">
      <c r="A722" t="s">
        <v>116</v>
      </c>
      <c r="B722" t="s">
        <v>119</v>
      </c>
      <c r="C722" t="str">
        <f t="shared" si="11"/>
        <v>Europe (Facilities Management)</v>
      </c>
      <c r="D722">
        <v>51457</v>
      </c>
      <c r="E722" t="s">
        <v>32</v>
      </c>
    </row>
    <row r="723" spans="1:5" x14ac:dyDescent="0.2">
      <c r="A723" t="s">
        <v>114</v>
      </c>
      <c r="B723" t="s">
        <v>119</v>
      </c>
      <c r="C723" t="str">
        <f t="shared" si="11"/>
        <v>Africa (Facilities Management)</v>
      </c>
      <c r="D723">
        <v>55481</v>
      </c>
      <c r="E723" t="s">
        <v>14</v>
      </c>
    </row>
    <row r="724" spans="1:5" x14ac:dyDescent="0.2">
      <c r="A724" t="s">
        <v>117</v>
      </c>
      <c r="B724" t="s">
        <v>113</v>
      </c>
      <c r="C724" t="str">
        <f t="shared" si="11"/>
        <v>Middle-East (Consulting)</v>
      </c>
      <c r="D724">
        <v>24003</v>
      </c>
      <c r="E724" t="s">
        <v>14</v>
      </c>
    </row>
    <row r="725" spans="1:5" x14ac:dyDescent="0.2">
      <c r="A725" t="s">
        <v>118</v>
      </c>
      <c r="B725" t="s">
        <v>119</v>
      </c>
      <c r="C725" t="str">
        <f t="shared" si="11"/>
        <v>Asia-Pacific (Facilities Management)</v>
      </c>
      <c r="D725">
        <v>81857</v>
      </c>
      <c r="E725" t="s">
        <v>41</v>
      </c>
    </row>
    <row r="726" spans="1:5" x14ac:dyDescent="0.2">
      <c r="A726" t="s">
        <v>116</v>
      </c>
      <c r="B726" t="s">
        <v>120</v>
      </c>
      <c r="C726" t="str">
        <f t="shared" si="11"/>
        <v>Europe (Investments)</v>
      </c>
      <c r="D726">
        <v>56933</v>
      </c>
      <c r="E726" t="s">
        <v>33</v>
      </c>
    </row>
    <row r="727" spans="1:5" x14ac:dyDescent="0.2">
      <c r="A727" t="s">
        <v>115</v>
      </c>
      <c r="B727" t="s">
        <v>119</v>
      </c>
      <c r="C727" t="str">
        <f t="shared" si="11"/>
        <v>US (Facilities Management)</v>
      </c>
      <c r="D727">
        <v>20294</v>
      </c>
      <c r="E727" t="s">
        <v>37</v>
      </c>
    </row>
    <row r="728" spans="1:5" x14ac:dyDescent="0.2">
      <c r="A728" t="s">
        <v>116</v>
      </c>
      <c r="B728" t="s">
        <v>119</v>
      </c>
      <c r="C728" t="str">
        <f t="shared" si="11"/>
        <v>Europe (Facilities Management)</v>
      </c>
      <c r="D728">
        <v>11546</v>
      </c>
      <c r="E728" t="s">
        <v>18</v>
      </c>
    </row>
    <row r="729" spans="1:5" x14ac:dyDescent="0.2">
      <c r="A729" t="s">
        <v>116</v>
      </c>
      <c r="B729" t="s">
        <v>119</v>
      </c>
      <c r="C729" t="str">
        <f t="shared" si="11"/>
        <v>Europe (Facilities Management)</v>
      </c>
      <c r="D729">
        <v>87775</v>
      </c>
      <c r="E729" t="s">
        <v>9</v>
      </c>
    </row>
    <row r="730" spans="1:5" x14ac:dyDescent="0.2">
      <c r="A730" t="s">
        <v>117</v>
      </c>
      <c r="B730" t="s">
        <v>113</v>
      </c>
      <c r="C730" t="str">
        <f t="shared" si="11"/>
        <v>Middle-East (Consulting)</v>
      </c>
      <c r="D730">
        <v>73889</v>
      </c>
      <c r="E730" t="s">
        <v>4</v>
      </c>
    </row>
    <row r="731" spans="1:5" x14ac:dyDescent="0.2">
      <c r="A731" t="s">
        <v>118</v>
      </c>
      <c r="B731" t="s">
        <v>119</v>
      </c>
      <c r="C731" t="str">
        <f t="shared" si="11"/>
        <v>Asia-Pacific (Facilities Management)</v>
      </c>
      <c r="D731">
        <v>67561</v>
      </c>
      <c r="E731" t="s">
        <v>3</v>
      </c>
    </row>
    <row r="732" spans="1:5" x14ac:dyDescent="0.2">
      <c r="A732" t="s">
        <v>115</v>
      </c>
      <c r="B732" t="s">
        <v>119</v>
      </c>
      <c r="C732" t="str">
        <f t="shared" si="11"/>
        <v>US (Facilities Management)</v>
      </c>
      <c r="D732">
        <v>87778</v>
      </c>
      <c r="E732" t="s">
        <v>26</v>
      </c>
    </row>
    <row r="733" spans="1:5" x14ac:dyDescent="0.2">
      <c r="A733" t="s">
        <v>115</v>
      </c>
      <c r="B733" t="s">
        <v>113</v>
      </c>
      <c r="C733" t="str">
        <f t="shared" si="11"/>
        <v>US (Consulting)</v>
      </c>
      <c r="D733">
        <v>26287</v>
      </c>
      <c r="E733" t="s">
        <v>14</v>
      </c>
    </row>
    <row r="734" spans="1:5" x14ac:dyDescent="0.2">
      <c r="A734" t="s">
        <v>118</v>
      </c>
      <c r="B734" t="s">
        <v>120</v>
      </c>
      <c r="C734" t="str">
        <f t="shared" si="11"/>
        <v>Asia-Pacific (Investments)</v>
      </c>
      <c r="D734">
        <v>14686</v>
      </c>
      <c r="E734" t="s">
        <v>29</v>
      </c>
    </row>
    <row r="735" spans="1:5" x14ac:dyDescent="0.2">
      <c r="A735" t="s">
        <v>116</v>
      </c>
      <c r="B735" t="s">
        <v>119</v>
      </c>
      <c r="C735" t="str">
        <f t="shared" si="11"/>
        <v>Europe (Facilities Management)</v>
      </c>
      <c r="D735">
        <v>23259</v>
      </c>
      <c r="E735" t="s">
        <v>31</v>
      </c>
    </row>
    <row r="736" spans="1:5" x14ac:dyDescent="0.2">
      <c r="A736" t="s">
        <v>115</v>
      </c>
      <c r="B736" t="s">
        <v>113</v>
      </c>
      <c r="C736" t="str">
        <f t="shared" si="11"/>
        <v>US (Consulting)</v>
      </c>
      <c r="D736">
        <v>76523</v>
      </c>
      <c r="E736" t="s">
        <v>110</v>
      </c>
    </row>
    <row r="737" spans="1:5" x14ac:dyDescent="0.2">
      <c r="A737" t="s">
        <v>117</v>
      </c>
      <c r="B737" t="s">
        <v>120</v>
      </c>
      <c r="C737" t="str">
        <f t="shared" si="11"/>
        <v>Middle-East (Investments)</v>
      </c>
      <c r="D737">
        <v>61232</v>
      </c>
      <c r="E737" t="s">
        <v>21</v>
      </c>
    </row>
    <row r="738" spans="1:5" x14ac:dyDescent="0.2">
      <c r="A738" t="s">
        <v>118</v>
      </c>
      <c r="B738" t="s">
        <v>119</v>
      </c>
      <c r="C738" t="str">
        <f t="shared" si="11"/>
        <v>Asia-Pacific (Facilities Management)</v>
      </c>
      <c r="D738">
        <v>53789</v>
      </c>
      <c r="E738" t="s">
        <v>28</v>
      </c>
    </row>
    <row r="739" spans="1:5" x14ac:dyDescent="0.2">
      <c r="A739" t="s">
        <v>118</v>
      </c>
      <c r="B739" t="s">
        <v>120</v>
      </c>
      <c r="C739" t="str">
        <f t="shared" si="11"/>
        <v>Asia-Pacific (Investments)</v>
      </c>
      <c r="D739">
        <v>77825</v>
      </c>
      <c r="E739" t="s">
        <v>20</v>
      </c>
    </row>
    <row r="740" spans="1:5" x14ac:dyDescent="0.2">
      <c r="A740" t="s">
        <v>114</v>
      </c>
      <c r="B740" t="s">
        <v>120</v>
      </c>
      <c r="C740" t="str">
        <f t="shared" si="11"/>
        <v>Africa (Investments)</v>
      </c>
      <c r="D740">
        <v>63220</v>
      </c>
      <c r="E740" t="s">
        <v>34</v>
      </c>
    </row>
    <row r="741" spans="1:5" x14ac:dyDescent="0.2">
      <c r="A741" t="s">
        <v>115</v>
      </c>
      <c r="B741" t="s">
        <v>120</v>
      </c>
      <c r="C741" t="str">
        <f t="shared" si="11"/>
        <v>US (Investments)</v>
      </c>
      <c r="D741">
        <v>13175</v>
      </c>
      <c r="E741" t="s">
        <v>12</v>
      </c>
    </row>
    <row r="742" spans="1:5" x14ac:dyDescent="0.2">
      <c r="A742" t="s">
        <v>115</v>
      </c>
      <c r="B742" t="s">
        <v>119</v>
      </c>
      <c r="C742" t="str">
        <f t="shared" si="11"/>
        <v>US (Facilities Management)</v>
      </c>
      <c r="D742">
        <v>79177</v>
      </c>
      <c r="E742" t="s">
        <v>9</v>
      </c>
    </row>
    <row r="743" spans="1:5" x14ac:dyDescent="0.2">
      <c r="A743" t="s">
        <v>115</v>
      </c>
      <c r="B743" t="s">
        <v>113</v>
      </c>
      <c r="C743" t="str">
        <f t="shared" si="11"/>
        <v>US (Consulting)</v>
      </c>
      <c r="D743">
        <v>28139</v>
      </c>
      <c r="E743" t="s">
        <v>31</v>
      </c>
    </row>
    <row r="744" spans="1:5" x14ac:dyDescent="0.2">
      <c r="A744" t="s">
        <v>116</v>
      </c>
      <c r="B744" t="s">
        <v>120</v>
      </c>
      <c r="C744" t="str">
        <f t="shared" si="11"/>
        <v>Europe (Investments)</v>
      </c>
      <c r="D744">
        <v>75257</v>
      </c>
      <c r="E744" t="s">
        <v>23</v>
      </c>
    </row>
    <row r="745" spans="1:5" x14ac:dyDescent="0.2">
      <c r="A745" t="s">
        <v>118</v>
      </c>
      <c r="B745" t="s">
        <v>119</v>
      </c>
      <c r="C745" t="str">
        <f t="shared" si="11"/>
        <v>Asia-Pacific (Facilities Management)</v>
      </c>
      <c r="D745">
        <v>86095</v>
      </c>
      <c r="E745" t="s">
        <v>30</v>
      </c>
    </row>
    <row r="746" spans="1:5" x14ac:dyDescent="0.2">
      <c r="A746" t="s">
        <v>115</v>
      </c>
      <c r="B746" t="s">
        <v>119</v>
      </c>
      <c r="C746" t="str">
        <f t="shared" si="11"/>
        <v>US (Facilities Management)</v>
      </c>
      <c r="D746">
        <v>86095</v>
      </c>
      <c r="E746" t="s">
        <v>44</v>
      </c>
    </row>
    <row r="747" spans="1:5" x14ac:dyDescent="0.2">
      <c r="A747" t="s">
        <v>117</v>
      </c>
      <c r="B747" t="s">
        <v>119</v>
      </c>
      <c r="C747" t="str">
        <f t="shared" si="11"/>
        <v>Middle-East (Facilities Management)</v>
      </c>
      <c r="D747">
        <v>87778</v>
      </c>
      <c r="E747" t="s">
        <v>23</v>
      </c>
    </row>
    <row r="748" spans="1:5" x14ac:dyDescent="0.2">
      <c r="A748" t="s">
        <v>116</v>
      </c>
      <c r="B748" t="s">
        <v>120</v>
      </c>
      <c r="C748" t="str">
        <f t="shared" si="11"/>
        <v>Europe (Investments)</v>
      </c>
      <c r="D748">
        <v>59738</v>
      </c>
      <c r="E748" t="s">
        <v>15</v>
      </c>
    </row>
    <row r="749" spans="1:5" x14ac:dyDescent="0.2">
      <c r="A749" t="s">
        <v>117</v>
      </c>
      <c r="B749" t="s">
        <v>120</v>
      </c>
      <c r="C749" t="str">
        <f t="shared" si="11"/>
        <v>Middle-East (Investments)</v>
      </c>
      <c r="D749">
        <v>28128</v>
      </c>
      <c r="E749" t="s">
        <v>44</v>
      </c>
    </row>
    <row r="750" spans="1:5" x14ac:dyDescent="0.2">
      <c r="A750" t="s">
        <v>115</v>
      </c>
      <c r="B750" t="s">
        <v>120</v>
      </c>
      <c r="C750" t="str">
        <f t="shared" si="11"/>
        <v>US (Investments)</v>
      </c>
      <c r="D750">
        <v>51457</v>
      </c>
      <c r="E750" t="s">
        <v>33</v>
      </c>
    </row>
    <row r="751" spans="1:5" x14ac:dyDescent="0.2">
      <c r="A751" t="s">
        <v>115</v>
      </c>
      <c r="B751" t="s">
        <v>120</v>
      </c>
      <c r="C751" t="str">
        <f t="shared" si="11"/>
        <v>US (Investments)</v>
      </c>
      <c r="D751">
        <v>44852</v>
      </c>
      <c r="E751" t="s">
        <v>15</v>
      </c>
    </row>
    <row r="752" spans="1:5" x14ac:dyDescent="0.2">
      <c r="A752" t="s">
        <v>117</v>
      </c>
      <c r="B752" t="s">
        <v>120</v>
      </c>
      <c r="C752" t="str">
        <f t="shared" si="11"/>
        <v>Middle-East (Investments)</v>
      </c>
      <c r="D752">
        <v>17019</v>
      </c>
      <c r="E752" t="s">
        <v>24</v>
      </c>
    </row>
    <row r="753" spans="1:5" x14ac:dyDescent="0.2">
      <c r="A753" t="s">
        <v>115</v>
      </c>
      <c r="B753" t="s">
        <v>120</v>
      </c>
      <c r="C753" t="str">
        <f t="shared" si="11"/>
        <v>US (Investments)</v>
      </c>
      <c r="D753">
        <v>64705</v>
      </c>
      <c r="E753" t="s">
        <v>37</v>
      </c>
    </row>
    <row r="754" spans="1:5" x14ac:dyDescent="0.2">
      <c r="A754" t="s">
        <v>116</v>
      </c>
      <c r="B754" t="s">
        <v>120</v>
      </c>
      <c r="C754" t="str">
        <f t="shared" si="11"/>
        <v>Europe (Investments)</v>
      </c>
      <c r="D754">
        <v>51003</v>
      </c>
      <c r="E754" t="s">
        <v>16</v>
      </c>
    </row>
    <row r="755" spans="1:5" x14ac:dyDescent="0.2">
      <c r="A755" t="s">
        <v>118</v>
      </c>
      <c r="B755" t="s">
        <v>119</v>
      </c>
      <c r="C755" t="str">
        <f t="shared" si="11"/>
        <v>Asia-Pacific (Facilities Management)</v>
      </c>
      <c r="D755">
        <v>61502</v>
      </c>
      <c r="E755" t="s">
        <v>24</v>
      </c>
    </row>
    <row r="756" spans="1:5" x14ac:dyDescent="0.2">
      <c r="A756" t="s">
        <v>114</v>
      </c>
      <c r="B756" t="s">
        <v>120</v>
      </c>
      <c r="C756" t="str">
        <f t="shared" si="11"/>
        <v>Africa (Investments)</v>
      </c>
      <c r="D756">
        <v>23326</v>
      </c>
      <c r="E756" t="s">
        <v>25</v>
      </c>
    </row>
    <row r="757" spans="1:5" x14ac:dyDescent="0.2">
      <c r="A757" t="s">
        <v>118</v>
      </c>
      <c r="B757" t="s">
        <v>119</v>
      </c>
      <c r="C757" t="str">
        <f t="shared" si="11"/>
        <v>Asia-Pacific (Facilities Management)</v>
      </c>
      <c r="D757">
        <v>24905</v>
      </c>
      <c r="E757" t="s">
        <v>110</v>
      </c>
    </row>
    <row r="758" spans="1:5" x14ac:dyDescent="0.2">
      <c r="A758" t="s">
        <v>114</v>
      </c>
      <c r="B758" t="s">
        <v>119</v>
      </c>
      <c r="C758" t="str">
        <f t="shared" si="11"/>
        <v>Africa (Facilities Management)</v>
      </c>
      <c r="D758">
        <v>21736</v>
      </c>
      <c r="E758" t="s">
        <v>5</v>
      </c>
    </row>
    <row r="759" spans="1:5" x14ac:dyDescent="0.2">
      <c r="A759" t="s">
        <v>116</v>
      </c>
      <c r="B759" t="s">
        <v>113</v>
      </c>
      <c r="C759" t="str">
        <f t="shared" si="11"/>
        <v>Europe (Consulting)</v>
      </c>
      <c r="D759">
        <v>56933</v>
      </c>
      <c r="E759" t="s">
        <v>9</v>
      </c>
    </row>
    <row r="760" spans="1:5" x14ac:dyDescent="0.2">
      <c r="A760" t="s">
        <v>114</v>
      </c>
      <c r="B760" t="s">
        <v>113</v>
      </c>
      <c r="C760" t="str">
        <f t="shared" si="11"/>
        <v>Africa (Consulting)</v>
      </c>
      <c r="D760">
        <v>53027</v>
      </c>
      <c r="E760" t="s">
        <v>27</v>
      </c>
    </row>
    <row r="761" spans="1:5" x14ac:dyDescent="0.2">
      <c r="A761" t="s">
        <v>117</v>
      </c>
      <c r="B761" t="s">
        <v>119</v>
      </c>
      <c r="C761" t="str">
        <f t="shared" si="11"/>
        <v>Middle-East (Facilities Management)</v>
      </c>
      <c r="D761">
        <v>87778</v>
      </c>
      <c r="E761" t="s">
        <v>110</v>
      </c>
    </row>
    <row r="762" spans="1:5" x14ac:dyDescent="0.2">
      <c r="A762" t="s">
        <v>114</v>
      </c>
      <c r="B762" t="s">
        <v>113</v>
      </c>
      <c r="C762" t="str">
        <f t="shared" si="11"/>
        <v>Africa (Consulting)</v>
      </c>
      <c r="D762">
        <v>72739</v>
      </c>
      <c r="E762" t="s">
        <v>110</v>
      </c>
    </row>
    <row r="763" spans="1:5" x14ac:dyDescent="0.2">
      <c r="A763" t="s">
        <v>114</v>
      </c>
      <c r="B763" t="s">
        <v>119</v>
      </c>
      <c r="C763" t="str">
        <f t="shared" si="11"/>
        <v>Africa (Facilities Management)</v>
      </c>
      <c r="D763">
        <v>24905</v>
      </c>
      <c r="E763" t="s">
        <v>19</v>
      </c>
    </row>
    <row r="764" spans="1:5" x14ac:dyDescent="0.2">
      <c r="A764" t="s">
        <v>114</v>
      </c>
      <c r="B764" t="s">
        <v>119</v>
      </c>
      <c r="C764" t="str">
        <f t="shared" si="11"/>
        <v>Africa (Facilities Management)</v>
      </c>
      <c r="D764">
        <v>21736</v>
      </c>
      <c r="E764" t="s">
        <v>18</v>
      </c>
    </row>
    <row r="765" spans="1:5" x14ac:dyDescent="0.2">
      <c r="A765" t="s">
        <v>117</v>
      </c>
      <c r="B765" t="s">
        <v>119</v>
      </c>
      <c r="C765" t="str">
        <f t="shared" si="11"/>
        <v>Middle-East (Facilities Management)</v>
      </c>
      <c r="D765">
        <v>76523</v>
      </c>
      <c r="E765" t="s">
        <v>25</v>
      </c>
    </row>
    <row r="766" spans="1:5" x14ac:dyDescent="0.2">
      <c r="A766" t="s">
        <v>116</v>
      </c>
      <c r="B766" t="s">
        <v>119</v>
      </c>
      <c r="C766" t="str">
        <f t="shared" si="11"/>
        <v>Europe (Facilities Management)</v>
      </c>
      <c r="D766">
        <v>78398</v>
      </c>
      <c r="E766" t="s">
        <v>35</v>
      </c>
    </row>
    <row r="767" spans="1:5" x14ac:dyDescent="0.2">
      <c r="A767" t="s">
        <v>116</v>
      </c>
      <c r="B767" t="s">
        <v>113</v>
      </c>
      <c r="C767" t="str">
        <f t="shared" si="11"/>
        <v>Europe (Consulting)</v>
      </c>
      <c r="D767">
        <v>43566</v>
      </c>
      <c r="E767" t="s">
        <v>33</v>
      </c>
    </row>
    <row r="768" spans="1:5" x14ac:dyDescent="0.2">
      <c r="A768" t="s">
        <v>115</v>
      </c>
      <c r="B768" t="s">
        <v>113</v>
      </c>
      <c r="C768" t="str">
        <f t="shared" si="11"/>
        <v>US (Consulting)</v>
      </c>
      <c r="D768">
        <v>23259</v>
      </c>
      <c r="E768" t="s">
        <v>47</v>
      </c>
    </row>
    <row r="769" spans="1:5" x14ac:dyDescent="0.2">
      <c r="A769" t="s">
        <v>118</v>
      </c>
      <c r="B769" t="s">
        <v>113</v>
      </c>
      <c r="C769" t="str">
        <f t="shared" si="11"/>
        <v>Asia-Pacific (Consulting)</v>
      </c>
      <c r="D769">
        <v>88179</v>
      </c>
      <c r="E769" t="s">
        <v>27</v>
      </c>
    </row>
    <row r="770" spans="1:5" x14ac:dyDescent="0.2">
      <c r="A770" t="s">
        <v>118</v>
      </c>
      <c r="B770" t="s">
        <v>120</v>
      </c>
      <c r="C770" t="str">
        <f t="shared" si="11"/>
        <v>Asia-Pacific (Investments)</v>
      </c>
      <c r="D770">
        <v>88813</v>
      </c>
      <c r="E770" t="s">
        <v>33</v>
      </c>
    </row>
    <row r="771" spans="1:5" x14ac:dyDescent="0.2">
      <c r="A771" t="s">
        <v>116</v>
      </c>
      <c r="B771" t="s">
        <v>119</v>
      </c>
      <c r="C771" t="str">
        <f t="shared" ref="C771:C834" si="12">CONCATENATE(A771, " (", B771, ")")</f>
        <v>Europe (Facilities Management)</v>
      </c>
      <c r="D771">
        <v>11546</v>
      </c>
      <c r="E771" t="s">
        <v>38</v>
      </c>
    </row>
    <row r="772" spans="1:5" x14ac:dyDescent="0.2">
      <c r="A772" t="s">
        <v>115</v>
      </c>
      <c r="B772" t="s">
        <v>119</v>
      </c>
      <c r="C772" t="str">
        <f t="shared" si="12"/>
        <v>US (Facilities Management)</v>
      </c>
      <c r="D772">
        <v>17845</v>
      </c>
      <c r="E772" t="s">
        <v>42</v>
      </c>
    </row>
    <row r="773" spans="1:5" x14ac:dyDescent="0.2">
      <c r="A773" t="s">
        <v>118</v>
      </c>
      <c r="B773" t="s">
        <v>119</v>
      </c>
      <c r="C773" t="str">
        <f t="shared" si="12"/>
        <v>Asia-Pacific (Facilities Management)</v>
      </c>
      <c r="D773">
        <v>87696</v>
      </c>
      <c r="E773" t="s">
        <v>27</v>
      </c>
    </row>
    <row r="774" spans="1:5" x14ac:dyDescent="0.2">
      <c r="A774" t="s">
        <v>117</v>
      </c>
      <c r="B774" t="s">
        <v>119</v>
      </c>
      <c r="C774" t="str">
        <f t="shared" si="12"/>
        <v>Middle-East (Facilities Management)</v>
      </c>
      <c r="D774">
        <v>76523</v>
      </c>
      <c r="E774" t="s">
        <v>28</v>
      </c>
    </row>
    <row r="775" spans="1:5" x14ac:dyDescent="0.2">
      <c r="A775" t="s">
        <v>115</v>
      </c>
      <c r="B775" t="s">
        <v>113</v>
      </c>
      <c r="C775" t="str">
        <f t="shared" si="12"/>
        <v>US (Consulting)</v>
      </c>
      <c r="D775">
        <v>34613</v>
      </c>
      <c r="E775" t="s">
        <v>29</v>
      </c>
    </row>
    <row r="776" spans="1:5" x14ac:dyDescent="0.2">
      <c r="A776" t="s">
        <v>116</v>
      </c>
      <c r="B776" t="s">
        <v>113</v>
      </c>
      <c r="C776" t="str">
        <f t="shared" si="12"/>
        <v>Europe (Consulting)</v>
      </c>
      <c r="D776">
        <v>15777</v>
      </c>
      <c r="E776" t="s">
        <v>25</v>
      </c>
    </row>
    <row r="777" spans="1:5" x14ac:dyDescent="0.2">
      <c r="A777" t="s">
        <v>118</v>
      </c>
      <c r="B777" t="s">
        <v>119</v>
      </c>
      <c r="C777" t="str">
        <f t="shared" si="12"/>
        <v>Asia-Pacific (Facilities Management)</v>
      </c>
      <c r="D777">
        <v>24905</v>
      </c>
      <c r="E777" t="s">
        <v>37</v>
      </c>
    </row>
    <row r="778" spans="1:5" x14ac:dyDescent="0.2">
      <c r="A778" t="s">
        <v>115</v>
      </c>
      <c r="B778" t="s">
        <v>113</v>
      </c>
      <c r="C778" t="str">
        <f t="shared" si="12"/>
        <v>US (Consulting)</v>
      </c>
      <c r="D778">
        <v>12756</v>
      </c>
      <c r="E778" t="s">
        <v>42</v>
      </c>
    </row>
    <row r="779" spans="1:5" x14ac:dyDescent="0.2">
      <c r="A779" t="s">
        <v>114</v>
      </c>
      <c r="B779" t="s">
        <v>120</v>
      </c>
      <c r="C779" t="str">
        <f t="shared" si="12"/>
        <v>Africa (Investments)</v>
      </c>
      <c r="D779">
        <v>24905</v>
      </c>
      <c r="E779" t="s">
        <v>14</v>
      </c>
    </row>
    <row r="780" spans="1:5" x14ac:dyDescent="0.2">
      <c r="A780" t="s">
        <v>115</v>
      </c>
      <c r="B780" t="s">
        <v>113</v>
      </c>
      <c r="C780" t="str">
        <f t="shared" si="12"/>
        <v>US (Consulting)</v>
      </c>
      <c r="D780">
        <v>24588</v>
      </c>
      <c r="E780" t="s">
        <v>110</v>
      </c>
    </row>
    <row r="781" spans="1:5" x14ac:dyDescent="0.2">
      <c r="A781" t="s">
        <v>116</v>
      </c>
      <c r="B781" t="s">
        <v>119</v>
      </c>
      <c r="C781" t="str">
        <f t="shared" si="12"/>
        <v>Europe (Facilities Management)</v>
      </c>
      <c r="D781">
        <v>33170</v>
      </c>
      <c r="E781" t="s">
        <v>13</v>
      </c>
    </row>
    <row r="782" spans="1:5" x14ac:dyDescent="0.2">
      <c r="A782" t="s">
        <v>114</v>
      </c>
      <c r="B782" t="s">
        <v>113</v>
      </c>
      <c r="C782" t="str">
        <f t="shared" si="12"/>
        <v>Africa (Consulting)</v>
      </c>
      <c r="D782">
        <v>63403</v>
      </c>
      <c r="E782" t="s">
        <v>40</v>
      </c>
    </row>
    <row r="783" spans="1:5" x14ac:dyDescent="0.2">
      <c r="A783" t="s">
        <v>115</v>
      </c>
      <c r="B783" t="s">
        <v>119</v>
      </c>
      <c r="C783" t="str">
        <f t="shared" si="12"/>
        <v>US (Facilities Management)</v>
      </c>
      <c r="D783">
        <v>21736</v>
      </c>
      <c r="E783" t="s">
        <v>29</v>
      </c>
    </row>
    <row r="784" spans="1:5" x14ac:dyDescent="0.2">
      <c r="A784" t="s">
        <v>116</v>
      </c>
      <c r="B784" t="s">
        <v>120</v>
      </c>
      <c r="C784" t="str">
        <f t="shared" si="12"/>
        <v>Europe (Investments)</v>
      </c>
      <c r="D784">
        <v>24014</v>
      </c>
      <c r="E784" t="s">
        <v>110</v>
      </c>
    </row>
    <row r="785" spans="1:5" x14ac:dyDescent="0.2">
      <c r="A785" t="s">
        <v>118</v>
      </c>
      <c r="B785" t="s">
        <v>113</v>
      </c>
      <c r="C785" t="str">
        <f t="shared" si="12"/>
        <v>Asia-Pacific (Consulting)</v>
      </c>
      <c r="D785">
        <v>24003</v>
      </c>
      <c r="E785" t="s">
        <v>36</v>
      </c>
    </row>
    <row r="786" spans="1:5" x14ac:dyDescent="0.2">
      <c r="A786" t="s">
        <v>116</v>
      </c>
      <c r="B786" t="s">
        <v>120</v>
      </c>
      <c r="C786" t="str">
        <f t="shared" si="12"/>
        <v>Europe (Investments)</v>
      </c>
      <c r="D786">
        <v>51003</v>
      </c>
      <c r="E786" t="s">
        <v>22</v>
      </c>
    </row>
    <row r="787" spans="1:5" x14ac:dyDescent="0.2">
      <c r="A787" t="s">
        <v>115</v>
      </c>
      <c r="B787" t="s">
        <v>113</v>
      </c>
      <c r="C787" t="str">
        <f t="shared" si="12"/>
        <v>US (Consulting)</v>
      </c>
      <c r="D787">
        <v>41143</v>
      </c>
      <c r="E787" t="s">
        <v>33</v>
      </c>
    </row>
    <row r="788" spans="1:5" x14ac:dyDescent="0.2">
      <c r="A788" t="s">
        <v>114</v>
      </c>
      <c r="B788" t="s">
        <v>119</v>
      </c>
      <c r="C788" t="str">
        <f t="shared" si="12"/>
        <v>Africa (Facilities Management)</v>
      </c>
      <c r="D788">
        <v>21736</v>
      </c>
      <c r="E788" t="s">
        <v>21</v>
      </c>
    </row>
    <row r="789" spans="1:5" x14ac:dyDescent="0.2">
      <c r="A789" t="s">
        <v>117</v>
      </c>
      <c r="B789" t="s">
        <v>119</v>
      </c>
      <c r="C789" t="str">
        <f t="shared" si="12"/>
        <v>Middle-East (Facilities Management)</v>
      </c>
      <c r="D789">
        <v>79089</v>
      </c>
      <c r="E789" t="s">
        <v>9</v>
      </c>
    </row>
    <row r="790" spans="1:5" x14ac:dyDescent="0.2">
      <c r="A790" t="s">
        <v>116</v>
      </c>
      <c r="B790" t="s">
        <v>119</v>
      </c>
      <c r="C790" t="str">
        <f t="shared" si="12"/>
        <v>Europe (Facilities Management)</v>
      </c>
      <c r="D790">
        <v>75884</v>
      </c>
      <c r="E790" t="s">
        <v>37</v>
      </c>
    </row>
    <row r="791" spans="1:5" x14ac:dyDescent="0.2">
      <c r="A791" t="s">
        <v>117</v>
      </c>
      <c r="B791" t="s">
        <v>119</v>
      </c>
      <c r="C791" t="str">
        <f t="shared" si="12"/>
        <v>Middle-East (Facilities Management)</v>
      </c>
      <c r="D791">
        <v>27528</v>
      </c>
      <c r="E791" t="s">
        <v>26</v>
      </c>
    </row>
    <row r="792" spans="1:5" x14ac:dyDescent="0.2">
      <c r="A792" t="s">
        <v>114</v>
      </c>
      <c r="B792" t="s">
        <v>113</v>
      </c>
      <c r="C792" t="str">
        <f t="shared" si="12"/>
        <v>Africa (Consulting)</v>
      </c>
      <c r="D792">
        <v>53027</v>
      </c>
      <c r="E792" t="s">
        <v>5</v>
      </c>
    </row>
    <row r="793" spans="1:5" x14ac:dyDescent="0.2">
      <c r="A793" t="s">
        <v>114</v>
      </c>
      <c r="B793" t="s">
        <v>119</v>
      </c>
      <c r="C793" t="str">
        <f t="shared" si="12"/>
        <v>Africa (Facilities Management)</v>
      </c>
      <c r="D793">
        <v>47097</v>
      </c>
      <c r="E793" t="s">
        <v>5</v>
      </c>
    </row>
    <row r="794" spans="1:5" x14ac:dyDescent="0.2">
      <c r="A794" t="s">
        <v>117</v>
      </c>
      <c r="B794" t="s">
        <v>119</v>
      </c>
      <c r="C794" t="str">
        <f t="shared" si="12"/>
        <v>Middle-East (Facilities Management)</v>
      </c>
      <c r="D794">
        <v>87775</v>
      </c>
      <c r="E794" t="s">
        <v>8</v>
      </c>
    </row>
    <row r="795" spans="1:5" x14ac:dyDescent="0.2">
      <c r="A795" t="s">
        <v>117</v>
      </c>
      <c r="B795" t="s">
        <v>119</v>
      </c>
      <c r="C795" t="str">
        <f t="shared" si="12"/>
        <v>Middle-East (Facilities Management)</v>
      </c>
      <c r="D795">
        <v>51198</v>
      </c>
      <c r="E795" t="s">
        <v>16</v>
      </c>
    </row>
    <row r="796" spans="1:5" x14ac:dyDescent="0.2">
      <c r="A796" t="s">
        <v>116</v>
      </c>
      <c r="B796" t="s">
        <v>119</v>
      </c>
      <c r="C796" t="str">
        <f t="shared" si="12"/>
        <v>Europe (Facilities Management)</v>
      </c>
      <c r="D796">
        <v>23326</v>
      </c>
      <c r="E796" t="s">
        <v>31</v>
      </c>
    </row>
    <row r="797" spans="1:5" x14ac:dyDescent="0.2">
      <c r="A797" t="s">
        <v>118</v>
      </c>
      <c r="B797" t="s">
        <v>119</v>
      </c>
      <c r="C797" t="str">
        <f t="shared" si="12"/>
        <v>Asia-Pacific (Facilities Management)</v>
      </c>
      <c r="D797">
        <v>56933</v>
      </c>
      <c r="E797" t="s">
        <v>35</v>
      </c>
    </row>
    <row r="798" spans="1:5" x14ac:dyDescent="0.2">
      <c r="A798" t="s">
        <v>114</v>
      </c>
      <c r="B798" t="s">
        <v>119</v>
      </c>
      <c r="C798" t="str">
        <f t="shared" si="12"/>
        <v>Africa (Facilities Management)</v>
      </c>
      <c r="D798">
        <v>21736</v>
      </c>
      <c r="E798" t="s">
        <v>9</v>
      </c>
    </row>
    <row r="799" spans="1:5" x14ac:dyDescent="0.2">
      <c r="A799" t="s">
        <v>117</v>
      </c>
      <c r="B799" t="s">
        <v>113</v>
      </c>
      <c r="C799" t="str">
        <f t="shared" si="12"/>
        <v>Middle-East (Consulting)</v>
      </c>
      <c r="D799">
        <v>24003</v>
      </c>
      <c r="E799" t="s">
        <v>17</v>
      </c>
    </row>
    <row r="800" spans="1:5" x14ac:dyDescent="0.2">
      <c r="A800" t="s">
        <v>116</v>
      </c>
      <c r="B800" t="s">
        <v>120</v>
      </c>
      <c r="C800" t="str">
        <f t="shared" si="12"/>
        <v>Europe (Investments)</v>
      </c>
      <c r="D800">
        <v>36135</v>
      </c>
      <c r="E800" t="s">
        <v>31</v>
      </c>
    </row>
    <row r="801" spans="1:5" x14ac:dyDescent="0.2">
      <c r="A801" t="s">
        <v>114</v>
      </c>
      <c r="B801" t="s">
        <v>113</v>
      </c>
      <c r="C801" t="str">
        <f t="shared" si="12"/>
        <v>Africa (Consulting)</v>
      </c>
      <c r="D801">
        <v>79863</v>
      </c>
      <c r="E801" t="s">
        <v>20</v>
      </c>
    </row>
    <row r="802" spans="1:5" x14ac:dyDescent="0.2">
      <c r="A802" t="s">
        <v>116</v>
      </c>
      <c r="B802" t="s">
        <v>120</v>
      </c>
      <c r="C802" t="str">
        <f t="shared" si="12"/>
        <v>Europe (Investments)</v>
      </c>
      <c r="D802">
        <v>78761</v>
      </c>
      <c r="E802" t="s">
        <v>33</v>
      </c>
    </row>
    <row r="803" spans="1:5" x14ac:dyDescent="0.2">
      <c r="A803" t="s">
        <v>118</v>
      </c>
      <c r="B803" t="s">
        <v>119</v>
      </c>
      <c r="C803" t="str">
        <f t="shared" si="12"/>
        <v>Asia-Pacific (Facilities Management)</v>
      </c>
      <c r="D803">
        <v>87696</v>
      </c>
      <c r="E803" t="s">
        <v>40</v>
      </c>
    </row>
    <row r="804" spans="1:5" x14ac:dyDescent="0.2">
      <c r="A804" t="s">
        <v>115</v>
      </c>
      <c r="B804" t="s">
        <v>119</v>
      </c>
      <c r="C804" t="str">
        <f t="shared" si="12"/>
        <v>US (Facilities Management)</v>
      </c>
      <c r="D804">
        <v>86095</v>
      </c>
      <c r="E804" t="s">
        <v>41</v>
      </c>
    </row>
    <row r="805" spans="1:5" x14ac:dyDescent="0.2">
      <c r="A805" t="s">
        <v>114</v>
      </c>
      <c r="B805" t="s">
        <v>113</v>
      </c>
      <c r="C805" t="str">
        <f t="shared" si="12"/>
        <v>Africa (Consulting)</v>
      </c>
      <c r="D805">
        <v>75250</v>
      </c>
      <c r="E805" t="s">
        <v>14</v>
      </c>
    </row>
    <row r="806" spans="1:5" x14ac:dyDescent="0.2">
      <c r="A806" t="s">
        <v>117</v>
      </c>
      <c r="B806" t="s">
        <v>120</v>
      </c>
      <c r="C806" t="str">
        <f t="shared" si="12"/>
        <v>Middle-East (Investments)</v>
      </c>
      <c r="D806">
        <v>66919</v>
      </c>
      <c r="E806" t="s">
        <v>12</v>
      </c>
    </row>
    <row r="807" spans="1:5" x14ac:dyDescent="0.2">
      <c r="A807" t="s">
        <v>116</v>
      </c>
      <c r="B807" t="s">
        <v>119</v>
      </c>
      <c r="C807" t="str">
        <f t="shared" si="12"/>
        <v>Europe (Facilities Management)</v>
      </c>
      <c r="D807">
        <v>23259</v>
      </c>
      <c r="E807" t="s">
        <v>19</v>
      </c>
    </row>
    <row r="808" spans="1:5" x14ac:dyDescent="0.2">
      <c r="A808" t="s">
        <v>118</v>
      </c>
      <c r="B808" t="s">
        <v>113</v>
      </c>
      <c r="C808" t="str">
        <f t="shared" si="12"/>
        <v>Asia-Pacific (Consulting)</v>
      </c>
      <c r="D808">
        <v>88179</v>
      </c>
      <c r="E808" t="s">
        <v>11</v>
      </c>
    </row>
    <row r="809" spans="1:5" x14ac:dyDescent="0.2">
      <c r="A809" t="s">
        <v>114</v>
      </c>
      <c r="B809" t="s">
        <v>119</v>
      </c>
      <c r="C809" t="str">
        <f t="shared" si="12"/>
        <v>Africa (Facilities Management)</v>
      </c>
      <c r="D809">
        <v>48636</v>
      </c>
      <c r="E809" t="s">
        <v>41</v>
      </c>
    </row>
    <row r="810" spans="1:5" x14ac:dyDescent="0.2">
      <c r="A810" t="s">
        <v>117</v>
      </c>
      <c r="B810" t="s">
        <v>113</v>
      </c>
      <c r="C810" t="str">
        <f t="shared" si="12"/>
        <v>Middle-East (Consulting)</v>
      </c>
      <c r="D810">
        <v>49282</v>
      </c>
      <c r="E810" t="s">
        <v>21</v>
      </c>
    </row>
    <row r="811" spans="1:5" x14ac:dyDescent="0.2">
      <c r="A811" t="s">
        <v>118</v>
      </c>
      <c r="B811" t="s">
        <v>120</v>
      </c>
      <c r="C811" t="str">
        <f t="shared" si="12"/>
        <v>Asia-Pacific (Investments)</v>
      </c>
      <c r="D811">
        <v>77825</v>
      </c>
      <c r="E811" t="s">
        <v>32</v>
      </c>
    </row>
    <row r="812" spans="1:5" x14ac:dyDescent="0.2">
      <c r="A812" t="s">
        <v>118</v>
      </c>
      <c r="B812" t="s">
        <v>113</v>
      </c>
      <c r="C812" t="str">
        <f t="shared" si="12"/>
        <v>Asia-Pacific (Consulting)</v>
      </c>
      <c r="D812">
        <v>41143</v>
      </c>
      <c r="E812" t="s">
        <v>19</v>
      </c>
    </row>
    <row r="813" spans="1:5" x14ac:dyDescent="0.2">
      <c r="A813" t="s">
        <v>116</v>
      </c>
      <c r="B813" t="s">
        <v>119</v>
      </c>
      <c r="C813" t="str">
        <f t="shared" si="12"/>
        <v>Europe (Facilities Management)</v>
      </c>
      <c r="D813">
        <v>48636</v>
      </c>
      <c r="E813" t="s">
        <v>16</v>
      </c>
    </row>
    <row r="814" spans="1:5" x14ac:dyDescent="0.2">
      <c r="A814" t="s">
        <v>118</v>
      </c>
      <c r="B814" t="s">
        <v>113</v>
      </c>
      <c r="C814" t="str">
        <f t="shared" si="12"/>
        <v>Asia-Pacific (Consulting)</v>
      </c>
      <c r="D814">
        <v>17019</v>
      </c>
      <c r="E814" t="s">
        <v>35</v>
      </c>
    </row>
    <row r="815" spans="1:5" x14ac:dyDescent="0.2">
      <c r="A815" t="s">
        <v>114</v>
      </c>
      <c r="B815" t="s">
        <v>120</v>
      </c>
      <c r="C815" t="str">
        <f t="shared" si="12"/>
        <v>Africa (Investments)</v>
      </c>
      <c r="D815">
        <v>43566</v>
      </c>
      <c r="E815" t="s">
        <v>29</v>
      </c>
    </row>
    <row r="816" spans="1:5" x14ac:dyDescent="0.2">
      <c r="A816" t="s">
        <v>118</v>
      </c>
      <c r="B816" t="s">
        <v>113</v>
      </c>
      <c r="C816" t="str">
        <f t="shared" si="12"/>
        <v>Asia-Pacific (Consulting)</v>
      </c>
      <c r="D816">
        <v>63405</v>
      </c>
      <c r="E816" t="s">
        <v>36</v>
      </c>
    </row>
    <row r="817" spans="1:5" x14ac:dyDescent="0.2">
      <c r="A817" t="s">
        <v>117</v>
      </c>
      <c r="B817" t="s">
        <v>119</v>
      </c>
      <c r="C817" t="str">
        <f t="shared" si="12"/>
        <v>Middle-East (Facilities Management)</v>
      </c>
      <c r="D817">
        <v>78601</v>
      </c>
      <c r="E817" t="s">
        <v>38</v>
      </c>
    </row>
    <row r="818" spans="1:5" x14ac:dyDescent="0.2">
      <c r="A818" t="s">
        <v>117</v>
      </c>
      <c r="B818" t="s">
        <v>113</v>
      </c>
      <c r="C818" t="str">
        <f t="shared" si="12"/>
        <v>Middle-East (Consulting)</v>
      </c>
      <c r="D818">
        <v>11546</v>
      </c>
      <c r="E818" t="s">
        <v>10</v>
      </c>
    </row>
    <row r="819" spans="1:5" x14ac:dyDescent="0.2">
      <c r="A819" t="s">
        <v>115</v>
      </c>
      <c r="B819" t="s">
        <v>113</v>
      </c>
      <c r="C819" t="str">
        <f t="shared" si="12"/>
        <v>US (Consulting)</v>
      </c>
      <c r="D819">
        <v>38696</v>
      </c>
      <c r="E819" t="s">
        <v>31</v>
      </c>
    </row>
    <row r="820" spans="1:5" x14ac:dyDescent="0.2">
      <c r="A820" t="s">
        <v>115</v>
      </c>
      <c r="B820" t="s">
        <v>113</v>
      </c>
      <c r="C820" t="str">
        <f t="shared" si="12"/>
        <v>US (Consulting)</v>
      </c>
      <c r="D820">
        <v>26287</v>
      </c>
      <c r="E820" t="s">
        <v>6</v>
      </c>
    </row>
    <row r="821" spans="1:5" x14ac:dyDescent="0.2">
      <c r="A821" t="s">
        <v>114</v>
      </c>
      <c r="B821" t="s">
        <v>120</v>
      </c>
      <c r="C821" t="str">
        <f t="shared" si="12"/>
        <v>Africa (Investments)</v>
      </c>
      <c r="D821">
        <v>72919</v>
      </c>
      <c r="E821" t="s">
        <v>25</v>
      </c>
    </row>
    <row r="822" spans="1:5" x14ac:dyDescent="0.2">
      <c r="A822" t="s">
        <v>116</v>
      </c>
      <c r="B822" t="s">
        <v>113</v>
      </c>
      <c r="C822" t="str">
        <f t="shared" si="12"/>
        <v>Europe (Consulting)</v>
      </c>
      <c r="D822">
        <v>43566</v>
      </c>
      <c r="E822" t="s">
        <v>10</v>
      </c>
    </row>
    <row r="823" spans="1:5" x14ac:dyDescent="0.2">
      <c r="A823" t="s">
        <v>118</v>
      </c>
      <c r="B823" t="s">
        <v>113</v>
      </c>
      <c r="C823" t="str">
        <f t="shared" si="12"/>
        <v>Asia-Pacific (Consulting)</v>
      </c>
      <c r="D823">
        <v>51198</v>
      </c>
      <c r="E823" t="s">
        <v>13</v>
      </c>
    </row>
    <row r="824" spans="1:5" x14ac:dyDescent="0.2">
      <c r="A824" t="s">
        <v>115</v>
      </c>
      <c r="B824" t="s">
        <v>119</v>
      </c>
      <c r="C824" t="str">
        <f t="shared" si="12"/>
        <v>US (Facilities Management)</v>
      </c>
      <c r="D824">
        <v>50695</v>
      </c>
      <c r="E824" t="s">
        <v>3</v>
      </c>
    </row>
    <row r="825" spans="1:5" x14ac:dyDescent="0.2">
      <c r="A825" t="s">
        <v>117</v>
      </c>
      <c r="B825" t="s">
        <v>113</v>
      </c>
      <c r="C825" t="str">
        <f t="shared" si="12"/>
        <v>Middle-East (Consulting)</v>
      </c>
      <c r="D825">
        <v>63405</v>
      </c>
      <c r="E825" t="s">
        <v>19</v>
      </c>
    </row>
    <row r="826" spans="1:5" x14ac:dyDescent="0.2">
      <c r="A826" t="s">
        <v>118</v>
      </c>
      <c r="B826" t="s">
        <v>113</v>
      </c>
      <c r="C826" t="str">
        <f t="shared" si="12"/>
        <v>Asia-Pacific (Consulting)</v>
      </c>
      <c r="D826">
        <v>41143</v>
      </c>
      <c r="E826" t="s">
        <v>22</v>
      </c>
    </row>
    <row r="827" spans="1:5" x14ac:dyDescent="0.2">
      <c r="A827" t="s">
        <v>115</v>
      </c>
      <c r="B827" t="s">
        <v>113</v>
      </c>
      <c r="C827" t="str">
        <f t="shared" si="12"/>
        <v>US (Consulting)</v>
      </c>
      <c r="D827">
        <v>63403</v>
      </c>
      <c r="E827" t="s">
        <v>6</v>
      </c>
    </row>
    <row r="828" spans="1:5" x14ac:dyDescent="0.2">
      <c r="A828" t="s">
        <v>116</v>
      </c>
      <c r="B828" t="s">
        <v>120</v>
      </c>
      <c r="C828" t="str">
        <f t="shared" si="12"/>
        <v>Europe (Investments)</v>
      </c>
      <c r="D828">
        <v>56933</v>
      </c>
      <c r="E828" t="s">
        <v>110</v>
      </c>
    </row>
    <row r="829" spans="1:5" x14ac:dyDescent="0.2">
      <c r="A829" t="s">
        <v>116</v>
      </c>
      <c r="B829" t="s">
        <v>113</v>
      </c>
      <c r="C829" t="str">
        <f t="shared" si="12"/>
        <v>Europe (Consulting)</v>
      </c>
      <c r="D829">
        <v>46969</v>
      </c>
      <c r="E829" t="s">
        <v>15</v>
      </c>
    </row>
    <row r="830" spans="1:5" x14ac:dyDescent="0.2">
      <c r="A830" t="s">
        <v>115</v>
      </c>
      <c r="B830" t="s">
        <v>119</v>
      </c>
      <c r="C830" t="str">
        <f t="shared" si="12"/>
        <v>US (Facilities Management)</v>
      </c>
      <c r="D830">
        <v>17019</v>
      </c>
      <c r="E830" t="s">
        <v>5</v>
      </c>
    </row>
    <row r="831" spans="1:5" x14ac:dyDescent="0.2">
      <c r="A831" t="s">
        <v>117</v>
      </c>
      <c r="B831" t="s">
        <v>113</v>
      </c>
      <c r="C831" t="str">
        <f t="shared" si="12"/>
        <v>Middle-East (Consulting)</v>
      </c>
      <c r="D831">
        <v>82602</v>
      </c>
      <c r="E831" t="s">
        <v>110</v>
      </c>
    </row>
    <row r="832" spans="1:5" x14ac:dyDescent="0.2">
      <c r="A832" t="s">
        <v>116</v>
      </c>
      <c r="B832" t="s">
        <v>113</v>
      </c>
      <c r="C832" t="str">
        <f t="shared" si="12"/>
        <v>Europe (Consulting)</v>
      </c>
      <c r="D832">
        <v>56933</v>
      </c>
      <c r="E832" t="s">
        <v>20</v>
      </c>
    </row>
    <row r="833" spans="1:5" x14ac:dyDescent="0.2">
      <c r="A833" t="s">
        <v>117</v>
      </c>
      <c r="B833" t="s">
        <v>119</v>
      </c>
      <c r="C833" t="str">
        <f t="shared" si="12"/>
        <v>Middle-East (Facilities Management)</v>
      </c>
      <c r="D833">
        <v>74838</v>
      </c>
      <c r="E833" t="s">
        <v>32</v>
      </c>
    </row>
    <row r="834" spans="1:5" x14ac:dyDescent="0.2">
      <c r="A834" t="s">
        <v>118</v>
      </c>
      <c r="B834" t="s">
        <v>119</v>
      </c>
      <c r="C834" t="str">
        <f t="shared" si="12"/>
        <v>Asia-Pacific (Facilities Management)</v>
      </c>
      <c r="D834">
        <v>88179</v>
      </c>
      <c r="E834" t="s">
        <v>12</v>
      </c>
    </row>
    <row r="835" spans="1:5" x14ac:dyDescent="0.2">
      <c r="A835" t="s">
        <v>114</v>
      </c>
      <c r="B835" t="s">
        <v>119</v>
      </c>
      <c r="C835" t="str">
        <f t="shared" ref="C835:C898" si="13">CONCATENATE(A835, " (", B835, ")")</f>
        <v>Africa (Facilities Management)</v>
      </c>
      <c r="D835">
        <v>21736</v>
      </c>
      <c r="E835" t="s">
        <v>13</v>
      </c>
    </row>
    <row r="836" spans="1:5" x14ac:dyDescent="0.2">
      <c r="A836" t="s">
        <v>115</v>
      </c>
      <c r="B836" t="s">
        <v>119</v>
      </c>
      <c r="C836" t="str">
        <f t="shared" si="13"/>
        <v>US (Facilities Management)</v>
      </c>
      <c r="D836">
        <v>21575</v>
      </c>
      <c r="E836" t="s">
        <v>16</v>
      </c>
    </row>
    <row r="837" spans="1:5" x14ac:dyDescent="0.2">
      <c r="A837" t="s">
        <v>115</v>
      </c>
      <c r="B837" t="s">
        <v>119</v>
      </c>
      <c r="C837" t="str">
        <f t="shared" si="13"/>
        <v>US (Facilities Management)</v>
      </c>
      <c r="D837">
        <v>30776</v>
      </c>
      <c r="E837" t="s">
        <v>13</v>
      </c>
    </row>
    <row r="838" spans="1:5" x14ac:dyDescent="0.2">
      <c r="A838" t="s">
        <v>115</v>
      </c>
      <c r="B838" t="s">
        <v>119</v>
      </c>
      <c r="C838" t="str">
        <f t="shared" si="13"/>
        <v>US (Facilities Management)</v>
      </c>
      <c r="D838">
        <v>61502</v>
      </c>
      <c r="E838" t="s">
        <v>30</v>
      </c>
    </row>
    <row r="839" spans="1:5" x14ac:dyDescent="0.2">
      <c r="A839" t="s">
        <v>114</v>
      </c>
      <c r="B839" t="s">
        <v>120</v>
      </c>
      <c r="C839" t="str">
        <f t="shared" si="13"/>
        <v>Africa (Investments)</v>
      </c>
      <c r="D839">
        <v>78221</v>
      </c>
      <c r="E839" t="s">
        <v>26</v>
      </c>
    </row>
    <row r="840" spans="1:5" x14ac:dyDescent="0.2">
      <c r="A840" t="s">
        <v>114</v>
      </c>
      <c r="B840" t="s">
        <v>119</v>
      </c>
      <c r="C840" t="str">
        <f t="shared" si="13"/>
        <v>Africa (Facilities Management)</v>
      </c>
      <c r="D840">
        <v>50768</v>
      </c>
      <c r="E840" t="s">
        <v>16</v>
      </c>
    </row>
    <row r="841" spans="1:5" x14ac:dyDescent="0.2">
      <c r="A841" t="s">
        <v>114</v>
      </c>
      <c r="B841" t="s">
        <v>119</v>
      </c>
      <c r="C841" t="str">
        <f t="shared" si="13"/>
        <v>Africa (Facilities Management)</v>
      </c>
      <c r="D841">
        <v>24905</v>
      </c>
      <c r="E841" t="s">
        <v>11</v>
      </c>
    </row>
    <row r="842" spans="1:5" x14ac:dyDescent="0.2">
      <c r="A842" t="s">
        <v>117</v>
      </c>
      <c r="B842" t="s">
        <v>113</v>
      </c>
      <c r="C842" t="str">
        <f t="shared" si="13"/>
        <v>Middle-East (Consulting)</v>
      </c>
      <c r="D842">
        <v>20218</v>
      </c>
      <c r="E842" t="s">
        <v>30</v>
      </c>
    </row>
    <row r="843" spans="1:5" x14ac:dyDescent="0.2">
      <c r="A843" t="s">
        <v>117</v>
      </c>
      <c r="B843" t="s">
        <v>120</v>
      </c>
      <c r="C843" t="str">
        <f t="shared" si="13"/>
        <v>Middle-East (Investments)</v>
      </c>
      <c r="D843">
        <v>46969</v>
      </c>
      <c r="E843" t="s">
        <v>14</v>
      </c>
    </row>
    <row r="844" spans="1:5" x14ac:dyDescent="0.2">
      <c r="A844" t="s">
        <v>114</v>
      </c>
      <c r="B844" t="s">
        <v>120</v>
      </c>
      <c r="C844" t="str">
        <f t="shared" si="13"/>
        <v>Africa (Investments)</v>
      </c>
      <c r="D844">
        <v>82313</v>
      </c>
      <c r="E844" t="s">
        <v>7</v>
      </c>
    </row>
    <row r="845" spans="1:5" x14ac:dyDescent="0.2">
      <c r="A845" t="s">
        <v>116</v>
      </c>
      <c r="B845" t="s">
        <v>119</v>
      </c>
      <c r="C845" t="str">
        <f t="shared" si="13"/>
        <v>Europe (Facilities Management)</v>
      </c>
      <c r="D845">
        <v>78398</v>
      </c>
      <c r="E845" t="s">
        <v>26</v>
      </c>
    </row>
    <row r="846" spans="1:5" x14ac:dyDescent="0.2">
      <c r="A846" t="s">
        <v>118</v>
      </c>
      <c r="B846" t="s">
        <v>119</v>
      </c>
      <c r="C846" t="str">
        <f t="shared" si="13"/>
        <v>Asia-Pacific (Facilities Management)</v>
      </c>
      <c r="D846">
        <v>34613</v>
      </c>
      <c r="E846" t="s">
        <v>10</v>
      </c>
    </row>
    <row r="847" spans="1:5" x14ac:dyDescent="0.2">
      <c r="A847" t="s">
        <v>115</v>
      </c>
      <c r="B847" t="s">
        <v>119</v>
      </c>
      <c r="C847" t="str">
        <f t="shared" si="13"/>
        <v>US (Facilities Management)</v>
      </c>
      <c r="D847">
        <v>21736</v>
      </c>
      <c r="E847" t="s">
        <v>25</v>
      </c>
    </row>
    <row r="848" spans="1:5" x14ac:dyDescent="0.2">
      <c r="A848" t="s">
        <v>115</v>
      </c>
      <c r="B848" t="s">
        <v>119</v>
      </c>
      <c r="C848" t="str">
        <f t="shared" si="13"/>
        <v>US (Facilities Management)</v>
      </c>
      <c r="D848">
        <v>15285</v>
      </c>
      <c r="E848" t="s">
        <v>31</v>
      </c>
    </row>
    <row r="849" spans="1:5" x14ac:dyDescent="0.2">
      <c r="A849" t="s">
        <v>118</v>
      </c>
      <c r="B849" t="s">
        <v>120</v>
      </c>
      <c r="C849" t="str">
        <f t="shared" si="13"/>
        <v>Asia-Pacific (Investments)</v>
      </c>
      <c r="D849">
        <v>14686</v>
      </c>
      <c r="E849" t="s">
        <v>18</v>
      </c>
    </row>
    <row r="850" spans="1:5" x14ac:dyDescent="0.2">
      <c r="A850" t="s">
        <v>115</v>
      </c>
      <c r="B850" t="s">
        <v>119</v>
      </c>
      <c r="C850" t="str">
        <f t="shared" si="13"/>
        <v>US (Facilities Management)</v>
      </c>
      <c r="D850">
        <v>33328</v>
      </c>
      <c r="E850" t="s">
        <v>27</v>
      </c>
    </row>
    <row r="851" spans="1:5" x14ac:dyDescent="0.2">
      <c r="A851" t="s">
        <v>118</v>
      </c>
      <c r="B851" t="s">
        <v>119</v>
      </c>
      <c r="C851" t="str">
        <f t="shared" si="13"/>
        <v>Asia-Pacific (Facilities Management)</v>
      </c>
      <c r="D851">
        <v>77825</v>
      </c>
      <c r="E851" t="s">
        <v>12</v>
      </c>
    </row>
    <row r="852" spans="1:5" x14ac:dyDescent="0.2">
      <c r="A852" t="s">
        <v>115</v>
      </c>
      <c r="B852" t="s">
        <v>119</v>
      </c>
      <c r="C852" t="str">
        <f t="shared" si="13"/>
        <v>US (Facilities Management)</v>
      </c>
      <c r="D852">
        <v>44852</v>
      </c>
      <c r="E852" t="s">
        <v>13</v>
      </c>
    </row>
    <row r="853" spans="1:5" x14ac:dyDescent="0.2">
      <c r="A853" t="s">
        <v>114</v>
      </c>
      <c r="B853" t="s">
        <v>120</v>
      </c>
      <c r="C853" t="str">
        <f t="shared" si="13"/>
        <v>Africa (Investments)</v>
      </c>
      <c r="D853">
        <v>23326</v>
      </c>
      <c r="E853" t="s">
        <v>10</v>
      </c>
    </row>
    <row r="854" spans="1:5" x14ac:dyDescent="0.2">
      <c r="A854" t="s">
        <v>114</v>
      </c>
      <c r="B854" t="s">
        <v>120</v>
      </c>
      <c r="C854" t="str">
        <f t="shared" si="13"/>
        <v>Africa (Investments)</v>
      </c>
      <c r="D854">
        <v>78221</v>
      </c>
      <c r="E854" t="s">
        <v>25</v>
      </c>
    </row>
    <row r="855" spans="1:5" x14ac:dyDescent="0.2">
      <c r="A855" t="s">
        <v>116</v>
      </c>
      <c r="B855" t="s">
        <v>120</v>
      </c>
      <c r="C855" t="str">
        <f t="shared" si="13"/>
        <v>Europe (Investments)</v>
      </c>
      <c r="D855">
        <v>53789</v>
      </c>
      <c r="E855" t="s">
        <v>12</v>
      </c>
    </row>
    <row r="856" spans="1:5" x14ac:dyDescent="0.2">
      <c r="A856" t="s">
        <v>118</v>
      </c>
      <c r="B856" t="s">
        <v>120</v>
      </c>
      <c r="C856" t="str">
        <f t="shared" si="13"/>
        <v>Asia-Pacific (Investments)</v>
      </c>
      <c r="D856">
        <v>28291</v>
      </c>
      <c r="E856" t="s">
        <v>40</v>
      </c>
    </row>
    <row r="857" spans="1:5" x14ac:dyDescent="0.2">
      <c r="A857" t="s">
        <v>116</v>
      </c>
      <c r="B857" t="s">
        <v>120</v>
      </c>
      <c r="C857" t="str">
        <f t="shared" si="13"/>
        <v>Europe (Investments)</v>
      </c>
      <c r="D857">
        <v>34812</v>
      </c>
      <c r="E857" t="s">
        <v>21</v>
      </c>
    </row>
    <row r="858" spans="1:5" x14ac:dyDescent="0.2">
      <c r="A858" t="s">
        <v>118</v>
      </c>
      <c r="B858" t="s">
        <v>120</v>
      </c>
      <c r="C858" t="str">
        <f t="shared" si="13"/>
        <v>Asia-Pacific (Investments)</v>
      </c>
      <c r="D858">
        <v>56073</v>
      </c>
      <c r="E858" t="s">
        <v>34</v>
      </c>
    </row>
    <row r="859" spans="1:5" x14ac:dyDescent="0.2">
      <c r="A859" t="s">
        <v>117</v>
      </c>
      <c r="B859" t="s">
        <v>119</v>
      </c>
      <c r="C859" t="str">
        <f t="shared" si="13"/>
        <v>Middle-East (Facilities Management)</v>
      </c>
      <c r="D859">
        <v>74838</v>
      </c>
      <c r="E859" t="s">
        <v>33</v>
      </c>
    </row>
    <row r="860" spans="1:5" x14ac:dyDescent="0.2">
      <c r="A860" t="s">
        <v>118</v>
      </c>
      <c r="B860" t="s">
        <v>113</v>
      </c>
      <c r="C860" t="str">
        <f t="shared" si="13"/>
        <v>Asia-Pacific (Consulting)</v>
      </c>
      <c r="D860">
        <v>75257</v>
      </c>
      <c r="E860" t="s">
        <v>17</v>
      </c>
    </row>
    <row r="861" spans="1:5" x14ac:dyDescent="0.2">
      <c r="A861" t="s">
        <v>115</v>
      </c>
      <c r="B861" t="s">
        <v>113</v>
      </c>
      <c r="C861" t="str">
        <f t="shared" si="13"/>
        <v>US (Consulting)</v>
      </c>
      <c r="D861">
        <v>78221</v>
      </c>
      <c r="E861" t="s">
        <v>10</v>
      </c>
    </row>
    <row r="862" spans="1:5" x14ac:dyDescent="0.2">
      <c r="A862" t="s">
        <v>114</v>
      </c>
      <c r="B862" t="s">
        <v>120</v>
      </c>
      <c r="C862" t="str">
        <f t="shared" si="13"/>
        <v>Africa (Investments)</v>
      </c>
      <c r="D862">
        <v>63220</v>
      </c>
      <c r="E862" t="s">
        <v>40</v>
      </c>
    </row>
    <row r="863" spans="1:5" x14ac:dyDescent="0.2">
      <c r="A863" t="s">
        <v>117</v>
      </c>
      <c r="B863" t="s">
        <v>119</v>
      </c>
      <c r="C863" t="str">
        <f t="shared" si="13"/>
        <v>Middle-East (Facilities Management)</v>
      </c>
      <c r="D863">
        <v>50410</v>
      </c>
      <c r="E863" t="s">
        <v>16</v>
      </c>
    </row>
    <row r="864" spans="1:5" x14ac:dyDescent="0.2">
      <c r="A864" t="s">
        <v>117</v>
      </c>
      <c r="B864" t="s">
        <v>120</v>
      </c>
      <c r="C864" t="str">
        <f t="shared" si="13"/>
        <v>Middle-East (Investments)</v>
      </c>
      <c r="D864">
        <v>66919</v>
      </c>
      <c r="E864" t="s">
        <v>16</v>
      </c>
    </row>
    <row r="865" spans="1:5" x14ac:dyDescent="0.2">
      <c r="A865" t="s">
        <v>115</v>
      </c>
      <c r="B865" t="s">
        <v>120</v>
      </c>
      <c r="C865" t="str">
        <f t="shared" si="13"/>
        <v>US (Investments)</v>
      </c>
      <c r="D865">
        <v>74336</v>
      </c>
      <c r="E865" t="s">
        <v>43</v>
      </c>
    </row>
    <row r="866" spans="1:5" x14ac:dyDescent="0.2">
      <c r="A866" t="s">
        <v>114</v>
      </c>
      <c r="B866" t="s">
        <v>119</v>
      </c>
      <c r="C866" t="str">
        <f t="shared" si="13"/>
        <v>Africa (Facilities Management)</v>
      </c>
      <c r="D866">
        <v>23259</v>
      </c>
      <c r="E866" t="s">
        <v>33</v>
      </c>
    </row>
    <row r="867" spans="1:5" x14ac:dyDescent="0.2">
      <c r="A867" t="s">
        <v>116</v>
      </c>
      <c r="B867" t="s">
        <v>113</v>
      </c>
      <c r="C867" t="str">
        <f t="shared" si="13"/>
        <v>Europe (Consulting)</v>
      </c>
      <c r="D867">
        <v>29282</v>
      </c>
      <c r="E867" t="s">
        <v>30</v>
      </c>
    </row>
    <row r="868" spans="1:5" x14ac:dyDescent="0.2">
      <c r="A868" t="s">
        <v>117</v>
      </c>
      <c r="B868" t="s">
        <v>120</v>
      </c>
      <c r="C868" t="str">
        <f t="shared" si="13"/>
        <v>Middle-East (Investments)</v>
      </c>
      <c r="D868">
        <v>79863</v>
      </c>
      <c r="E868" t="s">
        <v>25</v>
      </c>
    </row>
    <row r="869" spans="1:5" x14ac:dyDescent="0.2">
      <c r="A869" t="s">
        <v>117</v>
      </c>
      <c r="B869" t="s">
        <v>113</v>
      </c>
      <c r="C869" t="str">
        <f t="shared" si="13"/>
        <v>Middle-East (Consulting)</v>
      </c>
      <c r="D869">
        <v>35207</v>
      </c>
      <c r="E869" t="s">
        <v>22</v>
      </c>
    </row>
    <row r="870" spans="1:5" x14ac:dyDescent="0.2">
      <c r="A870" t="s">
        <v>114</v>
      </c>
      <c r="B870" t="s">
        <v>119</v>
      </c>
      <c r="C870" t="str">
        <f t="shared" si="13"/>
        <v>Africa (Facilities Management)</v>
      </c>
      <c r="D870">
        <v>50768</v>
      </c>
      <c r="E870" t="s">
        <v>26</v>
      </c>
    </row>
    <row r="871" spans="1:5" x14ac:dyDescent="0.2">
      <c r="A871" t="s">
        <v>118</v>
      </c>
      <c r="B871" t="s">
        <v>119</v>
      </c>
      <c r="C871" t="str">
        <f t="shared" si="13"/>
        <v>Asia-Pacific (Facilities Management)</v>
      </c>
      <c r="D871">
        <v>53789</v>
      </c>
      <c r="E871" t="s">
        <v>42</v>
      </c>
    </row>
    <row r="872" spans="1:5" x14ac:dyDescent="0.2">
      <c r="A872" t="s">
        <v>114</v>
      </c>
      <c r="B872" t="s">
        <v>113</v>
      </c>
      <c r="C872" t="str">
        <f t="shared" si="13"/>
        <v>Africa (Consulting)</v>
      </c>
      <c r="D872">
        <v>81857</v>
      </c>
      <c r="E872" t="s">
        <v>42</v>
      </c>
    </row>
    <row r="873" spans="1:5" x14ac:dyDescent="0.2">
      <c r="A873" t="s">
        <v>114</v>
      </c>
      <c r="B873" t="s">
        <v>120</v>
      </c>
      <c r="C873" t="str">
        <f t="shared" si="13"/>
        <v>Africa (Investments)</v>
      </c>
      <c r="D873">
        <v>77825</v>
      </c>
      <c r="E873" t="s">
        <v>20</v>
      </c>
    </row>
    <row r="874" spans="1:5" x14ac:dyDescent="0.2">
      <c r="A874" t="s">
        <v>118</v>
      </c>
      <c r="B874" t="s">
        <v>120</v>
      </c>
      <c r="C874" t="str">
        <f t="shared" si="13"/>
        <v>Asia-Pacific (Investments)</v>
      </c>
      <c r="D874">
        <v>77825</v>
      </c>
      <c r="E874" t="s">
        <v>28</v>
      </c>
    </row>
    <row r="875" spans="1:5" x14ac:dyDescent="0.2">
      <c r="A875" t="s">
        <v>118</v>
      </c>
      <c r="B875" t="s">
        <v>119</v>
      </c>
      <c r="C875" t="str">
        <f t="shared" si="13"/>
        <v>Asia-Pacific (Facilities Management)</v>
      </c>
      <c r="D875">
        <v>78601</v>
      </c>
      <c r="E875" t="s">
        <v>18</v>
      </c>
    </row>
    <row r="876" spans="1:5" x14ac:dyDescent="0.2">
      <c r="A876" t="s">
        <v>116</v>
      </c>
      <c r="B876" t="s">
        <v>119</v>
      </c>
      <c r="C876" t="str">
        <f t="shared" si="13"/>
        <v>Europe (Facilities Management)</v>
      </c>
      <c r="D876">
        <v>53789</v>
      </c>
      <c r="E876" t="s">
        <v>26</v>
      </c>
    </row>
    <row r="877" spans="1:5" x14ac:dyDescent="0.2">
      <c r="A877" t="s">
        <v>115</v>
      </c>
      <c r="B877" t="s">
        <v>120</v>
      </c>
      <c r="C877" t="str">
        <f t="shared" si="13"/>
        <v>US (Investments)</v>
      </c>
      <c r="D877">
        <v>63405</v>
      </c>
      <c r="E877" t="s">
        <v>21</v>
      </c>
    </row>
    <row r="878" spans="1:5" x14ac:dyDescent="0.2">
      <c r="A878" t="s">
        <v>115</v>
      </c>
      <c r="B878" t="s">
        <v>119</v>
      </c>
      <c r="C878" t="str">
        <f t="shared" si="13"/>
        <v>US (Facilities Management)</v>
      </c>
      <c r="D878">
        <v>79177</v>
      </c>
      <c r="E878" t="s">
        <v>20</v>
      </c>
    </row>
    <row r="879" spans="1:5" x14ac:dyDescent="0.2">
      <c r="A879" t="s">
        <v>116</v>
      </c>
      <c r="B879" t="s">
        <v>120</v>
      </c>
      <c r="C879" t="str">
        <f t="shared" si="13"/>
        <v>Europe (Investments)</v>
      </c>
      <c r="D879">
        <v>70981</v>
      </c>
      <c r="E879" t="s">
        <v>5</v>
      </c>
    </row>
    <row r="880" spans="1:5" x14ac:dyDescent="0.2">
      <c r="A880" t="s">
        <v>116</v>
      </c>
      <c r="B880" t="s">
        <v>119</v>
      </c>
      <c r="C880" t="str">
        <f t="shared" si="13"/>
        <v>Europe (Facilities Management)</v>
      </c>
      <c r="D880">
        <v>56073</v>
      </c>
      <c r="E880" t="s">
        <v>14</v>
      </c>
    </row>
    <row r="881" spans="1:5" x14ac:dyDescent="0.2">
      <c r="A881" t="s">
        <v>114</v>
      </c>
      <c r="B881" t="s">
        <v>113</v>
      </c>
      <c r="C881" t="str">
        <f t="shared" si="13"/>
        <v>Africa (Consulting)</v>
      </c>
      <c r="D881">
        <v>21736</v>
      </c>
      <c r="E881" t="s">
        <v>17</v>
      </c>
    </row>
    <row r="882" spans="1:5" x14ac:dyDescent="0.2">
      <c r="A882" t="s">
        <v>118</v>
      </c>
      <c r="B882" t="s">
        <v>120</v>
      </c>
      <c r="C882" t="str">
        <f t="shared" si="13"/>
        <v>Asia-Pacific (Investments)</v>
      </c>
      <c r="D882">
        <v>58876</v>
      </c>
      <c r="E882" t="s">
        <v>9</v>
      </c>
    </row>
    <row r="883" spans="1:5" x14ac:dyDescent="0.2">
      <c r="A883" t="s">
        <v>118</v>
      </c>
      <c r="B883" t="s">
        <v>113</v>
      </c>
      <c r="C883" t="str">
        <f t="shared" si="13"/>
        <v>Asia-Pacific (Consulting)</v>
      </c>
      <c r="D883">
        <v>66919</v>
      </c>
      <c r="E883" t="s">
        <v>11</v>
      </c>
    </row>
    <row r="884" spans="1:5" x14ac:dyDescent="0.2">
      <c r="A884" t="s">
        <v>117</v>
      </c>
      <c r="B884" t="s">
        <v>119</v>
      </c>
      <c r="C884" t="str">
        <f t="shared" si="13"/>
        <v>Middle-East (Facilities Management)</v>
      </c>
      <c r="D884">
        <v>88813</v>
      </c>
      <c r="E884" t="s">
        <v>29</v>
      </c>
    </row>
    <row r="885" spans="1:5" x14ac:dyDescent="0.2">
      <c r="A885" t="s">
        <v>114</v>
      </c>
      <c r="B885" t="s">
        <v>120</v>
      </c>
      <c r="C885" t="str">
        <f t="shared" si="13"/>
        <v>Africa (Investments)</v>
      </c>
      <c r="D885">
        <v>72919</v>
      </c>
      <c r="E885" t="s">
        <v>36</v>
      </c>
    </row>
    <row r="886" spans="1:5" x14ac:dyDescent="0.2">
      <c r="A886" t="s">
        <v>115</v>
      </c>
      <c r="B886" t="s">
        <v>119</v>
      </c>
      <c r="C886" t="str">
        <f t="shared" si="13"/>
        <v>US (Facilities Management)</v>
      </c>
      <c r="D886">
        <v>43342</v>
      </c>
      <c r="E886" t="s">
        <v>11</v>
      </c>
    </row>
    <row r="887" spans="1:5" x14ac:dyDescent="0.2">
      <c r="A887" t="s">
        <v>114</v>
      </c>
      <c r="B887" t="s">
        <v>119</v>
      </c>
      <c r="C887" t="str">
        <f t="shared" si="13"/>
        <v>Africa (Facilities Management)</v>
      </c>
      <c r="D887">
        <v>20218</v>
      </c>
      <c r="E887" t="s">
        <v>38</v>
      </c>
    </row>
    <row r="888" spans="1:5" x14ac:dyDescent="0.2">
      <c r="A888" t="s">
        <v>115</v>
      </c>
      <c r="B888" t="s">
        <v>113</v>
      </c>
      <c r="C888" t="str">
        <f t="shared" si="13"/>
        <v>US (Consulting)</v>
      </c>
      <c r="D888">
        <v>59314</v>
      </c>
      <c r="E888" t="s">
        <v>25</v>
      </c>
    </row>
    <row r="889" spans="1:5" x14ac:dyDescent="0.2">
      <c r="A889" t="s">
        <v>116</v>
      </c>
      <c r="B889" t="s">
        <v>120</v>
      </c>
      <c r="C889" t="str">
        <f t="shared" si="13"/>
        <v>Europe (Investments)</v>
      </c>
      <c r="D889">
        <v>59738</v>
      </c>
      <c r="E889" t="s">
        <v>37</v>
      </c>
    </row>
    <row r="890" spans="1:5" x14ac:dyDescent="0.2">
      <c r="A890" t="s">
        <v>118</v>
      </c>
      <c r="B890" t="s">
        <v>119</v>
      </c>
      <c r="C890" t="str">
        <f t="shared" si="13"/>
        <v>Asia-Pacific (Facilities Management)</v>
      </c>
      <c r="D890">
        <v>56933</v>
      </c>
      <c r="E890" t="s">
        <v>16</v>
      </c>
    </row>
    <row r="891" spans="1:5" x14ac:dyDescent="0.2">
      <c r="A891" t="s">
        <v>114</v>
      </c>
      <c r="B891" t="s">
        <v>120</v>
      </c>
      <c r="C891" t="str">
        <f t="shared" si="13"/>
        <v>Africa (Investments)</v>
      </c>
      <c r="D891">
        <v>63220</v>
      </c>
      <c r="E891" t="s">
        <v>16</v>
      </c>
    </row>
    <row r="892" spans="1:5" x14ac:dyDescent="0.2">
      <c r="A892" t="s">
        <v>116</v>
      </c>
      <c r="B892" t="s">
        <v>113</v>
      </c>
      <c r="C892" t="str">
        <f t="shared" si="13"/>
        <v>Europe (Consulting)</v>
      </c>
      <c r="D892">
        <v>24905</v>
      </c>
      <c r="E892" t="s">
        <v>24</v>
      </c>
    </row>
    <row r="893" spans="1:5" x14ac:dyDescent="0.2">
      <c r="A893" t="s">
        <v>118</v>
      </c>
      <c r="B893" t="s">
        <v>120</v>
      </c>
      <c r="C893" t="str">
        <f t="shared" si="13"/>
        <v>Asia-Pacific (Investments)</v>
      </c>
      <c r="D893">
        <v>30310</v>
      </c>
      <c r="E893" t="s">
        <v>110</v>
      </c>
    </row>
    <row r="894" spans="1:5" x14ac:dyDescent="0.2">
      <c r="A894" t="s">
        <v>115</v>
      </c>
      <c r="B894" t="s">
        <v>120</v>
      </c>
      <c r="C894" t="str">
        <f t="shared" si="13"/>
        <v>US (Investments)</v>
      </c>
      <c r="D894">
        <v>13175</v>
      </c>
      <c r="E894" t="s">
        <v>20</v>
      </c>
    </row>
    <row r="895" spans="1:5" x14ac:dyDescent="0.2">
      <c r="A895" t="s">
        <v>118</v>
      </c>
      <c r="B895" t="s">
        <v>120</v>
      </c>
      <c r="C895" t="str">
        <f t="shared" si="13"/>
        <v>Asia-Pacific (Investments)</v>
      </c>
      <c r="D895">
        <v>24905</v>
      </c>
      <c r="E895" t="s">
        <v>31</v>
      </c>
    </row>
    <row r="896" spans="1:5" x14ac:dyDescent="0.2">
      <c r="A896" t="s">
        <v>115</v>
      </c>
      <c r="B896" t="s">
        <v>113</v>
      </c>
      <c r="C896" t="str">
        <f t="shared" si="13"/>
        <v>US (Consulting)</v>
      </c>
      <c r="D896">
        <v>34613</v>
      </c>
      <c r="E896" t="s">
        <v>4</v>
      </c>
    </row>
    <row r="897" spans="1:5" x14ac:dyDescent="0.2">
      <c r="A897" t="s">
        <v>116</v>
      </c>
      <c r="B897" t="s">
        <v>113</v>
      </c>
      <c r="C897" t="str">
        <f t="shared" si="13"/>
        <v>Europe (Consulting)</v>
      </c>
      <c r="D897">
        <v>21736</v>
      </c>
      <c r="E897" t="s">
        <v>37</v>
      </c>
    </row>
    <row r="898" spans="1:5" x14ac:dyDescent="0.2">
      <c r="A898" t="s">
        <v>118</v>
      </c>
      <c r="B898" t="s">
        <v>113</v>
      </c>
      <c r="C898" t="str">
        <f t="shared" si="13"/>
        <v>Asia-Pacific (Consulting)</v>
      </c>
      <c r="D898">
        <v>27528</v>
      </c>
      <c r="E898" t="s">
        <v>41</v>
      </c>
    </row>
    <row r="899" spans="1:5" x14ac:dyDescent="0.2">
      <c r="A899" t="s">
        <v>114</v>
      </c>
      <c r="B899" t="s">
        <v>119</v>
      </c>
      <c r="C899" t="str">
        <f t="shared" ref="C899:C962" si="14">CONCATENATE(A899, " (", B899, ")")</f>
        <v>Africa (Facilities Management)</v>
      </c>
      <c r="D899">
        <v>82313</v>
      </c>
      <c r="E899" t="s">
        <v>11</v>
      </c>
    </row>
    <row r="900" spans="1:5" x14ac:dyDescent="0.2">
      <c r="A900" t="s">
        <v>114</v>
      </c>
      <c r="B900" t="s">
        <v>113</v>
      </c>
      <c r="C900" t="str">
        <f t="shared" si="14"/>
        <v>Africa (Consulting)</v>
      </c>
      <c r="D900">
        <v>30776</v>
      </c>
      <c r="E900" t="s">
        <v>9</v>
      </c>
    </row>
    <row r="901" spans="1:5" x14ac:dyDescent="0.2">
      <c r="A901" t="s">
        <v>116</v>
      </c>
      <c r="B901" t="s">
        <v>113</v>
      </c>
      <c r="C901" t="str">
        <f t="shared" si="14"/>
        <v>Europe (Consulting)</v>
      </c>
      <c r="D901">
        <v>25382</v>
      </c>
      <c r="E901" t="s">
        <v>33</v>
      </c>
    </row>
    <row r="902" spans="1:5" x14ac:dyDescent="0.2">
      <c r="A902" t="s">
        <v>115</v>
      </c>
      <c r="B902" t="s">
        <v>113</v>
      </c>
      <c r="C902" t="str">
        <f t="shared" si="14"/>
        <v>US (Consulting)</v>
      </c>
      <c r="D902">
        <v>43340</v>
      </c>
      <c r="E902" t="s">
        <v>27</v>
      </c>
    </row>
    <row r="903" spans="1:5" x14ac:dyDescent="0.2">
      <c r="A903" t="s">
        <v>114</v>
      </c>
      <c r="B903" t="s">
        <v>120</v>
      </c>
      <c r="C903" t="str">
        <f t="shared" si="14"/>
        <v>Africa (Investments)</v>
      </c>
      <c r="D903">
        <v>82313</v>
      </c>
      <c r="E903" t="s">
        <v>3</v>
      </c>
    </row>
    <row r="904" spans="1:5" x14ac:dyDescent="0.2">
      <c r="A904" t="s">
        <v>116</v>
      </c>
      <c r="B904" t="s">
        <v>120</v>
      </c>
      <c r="C904" t="str">
        <f t="shared" si="14"/>
        <v>Europe (Investments)</v>
      </c>
      <c r="D904">
        <v>53681</v>
      </c>
      <c r="E904" t="s">
        <v>33</v>
      </c>
    </row>
    <row r="905" spans="1:5" x14ac:dyDescent="0.2">
      <c r="A905" t="s">
        <v>116</v>
      </c>
      <c r="B905" t="s">
        <v>113</v>
      </c>
      <c r="C905" t="str">
        <f t="shared" si="14"/>
        <v>Europe (Consulting)</v>
      </c>
      <c r="D905">
        <v>46026</v>
      </c>
      <c r="E905" t="s">
        <v>47</v>
      </c>
    </row>
    <row r="906" spans="1:5" x14ac:dyDescent="0.2">
      <c r="A906" t="s">
        <v>115</v>
      </c>
      <c r="B906" t="s">
        <v>113</v>
      </c>
      <c r="C906" t="str">
        <f t="shared" si="14"/>
        <v>US (Consulting)</v>
      </c>
      <c r="D906">
        <v>89472</v>
      </c>
      <c r="E906" t="s">
        <v>35</v>
      </c>
    </row>
    <row r="907" spans="1:5" x14ac:dyDescent="0.2">
      <c r="A907" t="s">
        <v>118</v>
      </c>
      <c r="B907" t="s">
        <v>120</v>
      </c>
      <c r="C907" t="str">
        <f t="shared" si="14"/>
        <v>Asia-Pacific (Investments)</v>
      </c>
      <c r="D907">
        <v>78601</v>
      </c>
      <c r="E907" t="s">
        <v>14</v>
      </c>
    </row>
    <row r="908" spans="1:5" x14ac:dyDescent="0.2">
      <c r="A908" t="s">
        <v>115</v>
      </c>
      <c r="B908" t="s">
        <v>119</v>
      </c>
      <c r="C908" t="str">
        <f t="shared" si="14"/>
        <v>US (Facilities Management)</v>
      </c>
      <c r="D908">
        <v>30776</v>
      </c>
      <c r="E908" t="s">
        <v>12</v>
      </c>
    </row>
    <row r="909" spans="1:5" x14ac:dyDescent="0.2">
      <c r="A909" t="s">
        <v>118</v>
      </c>
      <c r="B909" t="s">
        <v>120</v>
      </c>
      <c r="C909" t="str">
        <f t="shared" si="14"/>
        <v>Asia-Pacific (Investments)</v>
      </c>
      <c r="D909">
        <v>28291</v>
      </c>
      <c r="E909" t="s">
        <v>11</v>
      </c>
    </row>
    <row r="910" spans="1:5" x14ac:dyDescent="0.2">
      <c r="A910" t="s">
        <v>118</v>
      </c>
      <c r="B910" t="s">
        <v>119</v>
      </c>
      <c r="C910" t="str">
        <f t="shared" si="14"/>
        <v>Asia-Pacific (Facilities Management)</v>
      </c>
      <c r="D910">
        <v>79089</v>
      </c>
      <c r="E910" t="s">
        <v>38</v>
      </c>
    </row>
    <row r="911" spans="1:5" x14ac:dyDescent="0.2">
      <c r="A911" t="s">
        <v>114</v>
      </c>
      <c r="B911" t="s">
        <v>120</v>
      </c>
      <c r="C911" t="str">
        <f t="shared" si="14"/>
        <v>Africa (Investments)</v>
      </c>
      <c r="D911">
        <v>78221</v>
      </c>
      <c r="E911" t="s">
        <v>24</v>
      </c>
    </row>
    <row r="912" spans="1:5" x14ac:dyDescent="0.2">
      <c r="A912" t="s">
        <v>116</v>
      </c>
      <c r="B912" t="s">
        <v>120</v>
      </c>
      <c r="C912" t="str">
        <f t="shared" si="14"/>
        <v>Europe (Investments)</v>
      </c>
      <c r="D912">
        <v>65050</v>
      </c>
      <c r="E912" t="s">
        <v>9</v>
      </c>
    </row>
    <row r="913" spans="1:5" x14ac:dyDescent="0.2">
      <c r="A913" t="s">
        <v>116</v>
      </c>
      <c r="B913" t="s">
        <v>113</v>
      </c>
      <c r="C913" t="str">
        <f t="shared" si="14"/>
        <v>Europe (Consulting)</v>
      </c>
      <c r="D913">
        <v>87229</v>
      </c>
      <c r="E913" t="s">
        <v>9</v>
      </c>
    </row>
    <row r="914" spans="1:5" x14ac:dyDescent="0.2">
      <c r="A914" t="s">
        <v>117</v>
      </c>
      <c r="B914" t="s">
        <v>113</v>
      </c>
      <c r="C914" t="str">
        <f t="shared" si="14"/>
        <v>Middle-East (Consulting)</v>
      </c>
      <c r="D914">
        <v>67941</v>
      </c>
      <c r="E914" t="s">
        <v>47</v>
      </c>
    </row>
    <row r="915" spans="1:5" x14ac:dyDescent="0.2">
      <c r="A915" t="s">
        <v>118</v>
      </c>
      <c r="B915" t="s">
        <v>120</v>
      </c>
      <c r="C915" t="str">
        <f t="shared" si="14"/>
        <v>Asia-Pacific (Investments)</v>
      </c>
      <c r="D915">
        <v>15595</v>
      </c>
      <c r="E915" t="s">
        <v>43</v>
      </c>
    </row>
    <row r="916" spans="1:5" x14ac:dyDescent="0.2">
      <c r="A916" t="s">
        <v>116</v>
      </c>
      <c r="B916" t="s">
        <v>119</v>
      </c>
      <c r="C916" t="str">
        <f t="shared" si="14"/>
        <v>Europe (Facilities Management)</v>
      </c>
      <c r="D916">
        <v>56073</v>
      </c>
      <c r="E916" t="s">
        <v>110</v>
      </c>
    </row>
    <row r="917" spans="1:5" x14ac:dyDescent="0.2">
      <c r="A917" t="s">
        <v>118</v>
      </c>
      <c r="B917" t="s">
        <v>119</v>
      </c>
      <c r="C917" t="str">
        <f t="shared" si="14"/>
        <v>Asia-Pacific (Facilities Management)</v>
      </c>
      <c r="D917">
        <v>67561</v>
      </c>
      <c r="E917" t="s">
        <v>18</v>
      </c>
    </row>
    <row r="918" spans="1:5" x14ac:dyDescent="0.2">
      <c r="A918" t="s">
        <v>117</v>
      </c>
      <c r="B918" t="s">
        <v>113</v>
      </c>
      <c r="C918" t="str">
        <f t="shared" si="14"/>
        <v>Middle-East (Consulting)</v>
      </c>
      <c r="D918">
        <v>89486</v>
      </c>
      <c r="E918" t="s">
        <v>37</v>
      </c>
    </row>
    <row r="919" spans="1:5" x14ac:dyDescent="0.2">
      <c r="A919" t="s">
        <v>115</v>
      </c>
      <c r="B919" t="s">
        <v>119</v>
      </c>
      <c r="C919" t="str">
        <f t="shared" si="14"/>
        <v>US (Facilities Management)</v>
      </c>
      <c r="D919">
        <v>32784</v>
      </c>
      <c r="E919" t="s">
        <v>9</v>
      </c>
    </row>
    <row r="920" spans="1:5" x14ac:dyDescent="0.2">
      <c r="A920" t="s">
        <v>116</v>
      </c>
      <c r="B920" t="s">
        <v>119</v>
      </c>
      <c r="C920" t="str">
        <f t="shared" si="14"/>
        <v>Europe (Facilities Management)</v>
      </c>
      <c r="D920">
        <v>13175</v>
      </c>
      <c r="E920" t="s">
        <v>21</v>
      </c>
    </row>
    <row r="921" spans="1:5" x14ac:dyDescent="0.2">
      <c r="A921" t="s">
        <v>114</v>
      </c>
      <c r="B921" t="s">
        <v>119</v>
      </c>
      <c r="C921" t="str">
        <f t="shared" si="14"/>
        <v>Africa (Facilities Management)</v>
      </c>
      <c r="D921">
        <v>24905</v>
      </c>
      <c r="E921" t="s">
        <v>10</v>
      </c>
    </row>
    <row r="922" spans="1:5" x14ac:dyDescent="0.2">
      <c r="A922" t="s">
        <v>115</v>
      </c>
      <c r="B922" t="s">
        <v>120</v>
      </c>
      <c r="C922" t="str">
        <f t="shared" si="14"/>
        <v>US (Investments)</v>
      </c>
      <c r="D922">
        <v>65050</v>
      </c>
      <c r="E922" t="s">
        <v>13</v>
      </c>
    </row>
    <row r="923" spans="1:5" x14ac:dyDescent="0.2">
      <c r="A923" t="s">
        <v>116</v>
      </c>
      <c r="B923" t="s">
        <v>120</v>
      </c>
      <c r="C923" t="str">
        <f t="shared" si="14"/>
        <v>Europe (Investments)</v>
      </c>
      <c r="D923">
        <v>36135</v>
      </c>
      <c r="E923" t="s">
        <v>33</v>
      </c>
    </row>
    <row r="924" spans="1:5" x14ac:dyDescent="0.2">
      <c r="A924" t="s">
        <v>115</v>
      </c>
      <c r="B924" t="s">
        <v>119</v>
      </c>
      <c r="C924" t="str">
        <f t="shared" si="14"/>
        <v>US (Facilities Management)</v>
      </c>
      <c r="D924">
        <v>89486</v>
      </c>
      <c r="E924" t="s">
        <v>10</v>
      </c>
    </row>
    <row r="925" spans="1:5" x14ac:dyDescent="0.2">
      <c r="A925" t="s">
        <v>118</v>
      </c>
      <c r="B925" t="s">
        <v>119</v>
      </c>
      <c r="C925" t="str">
        <f t="shared" si="14"/>
        <v>Asia-Pacific (Facilities Management)</v>
      </c>
      <c r="D925">
        <v>77825</v>
      </c>
      <c r="E925" t="s">
        <v>33</v>
      </c>
    </row>
    <row r="926" spans="1:5" x14ac:dyDescent="0.2">
      <c r="A926" t="s">
        <v>115</v>
      </c>
      <c r="B926" t="s">
        <v>119</v>
      </c>
      <c r="C926" t="str">
        <f t="shared" si="14"/>
        <v>US (Facilities Management)</v>
      </c>
      <c r="D926">
        <v>89486</v>
      </c>
      <c r="E926" t="s">
        <v>14</v>
      </c>
    </row>
    <row r="927" spans="1:5" x14ac:dyDescent="0.2">
      <c r="A927" t="s">
        <v>114</v>
      </c>
      <c r="B927" t="s">
        <v>120</v>
      </c>
      <c r="C927" t="str">
        <f t="shared" si="14"/>
        <v>Africa (Investments)</v>
      </c>
      <c r="D927">
        <v>72919</v>
      </c>
      <c r="E927" t="s">
        <v>30</v>
      </c>
    </row>
    <row r="928" spans="1:5" x14ac:dyDescent="0.2">
      <c r="A928" t="s">
        <v>118</v>
      </c>
      <c r="B928" t="s">
        <v>113</v>
      </c>
      <c r="C928" t="str">
        <f t="shared" si="14"/>
        <v>Asia-Pacific (Consulting)</v>
      </c>
      <c r="D928">
        <v>72187</v>
      </c>
      <c r="E928" t="s">
        <v>41</v>
      </c>
    </row>
    <row r="929" spans="1:5" x14ac:dyDescent="0.2">
      <c r="A929" t="s">
        <v>118</v>
      </c>
      <c r="B929" t="s">
        <v>113</v>
      </c>
      <c r="C929" t="str">
        <f t="shared" si="14"/>
        <v>Asia-Pacific (Consulting)</v>
      </c>
      <c r="D929">
        <v>17019</v>
      </c>
      <c r="E929" t="s">
        <v>5</v>
      </c>
    </row>
    <row r="930" spans="1:5" x14ac:dyDescent="0.2">
      <c r="A930" t="s">
        <v>114</v>
      </c>
      <c r="B930" t="s">
        <v>120</v>
      </c>
      <c r="C930" t="str">
        <f t="shared" si="14"/>
        <v>Africa (Investments)</v>
      </c>
      <c r="D930">
        <v>75884</v>
      </c>
      <c r="E930" t="s">
        <v>27</v>
      </c>
    </row>
    <row r="931" spans="1:5" x14ac:dyDescent="0.2">
      <c r="A931" t="s">
        <v>115</v>
      </c>
      <c r="B931" t="s">
        <v>120</v>
      </c>
      <c r="C931" t="str">
        <f t="shared" si="14"/>
        <v>US (Investments)</v>
      </c>
      <c r="D931">
        <v>36768</v>
      </c>
      <c r="E931" t="s">
        <v>27</v>
      </c>
    </row>
    <row r="932" spans="1:5" x14ac:dyDescent="0.2">
      <c r="A932" t="s">
        <v>118</v>
      </c>
      <c r="B932" t="s">
        <v>113</v>
      </c>
      <c r="C932" t="str">
        <f t="shared" si="14"/>
        <v>Asia-Pacific (Consulting)</v>
      </c>
      <c r="D932">
        <v>63405</v>
      </c>
      <c r="E932" t="s">
        <v>33</v>
      </c>
    </row>
    <row r="933" spans="1:5" x14ac:dyDescent="0.2">
      <c r="A933" t="s">
        <v>117</v>
      </c>
      <c r="B933" t="s">
        <v>119</v>
      </c>
      <c r="C933" t="str">
        <f t="shared" si="14"/>
        <v>Middle-East (Facilities Management)</v>
      </c>
      <c r="D933">
        <v>78601</v>
      </c>
      <c r="E933" t="s">
        <v>12</v>
      </c>
    </row>
    <row r="934" spans="1:5" x14ac:dyDescent="0.2">
      <c r="A934" t="s">
        <v>115</v>
      </c>
      <c r="B934" t="s">
        <v>120</v>
      </c>
      <c r="C934" t="str">
        <f t="shared" si="14"/>
        <v>US (Investments)</v>
      </c>
      <c r="D934">
        <v>81857</v>
      </c>
      <c r="E934" t="s">
        <v>44</v>
      </c>
    </row>
    <row r="935" spans="1:5" x14ac:dyDescent="0.2">
      <c r="A935" t="s">
        <v>115</v>
      </c>
      <c r="B935" t="s">
        <v>119</v>
      </c>
      <c r="C935" t="str">
        <f t="shared" si="14"/>
        <v>US (Facilities Management)</v>
      </c>
      <c r="D935">
        <v>48636</v>
      </c>
      <c r="E935" t="s">
        <v>35</v>
      </c>
    </row>
    <row r="936" spans="1:5" x14ac:dyDescent="0.2">
      <c r="A936" t="s">
        <v>115</v>
      </c>
      <c r="B936" t="s">
        <v>119</v>
      </c>
      <c r="C936" t="str">
        <f t="shared" si="14"/>
        <v>US (Facilities Management)</v>
      </c>
      <c r="D936">
        <v>58876</v>
      </c>
      <c r="E936" t="s">
        <v>41</v>
      </c>
    </row>
    <row r="937" spans="1:5" x14ac:dyDescent="0.2">
      <c r="A937" t="s">
        <v>114</v>
      </c>
      <c r="B937" t="s">
        <v>120</v>
      </c>
      <c r="C937" t="str">
        <f t="shared" si="14"/>
        <v>Africa (Investments)</v>
      </c>
      <c r="D937">
        <v>23326</v>
      </c>
      <c r="E937" t="s">
        <v>3</v>
      </c>
    </row>
    <row r="938" spans="1:5" x14ac:dyDescent="0.2">
      <c r="A938" t="s">
        <v>114</v>
      </c>
      <c r="B938" t="s">
        <v>120</v>
      </c>
      <c r="C938" t="str">
        <f t="shared" si="14"/>
        <v>Africa (Investments)</v>
      </c>
      <c r="D938">
        <v>51457</v>
      </c>
      <c r="E938" t="s">
        <v>32</v>
      </c>
    </row>
    <row r="939" spans="1:5" x14ac:dyDescent="0.2">
      <c r="A939" t="s">
        <v>114</v>
      </c>
      <c r="B939" t="s">
        <v>113</v>
      </c>
      <c r="C939" t="str">
        <f t="shared" si="14"/>
        <v>Africa (Consulting)</v>
      </c>
      <c r="D939">
        <v>34613</v>
      </c>
      <c r="E939" t="s">
        <v>10</v>
      </c>
    </row>
    <row r="940" spans="1:5" x14ac:dyDescent="0.2">
      <c r="A940" t="s">
        <v>117</v>
      </c>
      <c r="B940" t="s">
        <v>113</v>
      </c>
      <c r="C940" t="str">
        <f t="shared" si="14"/>
        <v>Middle-East (Consulting)</v>
      </c>
      <c r="D940">
        <v>70981</v>
      </c>
      <c r="E940" t="s">
        <v>43</v>
      </c>
    </row>
    <row r="941" spans="1:5" x14ac:dyDescent="0.2">
      <c r="A941" t="s">
        <v>114</v>
      </c>
      <c r="B941" t="s">
        <v>120</v>
      </c>
      <c r="C941" t="str">
        <f t="shared" si="14"/>
        <v>Africa (Investments)</v>
      </c>
      <c r="D941">
        <v>82313</v>
      </c>
      <c r="E941" t="s">
        <v>34</v>
      </c>
    </row>
    <row r="942" spans="1:5" x14ac:dyDescent="0.2">
      <c r="A942" t="s">
        <v>114</v>
      </c>
      <c r="B942" t="s">
        <v>120</v>
      </c>
      <c r="C942" t="str">
        <f t="shared" si="14"/>
        <v>Africa (Investments)</v>
      </c>
      <c r="D942">
        <v>51457</v>
      </c>
      <c r="E942" t="s">
        <v>15</v>
      </c>
    </row>
    <row r="943" spans="1:5" x14ac:dyDescent="0.2">
      <c r="A943" t="s">
        <v>117</v>
      </c>
      <c r="B943" t="s">
        <v>119</v>
      </c>
      <c r="C943" t="str">
        <f t="shared" si="14"/>
        <v>Middle-East (Facilities Management)</v>
      </c>
      <c r="D943">
        <v>87778</v>
      </c>
      <c r="E943" t="s">
        <v>30</v>
      </c>
    </row>
    <row r="944" spans="1:5" x14ac:dyDescent="0.2">
      <c r="A944" t="s">
        <v>116</v>
      </c>
      <c r="B944" t="s">
        <v>119</v>
      </c>
      <c r="C944" t="str">
        <f t="shared" si="14"/>
        <v>Europe (Facilities Management)</v>
      </c>
      <c r="D944">
        <v>65050</v>
      </c>
      <c r="E944" t="s">
        <v>43</v>
      </c>
    </row>
    <row r="945" spans="1:5" x14ac:dyDescent="0.2">
      <c r="A945" t="s">
        <v>115</v>
      </c>
      <c r="B945" t="s">
        <v>113</v>
      </c>
      <c r="C945" t="str">
        <f t="shared" si="14"/>
        <v>US (Consulting)</v>
      </c>
      <c r="D945">
        <v>45792</v>
      </c>
      <c r="E945" t="s">
        <v>34</v>
      </c>
    </row>
    <row r="946" spans="1:5" x14ac:dyDescent="0.2">
      <c r="A946" t="s">
        <v>114</v>
      </c>
      <c r="B946" t="s">
        <v>120</v>
      </c>
      <c r="C946" t="str">
        <f t="shared" si="14"/>
        <v>Africa (Investments)</v>
      </c>
      <c r="D946">
        <v>82313</v>
      </c>
      <c r="E946" t="s">
        <v>41</v>
      </c>
    </row>
    <row r="947" spans="1:5" x14ac:dyDescent="0.2">
      <c r="A947" t="s">
        <v>115</v>
      </c>
      <c r="B947" t="s">
        <v>119</v>
      </c>
      <c r="C947" t="str">
        <f t="shared" si="14"/>
        <v>US (Facilities Management)</v>
      </c>
      <c r="D947">
        <v>22559</v>
      </c>
      <c r="E947" t="s">
        <v>28</v>
      </c>
    </row>
    <row r="948" spans="1:5" x14ac:dyDescent="0.2">
      <c r="A948" t="s">
        <v>116</v>
      </c>
      <c r="B948" t="s">
        <v>119</v>
      </c>
      <c r="C948" t="str">
        <f t="shared" si="14"/>
        <v>Europe (Facilities Management)</v>
      </c>
      <c r="D948">
        <v>75257</v>
      </c>
      <c r="E948" t="s">
        <v>44</v>
      </c>
    </row>
    <row r="949" spans="1:5" x14ac:dyDescent="0.2">
      <c r="A949" t="s">
        <v>118</v>
      </c>
      <c r="B949" t="s">
        <v>120</v>
      </c>
      <c r="C949" t="str">
        <f t="shared" si="14"/>
        <v>Asia-Pacific (Investments)</v>
      </c>
      <c r="D949">
        <v>80154</v>
      </c>
      <c r="E949" t="s">
        <v>11</v>
      </c>
    </row>
    <row r="950" spans="1:5" x14ac:dyDescent="0.2">
      <c r="A950" t="s">
        <v>116</v>
      </c>
      <c r="B950" t="s">
        <v>120</v>
      </c>
      <c r="C950" t="str">
        <f t="shared" si="14"/>
        <v>Europe (Investments)</v>
      </c>
      <c r="D950">
        <v>39706</v>
      </c>
      <c r="E950" t="s">
        <v>18</v>
      </c>
    </row>
    <row r="951" spans="1:5" x14ac:dyDescent="0.2">
      <c r="A951" t="s">
        <v>114</v>
      </c>
      <c r="B951" t="s">
        <v>120</v>
      </c>
      <c r="C951" t="str">
        <f t="shared" si="14"/>
        <v>Africa (Investments)</v>
      </c>
      <c r="D951">
        <v>78221</v>
      </c>
      <c r="E951" t="s">
        <v>7</v>
      </c>
    </row>
    <row r="952" spans="1:5" x14ac:dyDescent="0.2">
      <c r="A952" t="s">
        <v>117</v>
      </c>
      <c r="B952" t="s">
        <v>113</v>
      </c>
      <c r="C952" t="str">
        <f t="shared" si="14"/>
        <v>Middle-East (Consulting)</v>
      </c>
      <c r="D952">
        <v>24003</v>
      </c>
      <c r="E952" t="s">
        <v>43</v>
      </c>
    </row>
    <row r="953" spans="1:5" x14ac:dyDescent="0.2">
      <c r="A953" t="s">
        <v>116</v>
      </c>
      <c r="B953" t="s">
        <v>119</v>
      </c>
      <c r="C953" t="str">
        <f t="shared" si="14"/>
        <v>Europe (Facilities Management)</v>
      </c>
      <c r="D953">
        <v>61232</v>
      </c>
      <c r="E953" t="s">
        <v>30</v>
      </c>
    </row>
    <row r="954" spans="1:5" x14ac:dyDescent="0.2">
      <c r="A954" t="s">
        <v>118</v>
      </c>
      <c r="B954" t="s">
        <v>119</v>
      </c>
      <c r="C954" t="str">
        <f t="shared" si="14"/>
        <v>Asia-Pacific (Facilities Management)</v>
      </c>
      <c r="D954">
        <v>81857</v>
      </c>
      <c r="E954" t="s">
        <v>24</v>
      </c>
    </row>
    <row r="955" spans="1:5" x14ac:dyDescent="0.2">
      <c r="A955" t="s">
        <v>114</v>
      </c>
      <c r="B955" t="s">
        <v>120</v>
      </c>
      <c r="C955" t="str">
        <f t="shared" si="14"/>
        <v>Africa (Investments)</v>
      </c>
      <c r="D955">
        <v>43566</v>
      </c>
      <c r="E955" t="s">
        <v>38</v>
      </c>
    </row>
    <row r="956" spans="1:5" x14ac:dyDescent="0.2">
      <c r="A956" t="s">
        <v>117</v>
      </c>
      <c r="B956" t="s">
        <v>113</v>
      </c>
      <c r="C956" t="str">
        <f t="shared" si="14"/>
        <v>Middle-East (Consulting)</v>
      </c>
      <c r="D956">
        <v>87696</v>
      </c>
      <c r="E956" t="s">
        <v>44</v>
      </c>
    </row>
    <row r="957" spans="1:5" x14ac:dyDescent="0.2">
      <c r="A957" t="s">
        <v>115</v>
      </c>
      <c r="B957" t="s">
        <v>119</v>
      </c>
      <c r="C957" t="str">
        <f t="shared" si="14"/>
        <v>US (Facilities Management)</v>
      </c>
      <c r="D957">
        <v>48636</v>
      </c>
      <c r="E957" t="s">
        <v>47</v>
      </c>
    </row>
    <row r="958" spans="1:5" x14ac:dyDescent="0.2">
      <c r="A958" t="s">
        <v>115</v>
      </c>
      <c r="B958" t="s">
        <v>113</v>
      </c>
      <c r="C958" t="str">
        <f t="shared" si="14"/>
        <v>US (Consulting)</v>
      </c>
      <c r="D958">
        <v>78601</v>
      </c>
      <c r="E958" t="s">
        <v>14</v>
      </c>
    </row>
    <row r="959" spans="1:5" x14ac:dyDescent="0.2">
      <c r="A959" t="s">
        <v>118</v>
      </c>
      <c r="B959" t="s">
        <v>120</v>
      </c>
      <c r="C959" t="str">
        <f t="shared" si="14"/>
        <v>Asia-Pacific (Investments)</v>
      </c>
      <c r="D959">
        <v>30776</v>
      </c>
      <c r="E959" t="s">
        <v>8</v>
      </c>
    </row>
    <row r="960" spans="1:5" x14ac:dyDescent="0.2">
      <c r="A960" t="s">
        <v>114</v>
      </c>
      <c r="B960" t="s">
        <v>120</v>
      </c>
      <c r="C960" t="str">
        <f t="shared" si="14"/>
        <v>Africa (Investments)</v>
      </c>
      <c r="D960">
        <v>23326</v>
      </c>
      <c r="E960" t="s">
        <v>31</v>
      </c>
    </row>
    <row r="961" spans="1:5" x14ac:dyDescent="0.2">
      <c r="A961" t="s">
        <v>116</v>
      </c>
      <c r="B961" t="s">
        <v>120</v>
      </c>
      <c r="C961" t="str">
        <f t="shared" si="14"/>
        <v>Europe (Investments)</v>
      </c>
      <c r="D961">
        <v>59738</v>
      </c>
      <c r="E961" t="s">
        <v>12</v>
      </c>
    </row>
    <row r="962" spans="1:5" x14ac:dyDescent="0.2">
      <c r="A962" t="s">
        <v>117</v>
      </c>
      <c r="B962" t="s">
        <v>113</v>
      </c>
      <c r="C962" t="str">
        <f t="shared" si="14"/>
        <v>Middle-East (Consulting)</v>
      </c>
      <c r="D962">
        <v>36055</v>
      </c>
      <c r="E962" t="s">
        <v>41</v>
      </c>
    </row>
    <row r="963" spans="1:5" x14ac:dyDescent="0.2">
      <c r="A963" t="s">
        <v>116</v>
      </c>
      <c r="B963" t="s">
        <v>119</v>
      </c>
      <c r="C963" t="str">
        <f t="shared" ref="C963:C1013" si="15">CONCATENATE(A963, " (", B963, ")")</f>
        <v>Europe (Facilities Management)</v>
      </c>
      <c r="D963">
        <v>75884</v>
      </c>
      <c r="E963" t="s">
        <v>32</v>
      </c>
    </row>
    <row r="964" spans="1:5" x14ac:dyDescent="0.2">
      <c r="A964" t="s">
        <v>118</v>
      </c>
      <c r="B964" t="s">
        <v>113</v>
      </c>
      <c r="C964" t="str">
        <f t="shared" si="15"/>
        <v>Asia-Pacific (Consulting)</v>
      </c>
      <c r="D964">
        <v>80154</v>
      </c>
      <c r="E964" t="s">
        <v>5</v>
      </c>
    </row>
    <row r="965" spans="1:5" x14ac:dyDescent="0.2">
      <c r="A965" t="s">
        <v>117</v>
      </c>
      <c r="B965" t="s">
        <v>119</v>
      </c>
      <c r="C965" t="str">
        <f t="shared" si="15"/>
        <v>Middle-East (Facilities Management)</v>
      </c>
      <c r="D965">
        <v>78601</v>
      </c>
      <c r="E965" t="s">
        <v>43</v>
      </c>
    </row>
    <row r="966" spans="1:5" x14ac:dyDescent="0.2">
      <c r="A966" t="s">
        <v>114</v>
      </c>
      <c r="B966" t="s">
        <v>113</v>
      </c>
      <c r="C966" t="str">
        <f t="shared" si="15"/>
        <v>Africa (Consulting)</v>
      </c>
      <c r="D966">
        <v>72739</v>
      </c>
      <c r="E966" t="s">
        <v>10</v>
      </c>
    </row>
    <row r="967" spans="1:5" x14ac:dyDescent="0.2">
      <c r="A967" t="s">
        <v>114</v>
      </c>
      <c r="B967" t="s">
        <v>113</v>
      </c>
      <c r="C967" t="str">
        <f t="shared" si="15"/>
        <v>Africa (Consulting)</v>
      </c>
      <c r="D967">
        <v>21736</v>
      </c>
      <c r="E967" t="s">
        <v>19</v>
      </c>
    </row>
    <row r="968" spans="1:5" x14ac:dyDescent="0.2">
      <c r="A968" t="s">
        <v>114</v>
      </c>
      <c r="B968" t="s">
        <v>120</v>
      </c>
      <c r="C968" t="str">
        <f t="shared" si="15"/>
        <v>Africa (Investments)</v>
      </c>
      <c r="D968">
        <v>77825</v>
      </c>
      <c r="E968" t="s">
        <v>18</v>
      </c>
    </row>
    <row r="969" spans="1:5" x14ac:dyDescent="0.2">
      <c r="A969" t="s">
        <v>114</v>
      </c>
      <c r="B969" t="s">
        <v>120</v>
      </c>
      <c r="C969" t="str">
        <f t="shared" si="15"/>
        <v>Africa (Investments)</v>
      </c>
      <c r="D969">
        <v>53789</v>
      </c>
      <c r="E969" t="s">
        <v>41</v>
      </c>
    </row>
    <row r="970" spans="1:5" x14ac:dyDescent="0.2">
      <c r="A970" t="s">
        <v>116</v>
      </c>
      <c r="B970" t="s">
        <v>120</v>
      </c>
      <c r="C970" t="str">
        <f t="shared" si="15"/>
        <v>Europe (Investments)</v>
      </c>
      <c r="D970">
        <v>57593</v>
      </c>
      <c r="E970" t="s">
        <v>32</v>
      </c>
    </row>
    <row r="971" spans="1:5" x14ac:dyDescent="0.2">
      <c r="A971" t="s">
        <v>114</v>
      </c>
      <c r="B971" t="s">
        <v>113</v>
      </c>
      <c r="C971" t="str">
        <f t="shared" si="15"/>
        <v>Africa (Consulting)</v>
      </c>
      <c r="D971">
        <v>21736</v>
      </c>
      <c r="E971" t="s">
        <v>12</v>
      </c>
    </row>
    <row r="972" spans="1:5" x14ac:dyDescent="0.2">
      <c r="A972" t="s">
        <v>116</v>
      </c>
      <c r="B972" t="s">
        <v>120</v>
      </c>
      <c r="C972" t="str">
        <f t="shared" si="15"/>
        <v>Europe (Investments)</v>
      </c>
      <c r="D972">
        <v>59738</v>
      </c>
      <c r="E972" t="s">
        <v>22</v>
      </c>
    </row>
    <row r="973" spans="1:5" x14ac:dyDescent="0.2">
      <c r="A973" t="s">
        <v>116</v>
      </c>
      <c r="B973" t="s">
        <v>119</v>
      </c>
      <c r="C973" t="str">
        <f t="shared" si="15"/>
        <v>Europe (Facilities Management)</v>
      </c>
      <c r="D973">
        <v>24014</v>
      </c>
      <c r="E973" t="s">
        <v>21</v>
      </c>
    </row>
    <row r="974" spans="1:5" x14ac:dyDescent="0.2">
      <c r="A974" t="s">
        <v>118</v>
      </c>
      <c r="B974" t="s">
        <v>113</v>
      </c>
      <c r="C974" t="str">
        <f t="shared" si="15"/>
        <v>Asia-Pacific (Consulting)</v>
      </c>
      <c r="D974">
        <v>82602</v>
      </c>
      <c r="E974" t="s">
        <v>29</v>
      </c>
    </row>
    <row r="975" spans="1:5" x14ac:dyDescent="0.2">
      <c r="A975" t="s">
        <v>116</v>
      </c>
      <c r="B975" t="s">
        <v>120</v>
      </c>
      <c r="C975" t="str">
        <f t="shared" si="15"/>
        <v>Europe (Investments)</v>
      </c>
      <c r="D975">
        <v>53681</v>
      </c>
      <c r="E975" t="s">
        <v>14</v>
      </c>
    </row>
    <row r="976" spans="1:5" x14ac:dyDescent="0.2">
      <c r="A976" t="s">
        <v>114</v>
      </c>
      <c r="B976" t="s">
        <v>113</v>
      </c>
      <c r="C976" t="str">
        <f t="shared" si="15"/>
        <v>Africa (Consulting)</v>
      </c>
      <c r="D976">
        <v>21736</v>
      </c>
      <c r="E976" t="s">
        <v>16</v>
      </c>
    </row>
    <row r="977" spans="1:5" x14ac:dyDescent="0.2">
      <c r="A977" t="s">
        <v>118</v>
      </c>
      <c r="B977" t="s">
        <v>113</v>
      </c>
      <c r="C977" t="str">
        <f t="shared" si="15"/>
        <v>Asia-Pacific (Consulting)</v>
      </c>
      <c r="D977">
        <v>35415</v>
      </c>
      <c r="E977" t="s">
        <v>18</v>
      </c>
    </row>
    <row r="978" spans="1:5" x14ac:dyDescent="0.2">
      <c r="A978" t="s">
        <v>116</v>
      </c>
      <c r="B978" t="s">
        <v>113</v>
      </c>
      <c r="C978" t="str">
        <f t="shared" si="15"/>
        <v>Europe (Consulting)</v>
      </c>
      <c r="D978">
        <v>87229</v>
      </c>
      <c r="E978" t="s">
        <v>32</v>
      </c>
    </row>
    <row r="979" spans="1:5" x14ac:dyDescent="0.2">
      <c r="A979" t="s">
        <v>116</v>
      </c>
      <c r="B979" t="s">
        <v>113</v>
      </c>
      <c r="C979" t="str">
        <f t="shared" si="15"/>
        <v>Europe (Consulting)</v>
      </c>
      <c r="D979">
        <v>36768</v>
      </c>
      <c r="E979" t="s">
        <v>38</v>
      </c>
    </row>
    <row r="980" spans="1:5" x14ac:dyDescent="0.2">
      <c r="A980" t="s">
        <v>117</v>
      </c>
      <c r="B980" t="s">
        <v>120</v>
      </c>
      <c r="C980" t="str">
        <f t="shared" si="15"/>
        <v>Middle-East (Investments)</v>
      </c>
      <c r="D980">
        <v>28291</v>
      </c>
      <c r="E980" t="s">
        <v>19</v>
      </c>
    </row>
    <row r="981" spans="1:5" x14ac:dyDescent="0.2">
      <c r="A981" t="s">
        <v>118</v>
      </c>
      <c r="B981" t="s">
        <v>120</v>
      </c>
      <c r="C981" t="str">
        <f t="shared" si="15"/>
        <v>Asia-Pacific (Investments)</v>
      </c>
      <c r="D981">
        <v>76523</v>
      </c>
      <c r="E981" t="s">
        <v>18</v>
      </c>
    </row>
    <row r="982" spans="1:5" x14ac:dyDescent="0.2">
      <c r="A982" t="s">
        <v>114</v>
      </c>
      <c r="B982" t="s">
        <v>120</v>
      </c>
      <c r="C982" t="str">
        <f t="shared" si="15"/>
        <v>Africa (Investments)</v>
      </c>
      <c r="D982">
        <v>79177</v>
      </c>
      <c r="E982" t="s">
        <v>21</v>
      </c>
    </row>
    <row r="983" spans="1:5" x14ac:dyDescent="0.2">
      <c r="A983" t="s">
        <v>116</v>
      </c>
      <c r="B983" t="s">
        <v>113</v>
      </c>
      <c r="C983" t="str">
        <f t="shared" si="15"/>
        <v>Europe (Consulting)</v>
      </c>
      <c r="D983">
        <v>46026</v>
      </c>
      <c r="E983" t="s">
        <v>110</v>
      </c>
    </row>
    <row r="984" spans="1:5" x14ac:dyDescent="0.2">
      <c r="A984" t="s">
        <v>117</v>
      </c>
      <c r="B984" t="s">
        <v>119</v>
      </c>
      <c r="C984" t="str">
        <f t="shared" si="15"/>
        <v>Middle-East (Facilities Management)</v>
      </c>
      <c r="D984">
        <v>76523</v>
      </c>
      <c r="E984" t="s">
        <v>47</v>
      </c>
    </row>
    <row r="985" spans="1:5" x14ac:dyDescent="0.2">
      <c r="A985" t="s">
        <v>117</v>
      </c>
      <c r="B985" t="s">
        <v>119</v>
      </c>
      <c r="C985" t="str">
        <f t="shared" si="15"/>
        <v>Middle-East (Facilities Management)</v>
      </c>
      <c r="D985">
        <v>68945</v>
      </c>
      <c r="E985" t="s">
        <v>17</v>
      </c>
    </row>
    <row r="986" spans="1:5" x14ac:dyDescent="0.2">
      <c r="A986" t="s">
        <v>116</v>
      </c>
      <c r="B986" t="s">
        <v>113</v>
      </c>
      <c r="C986" t="str">
        <f t="shared" si="15"/>
        <v>Europe (Consulting)</v>
      </c>
      <c r="D986">
        <v>37559</v>
      </c>
      <c r="E986" t="s">
        <v>34</v>
      </c>
    </row>
    <row r="987" spans="1:5" x14ac:dyDescent="0.2">
      <c r="A987" t="s">
        <v>114</v>
      </c>
      <c r="B987" t="s">
        <v>113</v>
      </c>
      <c r="C987" t="str">
        <f t="shared" si="15"/>
        <v>Africa (Consulting)</v>
      </c>
      <c r="D987">
        <v>15285</v>
      </c>
      <c r="E987" t="s">
        <v>38</v>
      </c>
    </row>
    <row r="988" spans="1:5" x14ac:dyDescent="0.2">
      <c r="A988" t="s">
        <v>117</v>
      </c>
      <c r="B988" t="s">
        <v>113</v>
      </c>
      <c r="C988" t="str">
        <f t="shared" si="15"/>
        <v>Middle-East (Consulting)</v>
      </c>
      <c r="D988">
        <v>24588</v>
      </c>
      <c r="E988" t="s">
        <v>18</v>
      </c>
    </row>
    <row r="989" spans="1:5" x14ac:dyDescent="0.2">
      <c r="A989" t="s">
        <v>114</v>
      </c>
      <c r="B989" t="s">
        <v>113</v>
      </c>
      <c r="C989" t="str">
        <f t="shared" si="15"/>
        <v>Africa (Consulting)</v>
      </c>
      <c r="D989">
        <v>86272</v>
      </c>
      <c r="E989" t="s">
        <v>22</v>
      </c>
    </row>
    <row r="990" spans="1:5" x14ac:dyDescent="0.2">
      <c r="A990" t="s">
        <v>117</v>
      </c>
      <c r="B990" t="s">
        <v>120</v>
      </c>
      <c r="C990" t="str">
        <f t="shared" si="15"/>
        <v>Middle-East (Investments)</v>
      </c>
      <c r="D990">
        <v>61232</v>
      </c>
      <c r="E990" t="s">
        <v>47</v>
      </c>
    </row>
    <row r="991" spans="1:5" x14ac:dyDescent="0.2">
      <c r="A991" t="s">
        <v>114</v>
      </c>
      <c r="B991" t="s">
        <v>119</v>
      </c>
      <c r="C991" t="str">
        <f t="shared" si="15"/>
        <v>Africa (Facilities Management)</v>
      </c>
      <c r="D991">
        <v>24905</v>
      </c>
      <c r="E991" t="s">
        <v>24</v>
      </c>
    </row>
    <row r="992" spans="1:5" x14ac:dyDescent="0.2">
      <c r="A992" t="s">
        <v>117</v>
      </c>
      <c r="B992" t="s">
        <v>119</v>
      </c>
      <c r="C992" t="str">
        <f t="shared" si="15"/>
        <v>Middle-East (Facilities Management)</v>
      </c>
      <c r="D992">
        <v>79863</v>
      </c>
      <c r="E992" t="s">
        <v>10</v>
      </c>
    </row>
    <row r="993" spans="1:5" x14ac:dyDescent="0.2">
      <c r="A993" t="s">
        <v>116</v>
      </c>
      <c r="B993" t="s">
        <v>113</v>
      </c>
      <c r="C993" t="str">
        <f t="shared" si="15"/>
        <v>Europe (Consulting)</v>
      </c>
      <c r="D993">
        <v>50768</v>
      </c>
      <c r="E993" t="s">
        <v>19</v>
      </c>
    </row>
    <row r="994" spans="1:5" x14ac:dyDescent="0.2">
      <c r="A994" t="s">
        <v>116</v>
      </c>
      <c r="B994" t="s">
        <v>120</v>
      </c>
      <c r="C994" t="str">
        <f t="shared" si="15"/>
        <v>Europe (Investments)</v>
      </c>
      <c r="D994">
        <v>41143</v>
      </c>
      <c r="E994" t="s">
        <v>26</v>
      </c>
    </row>
    <row r="995" spans="1:5" x14ac:dyDescent="0.2">
      <c r="A995" t="s">
        <v>115</v>
      </c>
      <c r="B995" t="s">
        <v>120</v>
      </c>
      <c r="C995" t="str">
        <f t="shared" si="15"/>
        <v>US (Investments)</v>
      </c>
      <c r="D995">
        <v>37424</v>
      </c>
      <c r="E995" t="s">
        <v>42</v>
      </c>
    </row>
    <row r="996" spans="1:5" x14ac:dyDescent="0.2">
      <c r="A996" t="s">
        <v>118</v>
      </c>
      <c r="B996" t="s">
        <v>119</v>
      </c>
      <c r="C996" t="str">
        <f t="shared" si="15"/>
        <v>Asia-Pacific (Facilities Management)</v>
      </c>
      <c r="D996">
        <v>88179</v>
      </c>
      <c r="E996" t="s">
        <v>16</v>
      </c>
    </row>
    <row r="997" spans="1:5" x14ac:dyDescent="0.2">
      <c r="A997" t="s">
        <v>117</v>
      </c>
      <c r="B997" t="s">
        <v>119</v>
      </c>
      <c r="C997" t="str">
        <f t="shared" si="15"/>
        <v>Middle-East (Facilities Management)</v>
      </c>
      <c r="D997">
        <v>78601</v>
      </c>
      <c r="E997" t="s">
        <v>17</v>
      </c>
    </row>
    <row r="998" spans="1:5" x14ac:dyDescent="0.2">
      <c r="A998" t="s">
        <v>114</v>
      </c>
      <c r="B998" t="s">
        <v>119</v>
      </c>
      <c r="C998" t="str">
        <f t="shared" si="15"/>
        <v>Africa (Facilities Management)</v>
      </c>
      <c r="D998">
        <v>53027</v>
      </c>
      <c r="E998" t="s">
        <v>31</v>
      </c>
    </row>
    <row r="999" spans="1:5" x14ac:dyDescent="0.2">
      <c r="A999" t="s">
        <v>117</v>
      </c>
      <c r="B999" t="s">
        <v>119</v>
      </c>
      <c r="C999" t="str">
        <f t="shared" si="15"/>
        <v>Middle-East (Facilities Management)</v>
      </c>
      <c r="D999">
        <v>64705</v>
      </c>
      <c r="E999" t="s">
        <v>13</v>
      </c>
    </row>
    <row r="1000" spans="1:5" x14ac:dyDescent="0.2">
      <c r="A1000" t="s">
        <v>116</v>
      </c>
      <c r="B1000" t="s">
        <v>119</v>
      </c>
      <c r="C1000" t="str">
        <f t="shared" si="15"/>
        <v>Europe (Facilities Management)</v>
      </c>
      <c r="D1000">
        <v>75884</v>
      </c>
      <c r="E1000" t="s">
        <v>11</v>
      </c>
    </row>
    <row r="1001" spans="1:5" x14ac:dyDescent="0.2">
      <c r="A1001" t="s">
        <v>116</v>
      </c>
      <c r="B1001" t="s">
        <v>120</v>
      </c>
      <c r="C1001" t="str">
        <f t="shared" si="15"/>
        <v>Europe (Investments)</v>
      </c>
      <c r="D1001">
        <v>45792</v>
      </c>
      <c r="E1001" t="s">
        <v>40</v>
      </c>
    </row>
    <row r="1002" spans="1:5" x14ac:dyDescent="0.2">
      <c r="A1002" t="s">
        <v>117</v>
      </c>
      <c r="B1002" t="s">
        <v>120</v>
      </c>
      <c r="C1002" t="str">
        <f t="shared" si="15"/>
        <v>Middle-East (Investments)</v>
      </c>
      <c r="D1002">
        <v>67561</v>
      </c>
      <c r="E1002" t="s">
        <v>6</v>
      </c>
    </row>
    <row r="1003" spans="1:5" x14ac:dyDescent="0.2">
      <c r="A1003" t="s">
        <v>117</v>
      </c>
      <c r="B1003" t="s">
        <v>119</v>
      </c>
      <c r="C1003" t="str">
        <f t="shared" si="15"/>
        <v>Middle-East (Facilities Management)</v>
      </c>
      <c r="D1003">
        <v>74838</v>
      </c>
      <c r="E1003" t="s">
        <v>47</v>
      </c>
    </row>
    <row r="1004" spans="1:5" x14ac:dyDescent="0.2">
      <c r="A1004" t="s">
        <v>117</v>
      </c>
      <c r="B1004" t="s">
        <v>113</v>
      </c>
      <c r="C1004" t="str">
        <f t="shared" si="15"/>
        <v>Middle-East (Consulting)</v>
      </c>
      <c r="D1004">
        <v>42461</v>
      </c>
      <c r="E1004" t="s">
        <v>17</v>
      </c>
    </row>
    <row r="1005" spans="1:5" x14ac:dyDescent="0.2">
      <c r="A1005" t="s">
        <v>118</v>
      </c>
      <c r="B1005" t="s">
        <v>120</v>
      </c>
      <c r="C1005" t="str">
        <f t="shared" si="15"/>
        <v>Asia-Pacific (Investments)</v>
      </c>
      <c r="D1005">
        <v>50410</v>
      </c>
      <c r="E1005" t="s">
        <v>36</v>
      </c>
    </row>
    <row r="1006" spans="1:5" x14ac:dyDescent="0.2">
      <c r="A1006" t="s">
        <v>117</v>
      </c>
      <c r="B1006" t="s">
        <v>113</v>
      </c>
      <c r="C1006" t="str">
        <f t="shared" si="15"/>
        <v>Middle-East (Consulting)</v>
      </c>
      <c r="D1006">
        <v>47097</v>
      </c>
      <c r="E1006" t="s">
        <v>12</v>
      </c>
    </row>
    <row r="1007" spans="1:5" x14ac:dyDescent="0.2">
      <c r="A1007" t="s">
        <v>116</v>
      </c>
      <c r="B1007" t="s">
        <v>119</v>
      </c>
      <c r="C1007" t="str">
        <f t="shared" si="15"/>
        <v>Europe (Facilities Management)</v>
      </c>
      <c r="D1007">
        <v>24014</v>
      </c>
      <c r="E1007" t="s">
        <v>32</v>
      </c>
    </row>
    <row r="1008" spans="1:5" x14ac:dyDescent="0.2">
      <c r="A1008" t="s">
        <v>115</v>
      </c>
      <c r="B1008" t="s">
        <v>119</v>
      </c>
      <c r="C1008" t="str">
        <f t="shared" si="15"/>
        <v>US (Facilities Management)</v>
      </c>
      <c r="D1008">
        <v>21736</v>
      </c>
      <c r="E1008" t="s">
        <v>37</v>
      </c>
    </row>
    <row r="1009" spans="1:5" x14ac:dyDescent="0.2">
      <c r="A1009" t="s">
        <v>116</v>
      </c>
      <c r="B1009" t="s">
        <v>119</v>
      </c>
      <c r="C1009" t="str">
        <f t="shared" si="15"/>
        <v>Europe (Facilities Management)</v>
      </c>
      <c r="D1009">
        <v>47193</v>
      </c>
      <c r="E1009" t="s">
        <v>42</v>
      </c>
    </row>
    <row r="1010" spans="1:5" x14ac:dyDescent="0.2">
      <c r="A1010" t="s">
        <v>114</v>
      </c>
      <c r="B1010" t="s">
        <v>119</v>
      </c>
      <c r="C1010" t="str">
        <f t="shared" si="15"/>
        <v>Africa (Facilities Management)</v>
      </c>
      <c r="D1010">
        <v>39706</v>
      </c>
      <c r="E1010" t="s">
        <v>10</v>
      </c>
    </row>
    <row r="1011" spans="1:5" x14ac:dyDescent="0.2">
      <c r="A1011" t="s">
        <v>118</v>
      </c>
      <c r="B1011" t="s">
        <v>120</v>
      </c>
      <c r="C1011" t="str">
        <f t="shared" si="15"/>
        <v>Asia-Pacific (Investments)</v>
      </c>
      <c r="D1011">
        <v>78601</v>
      </c>
      <c r="E1011" t="s">
        <v>19</v>
      </c>
    </row>
    <row r="1012" spans="1:5" x14ac:dyDescent="0.2">
      <c r="A1012" t="s">
        <v>118</v>
      </c>
      <c r="B1012" t="s">
        <v>119</v>
      </c>
      <c r="C1012" t="str">
        <f t="shared" si="15"/>
        <v>Asia-Pacific (Facilities Management)</v>
      </c>
      <c r="D1012">
        <v>56933</v>
      </c>
      <c r="E1012" t="s">
        <v>25</v>
      </c>
    </row>
    <row r="1013" spans="1:5" x14ac:dyDescent="0.2">
      <c r="A1013" t="s">
        <v>114</v>
      </c>
      <c r="B1013" t="s">
        <v>119</v>
      </c>
      <c r="C1013" t="str">
        <f t="shared" si="15"/>
        <v>Africa (Facilities Management)</v>
      </c>
      <c r="D1013">
        <v>21736</v>
      </c>
      <c r="E1013" t="s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Scoping</vt:lpstr>
      <vt:lpstr>Original Data</vt:lpstr>
      <vt:lpstr>Input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Neilson</dc:creator>
  <cp:lastModifiedBy>Ryan Neilson</cp:lastModifiedBy>
  <dcterms:created xsi:type="dcterms:W3CDTF">2025-11-09T18:29:59Z</dcterms:created>
  <dcterms:modified xsi:type="dcterms:W3CDTF">2025-11-10T02:56:46Z</dcterms:modified>
</cp:coreProperties>
</file>